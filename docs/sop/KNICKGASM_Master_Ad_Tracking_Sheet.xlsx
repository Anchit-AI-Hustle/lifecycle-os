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Scoring Legend" sheetId="2" r:id="rId6"/>
    <sheet state="visible" name="Nomenclature" sheetId="3" r:id="rId7"/>
    <sheet state="visible" name="Landing Pages" sheetId="4" r:id="rId8"/>
    <sheet state="visible" name="Master UGC Tracker" sheetId="5" r:id="rId9"/>
    <sheet state="visible" name="UGC" sheetId="6" r:id="rId10"/>
    <sheet state="visible" name="Target" sheetId="7" r:id="rId11"/>
    <sheet state="visible" name="Costco" sheetId="8" r:id="rId12"/>
    <sheet state="visible" name="D2C" sheetId="9" r:id="rId13"/>
  </sheets>
  <definedNames>
    <definedName hidden="1" localSheetId="4" name="_xlnm._FilterDatabase">'Master UGC Tracker'!$A$4:$AV$2000</definedName>
    <definedName hidden="1" localSheetId="5" name="_xlnm._FilterDatabase">UGC!$A$1:$Z$60</definedName>
    <definedName hidden="1" localSheetId="6" name="_xlnm._FilterDatabase">Target!$A$1:$Z$60</definedName>
    <definedName hidden="1" localSheetId="7" name="_xlnm._FilterDatabase">Costco!$A$1:$Z$60</definedName>
    <definedName hidden="1" localSheetId="8" name="_xlnm._FilterDatabase">D2C!$A$1:$Z$60</definedName>
  </definedNames>
  <calcPr/>
</workbook>
</file>

<file path=xl/sharedStrings.xml><?xml version="1.0" encoding="utf-8"?>
<sst xmlns="http://schemas.openxmlformats.org/spreadsheetml/2006/main" count="891" uniqueCount="474">
  <si>
    <t>PAGEDECK LANDING PAGES - slug, destination URL and live PageDeck performance</t>
  </si>
  <si>
    <t>VAHDAM MASTER AD TRACKING SHEET</t>
  </si>
  <si>
    <t>NOMENCLATURE - one syntax, used everywhere: ad platform names, URLs and UTM parameters</t>
  </si>
  <si>
    <t>Scoring formula used to date for TikTok and Instagram</t>
  </si>
  <si>
    <t>Figures as reported in PageDeck. Slugs shown truncated in the PageDeck export were resolved against URLs already live in the Master UGC Tracker; the two still unresolved are marked. Every page reports 0 conversions and $0.00 revenue - see the note below the table, this is expected on retail destinations and is not a traffic problem.</t>
  </si>
  <si>
    <t>Campaign execution, tracking and reporting. Read this page before working in any other tab.</t>
  </si>
  <si>
    <t>Slug</t>
  </si>
  <si>
    <t>Tab</t>
  </si>
  <si>
    <t>Destination URL</t>
  </si>
  <si>
    <t>Content Bucket</t>
  </si>
  <si>
    <t>Visitors</t>
  </si>
  <si>
    <t>Page Views</t>
  </si>
  <si>
    <t>Avg View Duration</t>
  </si>
  <si>
    <t>What it holds</t>
  </si>
  <si>
    <t>External Clicks</t>
  </si>
  <si>
    <t>Clickthrough Rate</t>
  </si>
  <si>
    <t>Who works in it</t>
  </si>
  <si>
    <t>Conversions</t>
  </si>
  <si>
    <t>Revenue</t>
  </si>
  <si>
    <t>TIKTOK ORGANIC SCORE (0-100)  =  6-sec View % x 40%  +  Shares x 25%  +  (Likes + Comments) x 20%  +  Views x 15%</t>
  </si>
  <si>
    <t>Index</t>
  </si>
  <si>
    <t>Lowercase only. Underscore between fields, hyphen inside a field, dates as yyyy-mm-dd. This is the only character set that survives Meta, TikTok, Google Ads, UTM query strings, GA4, CSV export and SQL without escaping, so the same string is safe in a campaign name and in a URL. There is no second display-only form.</t>
  </si>
  <si>
    <t>coffee-cta-ugc-cortisol</t>
  </si>
  <si>
    <t>https://buy.vahdam.com/coffee-cta-ugc-cortisol</t>
  </si>
  <si>
    <t>This page.</t>
  </si>
  <si>
    <t>-</t>
  </si>
  <si>
    <t>Cortisol</t>
  </si>
  <si>
    <t>Scoring Legend</t>
  </si>
  <si>
    <t>Score bands, ad-recommendation thresholds, weights, view penalties.</t>
  </si>
  <si>
    <t>56s</t>
  </si>
  <si>
    <t>Reference only</t>
  </si>
  <si>
    <t>41.46%</t>
  </si>
  <si>
    <t>Nomenclature</t>
  </si>
  <si>
    <t>Naming syntax, separator rules, token values and UTM specification.</t>
  </si>
  <si>
    <t>INSTAGRAM ORGANIC SCORE (0-100)  =  Views x 40%  +  Likes x 35%  +  Comments x 15%</t>
  </si>
  <si>
    <t>coffee-cta-ugc-mushroom</t>
  </si>
  <si>
    <t>Landing Pages</t>
  </si>
  <si>
    <t>https://buy.vahdam.com/coffee-cta-ugc-mushroom</t>
  </si>
  <si>
    <t>Countering Mushroom Coffee Trend</t>
  </si>
  <si>
    <t>PageDeck destinations mapped to content bucket.</t>
  </si>
  <si>
    <t>Anchit</t>
  </si>
  <si>
    <t>57s</t>
  </si>
  <si>
    <t>Master UGC Tracker</t>
  </si>
  <si>
    <t>Real-time live pull from the master UGC sheet maintained by Vinya's team.</t>
  </si>
  <si>
    <t>41.38%</t>
  </si>
  <si>
    <t>Dashboard for reference - https://vahdam-june-usa-ugc-dashboard.netlify.app/</t>
  </si>
  <si>
    <t>Read only</t>
  </si>
  <si>
    <t>UGC</t>
  </si>
  <si>
    <t>Level</t>
  </si>
  <si>
    <t>coffee-cta-ugc-taste</t>
  </si>
  <si>
    <t>UGC campaigns. Landing page differs per campaign.</t>
  </si>
  <si>
    <t>https://buy.vahdam.com/coffee-cta-ugc-taste</t>
  </si>
  <si>
    <t>Pattern</t>
  </si>
  <si>
    <t>Taste</t>
  </si>
  <si>
    <t>Sneha's Team, Sudhanshu, Agency</t>
  </si>
  <si>
    <t>Worked example</t>
  </si>
  <si>
    <t>Target</t>
  </si>
  <si>
    <t>32s</t>
  </si>
  <si>
    <t>Target campaigns.</t>
  </si>
  <si>
    <t>38.12%</t>
  </si>
  <si>
    <t>Costco</t>
  </si>
  <si>
    <t>Costco campaigns.</t>
  </si>
  <si>
    <t>1. Score Benchmarks</t>
  </si>
  <si>
    <t>coffee-cta-ugc-targetstore</t>
  </si>
  <si>
    <t>Campaign</t>
  </si>
  <si>
    <t>https://buy.vahdam.com/coffee-cta-ugc-targetstore</t>
  </si>
  <si>
    <t>Target Shelf Showdown</t>
  </si>
  <si>
    <t>yyyy-mm _ platform _ objective _ type</t>
  </si>
  <si>
    <t>D2C</t>
  </si>
  <si>
    <t>2026-06_meta_conv_target</t>
  </si>
  <si>
    <t>D2C campaigns. Every input on this tab comes from Anchit.</t>
  </si>
  <si>
    <t>Anchit, Agency</t>
  </si>
  <si>
    <t>29s</t>
  </si>
  <si>
    <t>Score</t>
  </si>
  <si>
    <t>37.75%</t>
  </si>
  <si>
    <t>Label</t>
  </si>
  <si>
    <t>What It Means</t>
  </si>
  <si>
    <t>ROW LAYOUT</t>
  </si>
  <si>
    <t>Ad Set</t>
  </si>
  <si>
    <t>On every campaign tab: row 1 header, row 2 who fills the column, row 3 EXAMPLE, row 4 onward your entries. Do not overwrite rows 1 to 3.</t>
  </si>
  <si>
    <t>yyyy-mm-dd _ audience _ placement</t>
  </si>
  <si>
    <t>70-100</t>
  </si>
  <si>
    <t>2026-06-11_over40-high-performer_ig-reels</t>
  </si>
  <si>
    <t>Elite</t>
  </si>
  <si>
    <t>Top-tier organic. Strong hook, high retention, real engagement. First to boost.</t>
  </si>
  <si>
    <t>AUTO-CALCULATED</t>
  </si>
  <si>
    <t>CTR, CPC and CPA are formulas. Fill Spend, Impressions, Clicks and Conversions and they calculate themselves.</t>
  </si>
  <si>
    <t>Ad</t>
  </si>
  <si>
    <t>50-69</t>
  </si>
  <si>
    <t>High</t>
  </si>
  <si>
    <t>yyyy-mm-dd _ type _ product _ audience _ surface _ videoid</t>
  </si>
  <si>
    <t>Very good creative with solid hold/engagement. Boost with confidence.</t>
  </si>
  <si>
    <t>AD CODE</t>
  </si>
  <si>
    <t>2026-06-11_target_ashwa-coffee_over40-high-performer_instagram_7644934695515393294</t>
  </si>
  <si>
    <t>coffee-cta-ugc-gummies</t>
  </si>
  <si>
    <t>Formatted as plain text so codes are not converted to currency or scientific notation.</t>
  </si>
  <si>
    <t>https://buy.vahdam.com/coffee-cta-ugc-gummies</t>
  </si>
  <si>
    <t>Gummies vs Coffee</t>
  </si>
  <si>
    <t>COLOUR CODING</t>
  </si>
  <si>
    <t>30-49</t>
  </si>
  <si>
    <t>Good</t>
  </si>
  <si>
    <t>54s</t>
  </si>
  <si>
    <t>Green headers with cream text mark reference tabs - Index, Scoring Legend, Nomenclature and Landing Pages - and match the SOP document. Grey headers with a light green owner row and cream example row mark the four working tabs, matching the agency's own file exactly. The Master UGC Tracker keeps the source sheet's own colours because it is a live clone of it. Parameters and names are always shown in green Courier so they are unmistakable as literal strings.</t>
  </si>
  <si>
    <t>Meets Ad Recommended threshold. Worth testing with budget.</t>
  </si>
  <si>
    <t>34.56%</t>
  </si>
  <si>
    <t>LIVE PULL</t>
  </si>
  <si>
    <t>Master UGC Tracker updates in real time. Cell A1 holds an IMPORTRANGE that recalculates as the source changes. Click A1 and press Allow access once on first open. Colours, widths and number formats belong to this tab rather than to the incoming data, so they are already set and survive every refresh. No script and no sync delay.</t>
  </si>
  <si>
    <t>coffee-cta-ugc-over-40-woman</t>
  </si>
  <si>
    <t>20-29</t>
  </si>
  <si>
    <t>https://buy.vahdam.com/coffee-cta-ugc-over-40-woman</t>
  </si>
  <si>
    <t>Consider</t>
  </si>
  <si>
    <t>Over 40/ High Performer</t>
  </si>
  <si>
    <t>Some signal. Test with small spend first.</t>
  </si>
  <si>
    <t>31s</t>
  </si>
  <si>
    <t>PARAMETER SCHEMA - built with the same grammar as the names</t>
  </si>
  <si>
    <t>45.79%</t>
  </si>
  <si>
    <t>coffee-cta-ugc-targetshelf</t>
  </si>
  <si>
    <t>https://buy.vahdam.com/coffee-cta-ugc-targetshelf</t>
  </si>
  <si>
    <t>0-19</t>
  </si>
  <si>
    <t>Target Shelf Showdown (alternate)</t>
  </si>
  <si>
    <t>Not ready</t>
  </si>
  <si>
    <t>Do not boost - fix the creative first.</t>
  </si>
  <si>
    <t>30s</t>
  </si>
  <si>
    <t>Parameter</t>
  </si>
  <si>
    <t>Mirrors</t>
  </si>
  <si>
    <t>0.00%</t>
  </si>
  <si>
    <t>(Target PDP - no PageDeck page)</t>
  </si>
  <si>
    <t>https://www.target.com/p/vahdam-ashwagandha-medium-roast-calm-energy-and-focus-support-instant-coffee-2-11oz/-/A-95055145</t>
  </si>
  <si>
    <t>Target In-Store Discovery</t>
  </si>
  <si>
    <t>utm_source</t>
  </si>
  <si>
    <t>Surface</t>
  </si>
  <si>
    <t>platform-surface</t>
  </si>
  <si>
    <t>2. Ad Recommendation Thresholds</t>
  </si>
  <si>
    <t>meta-instagram</t>
  </si>
  <si>
    <t>coffee-60</t>
  </si>
  <si>
    <t>utm_medium</t>
  </si>
  <si>
    <t>https://buy.vahdam.com/coffee-60</t>
  </si>
  <si>
    <t>Fixed literal</t>
  </si>
  <si>
    <t>TikTok</t>
  </si>
  <si>
    <t>(generic, not a UGC bucket)</t>
  </si>
  <si>
    <t>paid-social</t>
  </si>
  <si>
    <t>1m 20s</t>
  </si>
  <si>
    <t>Instagram</t>
  </si>
  <si>
    <t>39.60%</t>
  </si>
  <si>
    <t>utm_campaign</t>
  </si>
  <si>
    <t>Campaign name</t>
  </si>
  <si>
    <t>coffee-cta...cer-target</t>
  </si>
  <si>
    <t>slug truncated in the PageDeck export</t>
  </si>
  <si>
    <t>(unidentified)</t>
  </si>
  <si>
    <t>Condition</t>
  </si>
  <si>
    <t>Meaning</t>
  </si>
  <si>
    <t>Note</t>
  </si>
  <si>
    <t>utm_term</t>
  </si>
  <si>
    <t>Ad Set name</t>
  </si>
  <si>
    <t>50.56%</t>
  </si>
  <si>
    <t>Ad Recommended</t>
  </si>
  <si>
    <t>utm_content</t>
  </si>
  <si>
    <t>Score &gt;= 30 OR 6-sec &gt;= 25%</t>
  </si>
  <si>
    <t>Ad name</t>
  </si>
  <si>
    <t>Strong organic proof - safe to amplify</t>
  </si>
  <si>
    <t>6-sec auto-qualify: &gt;=25% 6-sec = Ad Recommended regardless of score</t>
  </si>
  <si>
    <t>27s</t>
  </si>
  <si>
    <t>Score &gt;= 20</t>
  </si>
  <si>
    <t>Good IG organic performance</t>
  </si>
  <si>
    <t>48.51%</t>
  </si>
  <si>
    <t>coffee-60-cortisol</t>
  </si>
  <si>
    <t>acq_source</t>
  </si>
  <si>
    <t>Score &gt;= 20 OR 6-sec &gt;= 18% OR ER &gt;= 8%</t>
  </si>
  <si>
    <t>https://buy.vahdam.com/coffee-60-cortisol</t>
  </si>
  <si>
    <t>Programme</t>
  </si>
  <si>
    <t>Some signal - test with small budget</t>
  </si>
  <si>
    <t>(test page)</t>
  </si>
  <si>
    <t>type _ platform</t>
  </si>
  <si>
    <t>target_meta</t>
  </si>
  <si>
    <t>Score &gt;= 13 OR Likes/Views &gt;= 5%</t>
  </si>
  <si>
    <t>54m 15s</t>
  </si>
  <si>
    <t>Emerging signal - worth a small test</t>
  </si>
  <si>
    <t>55.56%</t>
  </si>
  <si>
    <t>acq_subsource</t>
  </si>
  <si>
    <t>No</t>
  </si>
  <si>
    <t>turmeric-c...in-capsule</t>
  </si>
  <si>
    <t>Creative</t>
  </si>
  <si>
    <t>Below all thresholds</t>
  </si>
  <si>
    <t>creator _ bucket _ hook</t>
  </si>
  <si>
    <t>Insufficient organic data</t>
  </si>
  <si>
    <t>jeorginaugc_cortisol_problem-pain</t>
  </si>
  <si>
    <t>0s</t>
  </si>
  <si>
    <t>Not enough proof yet</t>
  </si>
  <si>
    <t>Every parameter is composed the same way as an ad name: fields separated by underscore, words inside a field separated by hyphen, lowercase throughout. That means one SPLIT on underscore turns any parameter back into its fields, with no lookup table and no string surgery.</t>
  </si>
  <si>
    <t>turmeric-c...supplement</t>
  </si>
  <si>
    <t>coffee-60-...ta-generic</t>
  </si>
  <si>
    <t>3. Organic Score Weights</t>
  </si>
  <si>
    <t>4m 10s</t>
  </si>
  <si>
    <t>WHAT YOU RECOVER BY SPLITTING ON UNDERSCORE</t>
  </si>
  <si>
    <t>TikTok Weights</t>
  </si>
  <si>
    <t>Instagram Weights</t>
  </si>
  <si>
    <t>TRAFFIC RECONCILES. CONVERSION TRACKING DOES NOT.</t>
  </si>
  <si>
    <t>Field 1</t>
  </si>
  <si>
    <t>Field 2</t>
  </si>
  <si>
    <t>Field 3</t>
  </si>
  <si>
    <t>Field 4</t>
  </si>
  <si>
    <t>Field 5</t>
  </si>
  <si>
    <t>Metric</t>
  </si>
  <si>
    <t>Field 6</t>
  </si>
  <si>
    <t>Weight</t>
  </si>
  <si>
    <t>Why</t>
  </si>
  <si>
    <t>Traffic check</t>
  </si>
  <si>
    <t>Total ad clicks recorded in the tracker: 23,570. Total visitors across the six UGC bucket pages: 25,594. That is a 92% match, so the pages are receiving the paid traffic correctly and the remainder is organic. There is no traffic problem.</t>
  </si>
  <si>
    <t>month</t>
  </si>
  <si>
    <t>platform</t>
  </si>
  <si>
    <t>objective</t>
  </si>
  <si>
    <t>type</t>
  </si>
  <si>
    <t>6-sec View %</t>
  </si>
  <si>
    <t>40%</t>
  </si>
  <si>
    <t>Conversion gap</t>
  </si>
  <si>
    <t>Strongest signal - hook worked, TikTok rewards this</t>
  </si>
  <si>
    <t>Those pages generated 10,165 external clicks out to the destination, yet PageDeck reports 0 conversions and $0.00 revenue on every page. PageDeck cannot see a purchase that completes on target.com or instacart.com, so zero is expected on retail destinations. For any page routing to vahdam.com it is not expected and points to a missing pixel or goal.</t>
  </si>
  <si>
    <t>Views (Plays)</t>
  </si>
  <si>
    <t>Reach = algorithm distributing the content</t>
  </si>
  <si>
    <t>date</t>
  </si>
  <si>
    <t>audience</t>
  </si>
  <si>
    <t>placement</t>
  </si>
  <si>
    <t>targetstore vs targetshelf</t>
  </si>
  <si>
    <t>Not a mismatch. Both pages exist and both are legitimate: targetstore carries the live traffic at 3,875 visitors, targetshelf is an alternate with 1 visitor. An ad name and a page slug do not have to be identical strings. Use targetstore.</t>
  </si>
  <si>
    <t>product</t>
  </si>
  <si>
    <t>Shares</t>
  </si>
  <si>
    <t>surface</t>
  </si>
  <si>
    <t>videoid</t>
  </si>
  <si>
    <t>25%</t>
  </si>
  <si>
    <t>Viral intent - highest organic endorsement</t>
  </si>
  <si>
    <t>No dedicated PageDeck page. Routes directly to the Target PDP. A PageDeck page can be added later if a bucket-specific angle is wanted.</t>
  </si>
  <si>
    <t>Likes</t>
  </si>
  <si>
    <t>35%</t>
  </si>
  <si>
    <t>Primary IG engagement signal - one-tap approval</t>
  </si>
  <si>
    <t>Unresolved slugs</t>
  </si>
  <si>
    <t>Two pages carrying 7,111 visitors between them are still truncated in the PageDeck export as coffee-cta...cer-target. Full slugs needed before they can be attributed.</t>
  </si>
  <si>
    <t>Likes + Comments</t>
  </si>
  <si>
    <t>20%</t>
  </si>
  <si>
    <t>Active engagement, comments = real reaction</t>
  </si>
  <si>
    <t>Comments</t>
  </si>
  <si>
    <t>creator</t>
  </si>
  <si>
    <t>15%</t>
  </si>
  <si>
    <t>bucket</t>
  </si>
  <si>
    <t>Rarer but strong - real emotional response</t>
  </si>
  <si>
    <t>hook</t>
  </si>
  <si>
    <t>Views</t>
  </si>
  <si>
    <t>Reach matters but views alone are not resonance</t>
  </si>
  <si>
    <t>https://www.youtube.com/shorts/itlciMkWxoU</t>
  </si>
  <si>
    <t>https://www.tiktok.com/@bethchancey8/video/7652909940931136781</t>
  </si>
  <si>
    <t>acq_subsource is the one that earns its place: it gives revenue by creator, by content angle and by hook style from a single parameter. None of those three are recoverable from utm_content.</t>
  </si>
  <si>
    <t>https://www.tiktok.com/@lynnemeye/video/7649015153563798814</t>
  </si>
  <si>
    <t>https://www.tiktok.com/@mama_sparks19/video/7652798064142470430</t>
  </si>
  <si>
    <t>https://www.instagram.com/reel/DZ-INDoR2l7/</t>
  </si>
  <si>
    <t>https://www.instagram.com/reels/DavdW9Axd5J/</t>
  </si>
  <si>
    <t>https://www.instagram.com/reel/DZus_yrRdEe/</t>
  </si>
  <si>
    <t>Note: these sum to 90%, not 100%.</t>
  </si>
  <si>
    <t>FULL SET BY CAMPAIGN TYPE</t>
  </si>
  <si>
    <t>4. Run Status - what the agency filters on</t>
  </si>
  <si>
    <t>Type</t>
  </si>
  <si>
    <t>Ads Activated value</t>
  </si>
  <si>
    <t>https://www.youtube.com/shorts/GLWXiwbYQzg</t>
  </si>
  <si>
    <t>Who sets it</t>
  </si>
  <si>
    <t>https://www.tiktok.com/@almitaa1125/video/7652431091403361549</t>
  </si>
  <si>
    <t>https://www.tiktok.com/@gelyugccreator/video/7646572183514320141</t>
  </si>
  <si>
    <t>Agency action</t>
  </si>
  <si>
    <t>https://www.instagram.com/reel/DaAbIkcTOo7/</t>
  </si>
  <si>
    <t>https://www.instagram.com/reel/DaXuOPZgGEU/</t>
  </si>
  <si>
    <t>target</t>
  </si>
  <si>
    <t>Review before running ads</t>
  </si>
  <si>
    <t>Cleared the Level 2 benchmark. Queued for the agency's final check.</t>
  </si>
  <si>
    <t>Growth Team (Level 2)</t>
  </si>
  <si>
    <t>Review spelling, grammar, formatting, then set live.</t>
  </si>
  <si>
    <t>Yes</t>
  </si>
  <si>
    <t>Already live.</t>
  </si>
  <si>
    <t>Agency</t>
  </si>
  <si>
    <t>Reporting only.</t>
  </si>
  <si>
    <t>costco</t>
  </si>
  <si>
    <t>tiktok-tiktok</t>
  </si>
  <si>
    <t>2026-06_tiktok_conv_costco</t>
  </si>
  <si>
    <t>2026-06-11_over40_tiktok-infeed</t>
  </si>
  <si>
    <t>2026-06-11_costco_turmeric-tea_over40_tiktok_7651609390692306190</t>
  </si>
  <si>
    <t>costco_tiktok</t>
  </si>
  <si>
    <t>Did not clear the benchmark.</t>
  </si>
  <si>
    <t>jenwinkel_taste_personal-discovery</t>
  </si>
  <si>
    <t>Do not set live.</t>
  </si>
  <si>
    <t>d2c</t>
  </si>
  <si>
    <t>meta-facebook</t>
  </si>
  <si>
    <t>2026-06_meta_conv_d2c</t>
  </si>
  <si>
    <t>(blank)</t>
  </si>
  <si>
    <t>2026-06-11_high-performer_fb-feed</t>
  </si>
  <si>
    <t>Not yet assessed.</t>
  </si>
  <si>
    <t>2026-06-11_d2c_ashwa-coffee_high-performer_facebook_7654194686193650957</t>
  </si>
  <si>
    <t>d2c_meta</t>
  </si>
  <si>
    <t>Wait.</t>
  </si>
  <si>
    <t>annapelzer_gummies-vs-coffee_curiosity</t>
  </si>
  <si>
    <t>ugc</t>
  </si>
  <si>
    <t>This column is the single filter for what the agency actions. Ad Recommended is a scoring output, not the run instruction.</t>
  </si>
  <si>
    <t>2026-06_meta_conv_ugc</t>
  </si>
  <si>
    <t>2026-06-11_broad-lookalike_ig-reels</t>
  </si>
  <si>
    <t>2026-06-11_ugc_ashwa-coffee_broad-lookalike_instagram_dzsslhgtxhu</t>
  </si>
  <si>
    <t>ugc_meta</t>
  </si>
  <si>
    <t>northlynnliving_anti-mushroom_comparison</t>
  </si>
  <si>
    <t>https://www.youtube.com/shorts/9GUtBOcpdRs</t>
  </si>
  <si>
    <t>https://www.tiktok.com/@chrissyb314/video/7650993793012927757</t>
  </si>
  <si>
    <t>https://www.instagram.com/reel/DaCCWogsCRN/</t>
  </si>
  <si>
    <t>https://www.instagram.com/reel/DaLaJXeOLe7/</t>
  </si>
  <si>
    <t>Where the platform offers a macro, use it rather than pasting the literal: {{campaign.name}}, {{adset.name}}, {{ad.name}} and {{site_source_name}} on Meta. The macro resolves to exactly the strings above, and nobody hand-types a UTM. acq_source and acq_subsource have no macro, so those two are typed once per ad from the sheet row.</t>
  </si>
  <si>
    <t>5. View Penalties</t>
  </si>
  <si>
    <t>Platform</t>
  </si>
  <si>
    <t>Organic Views</t>
  </si>
  <si>
    <t>Penalty</t>
  </si>
  <si>
    <t>Under 50</t>
  </si>
  <si>
    <t>FULL WORKED URLS</t>
  </si>
  <si>
    <t>x 0.45</t>
  </si>
  <si>
    <t>Too small - data unreliable</t>
  </si>
  <si>
    <t>50-199</t>
  </si>
  <si>
    <t>x 0.70</t>
  </si>
  <si>
    <t>Small, growing - some caution</t>
  </si>
  <si>
    <t>https://www.target.com/p/vahdam-ashwagandha-medium-roast-calm-energy-and-focus-support-instant-coffee-2-11oz/-/A-95055145?utm_source=meta-instagram&amp;utm_medium=paid-social&amp;utm_campaign=2026-06_meta_conv_target&amp;utm_term=2026-06-11_over40-high-performer_ig-reels&amp;utm_content=2026-06-11_target_ashwa-coffee_over40-high-performer_instagram_7644934695515393294&amp;acq_source=target_meta&amp;acq_subsource=jeorginaugc_cortisol_problem-pain</t>
  </si>
  <si>
    <t>200-499</t>
  </si>
  <si>
    <t>x 0.85</t>
  </si>
  <si>
    <t>Reasonable, minor discount</t>
  </si>
  <si>
    <t>https://www.instacart.com/products/80435594-vahdam-india-infusions-organic-turmeric-tea-variety-pack-100count?utm_source=tiktok-tiktok&amp;utm_medium=paid-social&amp;utm_campaign=2026-06_tiktok_conv_costco&amp;utm_term=2026-06-11_over40_tiktok-infeed&amp;utm_content=2026-06-11_costco_turmeric-tea_over40_tiktok_7651609390692306190&amp;acq_source=costco_tiktok&amp;acq_subsource=jenwinkel_taste_personal-discovery</t>
  </si>
  <si>
    <t>500+</t>
  </si>
  <si>
    <t>No penalty</t>
  </si>
  <si>
    <t>Full confidence</t>
  </si>
  <si>
    <t>Under 100</t>
  </si>
  <si>
    <t>x 0.50</t>
  </si>
  <si>
    <t>Very small - unreliable</t>
  </si>
  <si>
    <t>https://www.vahdam.com/products/ashwagandha-coffee?utm_source=meta-facebook&amp;utm_medium=paid-social&amp;utm_campaign=2026-06_meta_conv_d2c&amp;utm_term=2026-06-11_high-performer_fb-feed&amp;utm_content=2026-06-11_d2c_ashwa-coffee_high-performer_facebook_7654194686193650957&amp;acq_source=d2c_meta&amp;acq_subsource=annapelzer_gummies-vs-coffee_curiosity</t>
  </si>
  <si>
    <t>100-499</t>
  </si>
  <si>
    <t>x 0.75</t>
  </si>
  <si>
    <t>Small but trackable</t>
  </si>
  <si>
    <t>Sufficient reach</t>
  </si>
  <si>
    <t>https://buy.vahdam.com/coffee-cta-ugc-cortisol?utm_source=meta-instagram&amp;utm_medium=paid-social&amp;utm_campaign=2026-06_meta_conv_ugc&amp;utm_term=2026-06-11_broad-lookalike_ig-reels&amp;utm_content=2026-06-11_ugc_ashwa-coffee_broad-lookalike_instagram_dzsslhgtxhu&amp;acq_source=ugc_meta&amp;acq_subsource=northlynnliving_anti-mushroom_comparison</t>
  </si>
  <si>
    <t>Ad To Be Run (Brief)</t>
  </si>
  <si>
    <t>Campaign Level Name</t>
  </si>
  <si>
    <t>https://www.youtube.com/shorts/rvkwlQZ1S-Q</t>
  </si>
  <si>
    <t>https://www.tiktok.com/@lifewithlibby76/video/7649523272446397709</t>
  </si>
  <si>
    <t>Ad Set Level Name</t>
  </si>
  <si>
    <t>Ad Level Name</t>
  </si>
  <si>
    <t>Placement / Format</t>
  </si>
  <si>
    <t>Product / SKU</t>
  </si>
  <si>
    <t>Target Audience</t>
  </si>
  <si>
    <t>Target Audience Criteria Set for Campaign</t>
  </si>
  <si>
    <t>Budget</t>
  </si>
  <si>
    <t>Goal / KPI</t>
  </si>
  <si>
    <t>Creative Link</t>
  </si>
  <si>
    <t>Landing Page URL</t>
  </si>
  <si>
    <t>Ad Code</t>
  </si>
  <si>
    <t>Ad Link</t>
  </si>
  <si>
    <t>RULES TO BE FOLLOWED IN THE NOMENCLATURE</t>
  </si>
  <si>
    <t>Ad Report Link</t>
  </si>
  <si>
    <t>Status</t>
  </si>
  <si>
    <t>Spend</t>
  </si>
  <si>
    <t>Impressions</t>
  </si>
  <si>
    <t>Clicks</t>
  </si>
  <si>
    <t>CTR</t>
  </si>
  <si>
    <t>CPC</t>
  </si>
  <si>
    <t>CPA</t>
  </si>
  <si>
    <t>ROAS</t>
  </si>
  <si>
    <t>#</t>
  </si>
  <si>
    <t>Rule</t>
  </si>
  <si>
    <t>Will Be Shared By Sneha's Team</t>
  </si>
  <si>
    <t>Why it matters</t>
  </si>
  <si>
    <t>Will Be Shared By Agency Based On Brief</t>
  </si>
  <si>
    <t>1</t>
  </si>
  <si>
    <t>One syntax only. The same string is the platform name, the utm_campaign / utm_content / utm_term value, and appears in no other form anywhere.</t>
  </si>
  <si>
    <t>A second human-readable form guarantees the two drift apart, and the readable form cannot go into a URL without corruption.</t>
  </si>
  <si>
    <t>Will Be Shared By Sudhanshu</t>
  </si>
  <si>
    <t>Will Be Shared By Anchit - New PageDeck URL Per Campaign</t>
  </si>
  <si>
    <t>Will Be Shared By Agency Once Live</t>
  </si>
  <si>
    <t>2</t>
  </si>
  <si>
    <t>Lowercase always.</t>
  </si>
  <si>
    <t>GA4 and several platform APIs are case-sensitive. Mixed case fragments one campaign into several report rows.</t>
  </si>
  <si>
    <t>Will Be Shared By Agency After 3-4 Days Of Taking Live</t>
  </si>
  <si>
    <t>Auto Calculated</t>
  </si>
  <si>
    <t>3</t>
  </si>
  <si>
    <t>Underscore between fields. Hyphen inside a field.</t>
  </si>
  <si>
    <t>Two characters make the name machine-parseable: SPLIT on _ returns clean fields. With only -, over-40-high-performer-target cannot be parsed.</t>
  </si>
  <si>
    <t>EXAMPLE</t>
  </si>
  <si>
    <t>4</t>
  </si>
  <si>
    <t>Meta</t>
  </si>
  <si>
    <t>Dates as yyyy-mm-dd.</t>
  </si>
  <si>
    <t>IG Reels</t>
  </si>
  <si>
    <t>Ashwagandha Coffee</t>
  </si>
  <si>
    <t>Sorts correctly as text, contains no delimiter, unambiguous internationally.</t>
  </si>
  <si>
    <t>Broad/Lookalike</t>
  </si>
  <si>
    <t>Broad + lookalike of purchasers</t>
  </si>
  <si>
    <t>$75/Day</t>
  </si>
  <si>
    <t>ROAS &gt; 1.8</t>
  </si>
  <si>
    <t>https://www.youtube.com/shorts/KTTvL82TbmU</t>
  </si>
  <si>
    <t>https://www.tiktok.com/@laurenlately7/video/7650150542232046861</t>
  </si>
  <si>
    <t>[Link]</t>
  </si>
  <si>
    <t>https://buy.vahdam.com/coffee-cta-ugc-mushroom?utm_source=meta-instagram&amp;utm_medium=paid-social&amp;utm_campaign=2026-06_meta_conv_ugc&amp;utm_term=2026-06-11_broad-lookalike_ig-reels&amp;utm_content=2026-06-11_ugc_ashwa-coffee_broad-lookalike_instagram_dzsslhgtxhu&amp;acq_source=ugc_meta&amp;acq_subsource=northlynnliving_anti-mushroom_comparison</t>
  </si>
  <si>
    <t>[Live Ad Code]</t>
  </si>
  <si>
    <t>[Live Ad Link]</t>
  </si>
  <si>
    <t>[Dashboard Link]</t>
  </si>
  <si>
    <t>Live</t>
  </si>
  <si>
    <t>0.0</t>
  </si>
  <si>
    <t>5</t>
  </si>
  <si>
    <t>Never a space, / , &amp; ? % + or # anywhere in a name or parameter.</t>
  </si>
  <si>
    <t>Space becomes %20, / becomes %2F, comma breaks CSV export, &amp; and ? break the query string, # truncates the URL at the fragment.</t>
  </si>
  <si>
    <t>[Enter Ad Brief Here]</t>
  </si>
  <si>
    <t>[Agency to Fill]</t>
  </si>
  <si>
    <t>[Fill]</t>
  </si>
  <si>
    <t>6</t>
  </si>
  <si>
    <t>The videoid is mandatory on every ad name and in utm_content. Take it from the end of the organic video URL.</t>
  </si>
  <si>
    <t>[base URL + full parameter string - see Nomenclature]</t>
  </si>
  <si>
    <t>It is how the backend maps paid performance to the creative's organic score. An ad without it cannot be analysed.</t>
  </si>
  <si>
    <t>7</t>
  </si>
  <si>
    <t>acq_source is type_platform. acq_subsource is creator_bucket_hook. Both use the same field grammar as the names.</t>
  </si>
  <si>
    <t>https://www.tiktok.com/@jamesmelissaugc/video/7654195508097010957</t>
  </si>
  <si>
    <t>One SPLIT on underscore returns revenue by creator, by content angle and by hook style. None of the three is recoverable from utm_content.</t>
  </si>
  <si>
    <t>8</t>
  </si>
  <si>
    <t>Keep target and costco strictly separate in every name.</t>
  </si>
  <si>
    <t>Costco campaigns have previously been created using target keywords, which broke the reporting.</t>
  </si>
  <si>
    <t>9</t>
  </si>
  <si>
    <t>Copy token values from the block below rather than retyping them.</t>
  </si>
  <si>
    <t>One mistyped token splits a single audience or bucket across two report rows.</t>
  </si>
  <si>
    <t>10</t>
  </si>
  <si>
    <t>https://www.tiktok.com/@eggwhiteman/video/7661152616205913358</t>
  </si>
  <si>
    <t>Any asset live in Ad Manager whose name does not match the tracker exactly will be paused.</t>
  </si>
  <si>
    <t>The tracker is the source of truth for reporting.</t>
  </si>
  <si>
    <t>EXAMPLES OF TOKEN VALUES</t>
  </si>
  <si>
    <t>Token</t>
  </si>
  <si>
    <t>Permitted values</t>
  </si>
  <si>
    <t>https://www.tiktok.com/@eggwhiteman/video/7661375070203333902</t>
  </si>
  <si>
    <t>meta | tiktok</t>
  </si>
  <si>
    <t>instagram | facebook | tiktok</t>
  </si>
  <si>
    <t>conv</t>
  </si>
  <si>
    <t>target | costco | d2c | ugc</t>
  </si>
  <si>
    <t>https://www.instagram.com/reels/DanMsxtOSvk/</t>
  </si>
  <si>
    <t>over40 | high-performer | over40-high-performer | broad-lookalike</t>
  </si>
  <si>
    <t>ig-reels | ig-stories | fb-feed | tiktok-infeed | advantage-plus</t>
  </si>
  <si>
    <t>ashwa-coffee | turmeric-tea</t>
  </si>
  <si>
    <t>cortisol | gummies-vs-coffee | target-shelf | anti-mushroom | taste | over40-high-performer | target-instore</t>
  </si>
  <si>
    <t>curiosity | problem-pain | age-stage | personal-discovery | comparison | callout-ifyou | lifestyle | taste-sensory</t>
  </si>
  <si>
    <t>https://www.tiktok.com/@yaclizette/video/7659822564822273311</t>
  </si>
  <si>
    <t>lang</t>
  </si>
  <si>
    <t>en | es | pt</t>
  </si>
  <si>
    <t>platform-native id or reel shortcode, lowercased</t>
  </si>
  <si>
    <t>https://www.tiktok.com/@cidneygreen/video/7661084247293185310</t>
  </si>
  <si>
    <t>https://www.instagram.com/reels/DalDujvx0Lw/</t>
  </si>
  <si>
    <t>https://www.instagram.com/reels/DalIWNNRfe8/</t>
  </si>
  <si>
    <t>https://www.tiktok.com/@hannahugc1/video/7660639579728366879</t>
  </si>
  <si>
    <t>https://www.instagram.com/reels/Daq7yOeDUSv/</t>
  </si>
  <si>
    <t>https://www.instagram.com/reels/DaoVn10AeO4/</t>
  </si>
  <si>
    <t>https://www.instagram.com/reels/DalftEbxjd7/</t>
  </si>
  <si>
    <t>https://www.instagram.com/reels/Dau2PYeyojg/</t>
  </si>
  <si>
    <t>https://www.instagram.com/reels/DamFh5uMtQI/</t>
  </si>
  <si>
    <t>Will Be Shared By Anchit</t>
  </si>
  <si>
    <t>https://www.instagram.com/reels/DaqbAPPvgeS/</t>
  </si>
  <si>
    <t>Over 40 / High Performer</t>
  </si>
  <si>
    <t>Age 40+, Interests: Business, Wellness</t>
  </si>
  <si>
    <t>$50/Day</t>
  </si>
  <si>
    <t>ROAS &gt; 2.0</t>
  </si>
  <si>
    <t>https://www.instagram.com/reels/Daktttlv56y/</t>
  </si>
  <si>
    <t>https://www.instagram.com/reels/DavwffzJczz/</t>
  </si>
  <si>
    <t>https://www.instagram.com/reels/DaoYE_Hx9vX/</t>
  </si>
  <si>
    <t>https://www.instagram.com/reels/Davcw6KRhqQ/</t>
  </si>
  <si>
    <t>https://www.instagram.com/reels/Da0Z0kLTfkq/</t>
  </si>
  <si>
    <t>https://www.instagram.com/reel/Da4JENTOwx6/</t>
  </si>
  <si>
    <t>instagram.com/reel/Da3-hQup2c7/</t>
  </si>
  <si>
    <t>TikTok In-Feed</t>
  </si>
  <si>
    <t>Turmeric Tea Variety</t>
  </si>
  <si>
    <t>Over 40</t>
  </si>
  <si>
    <t>Age 40+, Interests: Organic Foods, Healthy Living</t>
  </si>
  <si>
    <t>https://www.instacart.com/products/80435594-vahdam-india-infusions-organic-turmeric-tea-variety-pack-100count?csr=true&amp;utm_source=tiktok-tiktok&amp;utm_medium=paid-social&amp;utm_campaign=2026-06_tiktok_conv_costco&amp;utm_term=2026-06-11_over40_tiktok-infeed&amp;utm_content=2026-06-11_costco_turmeric-tea_over40_tiktok_7651609390692306190&amp;acq_source=costco_tiktok&amp;acq_subsource=jenwinkel_taste_personal-discovery</t>
  </si>
  <si>
    <t>FB Feed</t>
  </si>
  <si>
    <t>High Performer</t>
  </si>
  <si>
    <t>Age 25-45, Interests: Entrepreneurship, Productivity</t>
  </si>
  <si>
    <t>$100/Day</t>
  </si>
  <si>
    <t>CPA &lt; $25</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</si>
</sst>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00"/>
    <numFmt numFmtId="165" formatCode="d&quot;-&quot;mmm&quot;-&quot;yyyy"/>
    <numFmt numFmtId="166" formatCode="0.0%"/>
    <numFmt numFmtId="167" formatCode="0.00&quot;%&quot;"/>
    <numFmt numFmtId="168" formatCode="\$#,##0.00"/>
    <numFmt numFmtId="169" formatCode="0.0"/>
    <numFmt numFmtId="170" formatCode="\$0.000"/>
    <numFmt numFmtId="171" formatCode="0.0&quot;%&quot;"/>
    <numFmt numFmtId="172" formatCode="$#,##0.000"/>
    <numFmt numFmtId="173" formatCode="0.00&quot;x&quot;"/>
    <numFmt numFmtId="174" formatCode="d-mmm-yyyy"/>
  </numFmts>
  <fonts count="18">
    <font>
      <sz val="11.0"/>
      <color theme="1"/>
      <name val="Calibri"/>
      <scheme val="minor"/>
    </font>
    <font>
      <b/>
      <sz val="11.0"/>
      <color rgb="FF004A2B"/>
      <name val="Calibri"/>
    </font>
    <font/>
    <font>
      <i/>
      <sz val="9.0"/>
      <color rgb="FF171717"/>
      <name val="Calibri"/>
    </font>
    <font>
      <color theme="1"/>
      <name val="Calibri"/>
      <scheme val="minor"/>
    </font>
    <font>
      <b/>
      <sz val="10.0"/>
      <color rgb="FFFBF5EA"/>
      <name val="Calibri"/>
    </font>
    <font>
      <sz val="10.0"/>
      <color theme="1"/>
      <name val="Calibri"/>
    </font>
    <font>
      <b/>
      <sz val="10.0"/>
      <color theme="1"/>
      <name val="Calibri"/>
    </font>
    <font>
      <u/>
      <sz val="10.0"/>
      <color rgb="FF0000FF"/>
      <name val="Calibri"/>
    </font>
    <font>
      <b/>
      <sz val="9.0"/>
      <color rgb="FF004A2B"/>
      <name val="Courier New"/>
    </font>
    <font>
      <u/>
      <sz val="10.0"/>
      <color rgb="FF0000FF"/>
      <name val="Calibri"/>
    </font>
    <font>
      <sz val="9.0"/>
      <color theme="1"/>
      <name val="Calibri"/>
    </font>
    <font>
      <b/>
      <sz val="9.0"/>
      <color rgb="FFFFFFFF"/>
      <name val="Calibri"/>
    </font>
    <font>
      <u/>
      <sz val="10.0"/>
      <color rgb="FF0000FF"/>
      <name val="Calibri"/>
    </font>
    <font>
      <u/>
      <color rgb="FF0000FF"/>
    </font>
    <font>
      <u/>
      <sz val="10.0"/>
      <color rgb="FF0000FF"/>
      <name val="Calibri"/>
    </font>
    <font>
      <sz val="11.0"/>
      <color theme="1"/>
      <name val="Calibri"/>
    </font>
    <font>
      <u/>
      <color rgb="FF0000FF"/>
    </font>
  </fonts>
  <fills count="16">
    <fill>
      <patternFill patternType="none"/>
    </fill>
    <fill>
      <patternFill patternType="lightGray"/>
    </fill>
    <fill>
      <patternFill patternType="solid">
        <fgColor rgb="FF004A2B"/>
        <bgColor rgb="FF004A2B"/>
      </patternFill>
    </fill>
    <fill>
      <patternFill patternType="solid">
        <fgColor rgb="FFFFFFFF"/>
        <bgColor rgb="FFFFFFFF"/>
      </patternFill>
    </fill>
    <fill>
      <patternFill patternType="solid">
        <fgColor rgb="FFFFF9C4"/>
        <bgColor rgb="FFFFF9C4"/>
      </patternFill>
    </fill>
    <fill>
      <patternFill patternType="solid">
        <fgColor rgb="FFF5F5F5"/>
        <bgColor rgb="FFF5F5F5"/>
      </patternFill>
    </fill>
    <fill>
      <patternFill patternType="solid">
        <fgColor rgb="FFD9EAD3"/>
        <bgColor rgb="FFD9EAD3"/>
      </patternFill>
    </fill>
    <fill>
      <patternFill patternType="solid">
        <fgColor rgb="FFFCE4EC"/>
        <bgColor rgb="FFFCE4EC"/>
      </patternFill>
    </fill>
    <fill>
      <patternFill patternType="solid">
        <fgColor rgb="FF1A237E"/>
        <bgColor rgb="FF1A237E"/>
      </patternFill>
    </fill>
    <fill>
      <patternFill patternType="solid">
        <fgColor rgb="FF00695C"/>
        <bgColor rgb="FF00695C"/>
      </patternFill>
    </fill>
    <fill>
      <patternFill patternType="solid">
        <fgColor rgb="FF1A5276"/>
        <bgColor rgb="FF1A5276"/>
      </patternFill>
    </fill>
    <fill>
      <patternFill patternType="solid">
        <fgColor rgb="FF1565C0"/>
        <bgColor rgb="FF1565C0"/>
      </patternFill>
    </fill>
    <fill>
      <patternFill patternType="solid">
        <fgColor rgb="FFE67E22"/>
        <bgColor rgb="FFE67E22"/>
      </patternFill>
    </fill>
    <fill>
      <patternFill patternType="solid">
        <fgColor rgb="FF757575"/>
        <bgColor rgb="FF757575"/>
      </patternFill>
    </fill>
    <fill>
      <patternFill patternType="solid">
        <fgColor rgb="FF1E8449"/>
        <bgColor rgb="FF1E8449"/>
      </patternFill>
    </fill>
    <fill>
      <patternFill patternType="solid">
        <fgColor rgb="FFFFF2CC"/>
        <bgColor rgb="FFFFF2CC"/>
      </patternFill>
    </fill>
  </fills>
  <borders count="9">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top/>
      <bottom/>
    </border>
    <border>
      <top/>
      <bottom/>
    </border>
    <border>
      <right/>
      <top/>
      <bottom/>
    </border>
    <border>
      <left/>
      <right/>
      <top/>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2" fillId="0" fontId="1" numFmtId="0" xfId="0" applyAlignment="1" applyBorder="1" applyFont="1">
      <alignment shrinkToFit="0" vertical="center" wrapText="1"/>
    </xf>
    <xf borderId="3" fillId="0" fontId="2" numFmtId="0" xfId="0" applyBorder="1" applyFont="1"/>
    <xf borderId="2" fillId="0" fontId="3" numFmtId="0" xfId="0" applyAlignment="1" applyBorder="1" applyFont="1">
      <alignment shrinkToFit="0" vertical="top" wrapText="1"/>
    </xf>
    <xf borderId="4" fillId="0" fontId="2" numFmtId="0" xfId="0" applyBorder="1" applyFont="1"/>
    <xf borderId="1" fillId="0" fontId="3" numFmtId="0" xfId="0" applyAlignment="1" applyBorder="1" applyFont="1">
      <alignment shrinkToFit="0" vertical="top" wrapText="1"/>
    </xf>
    <xf borderId="0" fillId="0" fontId="4" numFmtId="0" xfId="0" applyAlignment="1" applyFont="1">
      <alignment vertical="center"/>
    </xf>
    <xf borderId="1" fillId="2" fontId="5" numFmtId="0" xfId="0" applyAlignment="1" applyBorder="1" applyFill="1" applyFont="1">
      <alignment shrinkToFit="0" vertical="center" wrapText="1"/>
    </xf>
    <xf borderId="1" fillId="3" fontId="5" numFmtId="0" xfId="0" applyAlignment="1" applyBorder="1" applyFill="1" applyFont="1">
      <alignment shrinkToFit="0" vertical="center" wrapText="1"/>
    </xf>
    <xf borderId="1" fillId="0" fontId="6" numFmtId="0" xfId="0" applyAlignment="1" applyBorder="1" applyFont="1">
      <alignment shrinkToFit="0" vertical="top" wrapText="1"/>
    </xf>
    <xf borderId="2" fillId="0" fontId="7" numFmtId="0" xfId="0" applyAlignment="1" applyBorder="1" applyFont="1">
      <alignment shrinkToFit="0" vertical="center" wrapText="1"/>
    </xf>
    <xf borderId="1" fillId="0" fontId="8" numFmtId="0" xfId="0" applyAlignment="1" applyBorder="1" applyFont="1">
      <alignment shrinkToFit="0" vertical="top" wrapText="1"/>
    </xf>
    <xf borderId="1" fillId="0" fontId="6" numFmtId="3" xfId="0" applyAlignment="1" applyBorder="1" applyFont="1" applyNumberFormat="1">
      <alignment shrinkToFit="0" vertical="top" wrapText="1"/>
    </xf>
    <xf borderId="2" fillId="0" fontId="3" numFmtId="0" xfId="0" applyAlignment="1" applyBorder="1" applyFont="1">
      <alignment shrinkToFit="0" vertical="center" wrapText="1"/>
    </xf>
    <xf borderId="1" fillId="0" fontId="6" numFmtId="164" xfId="0" applyAlignment="1" applyBorder="1" applyFont="1" applyNumberFormat="1">
      <alignment shrinkToFit="0" vertical="top" wrapText="1"/>
    </xf>
    <xf borderId="1" fillId="3" fontId="6" numFmtId="164" xfId="0" applyAlignment="1" applyBorder="1" applyFont="1" applyNumberFormat="1">
      <alignment shrinkToFit="0" vertical="top" wrapText="1"/>
    </xf>
    <xf borderId="1" fillId="0" fontId="6" numFmtId="0" xfId="0" applyAlignment="1" applyBorder="1" applyFont="1">
      <alignment shrinkToFit="0" vertical="center" wrapText="1"/>
    </xf>
    <xf borderId="1" fillId="0" fontId="9" numFmtId="0" xfId="0" applyAlignment="1" applyBorder="1" applyFont="1">
      <alignment shrinkToFit="0" vertical="center" wrapText="1"/>
    </xf>
    <xf borderId="1" fillId="0" fontId="7" numFmtId="0" xfId="0" applyAlignment="1" applyBorder="1" applyFont="1">
      <alignment shrinkToFit="0" vertical="top" wrapText="1"/>
    </xf>
    <xf borderId="2" fillId="0" fontId="6" numFmtId="0" xfId="0" applyAlignment="1" applyBorder="1" applyFont="1">
      <alignment shrinkToFit="0" vertical="top" wrapText="1"/>
    </xf>
    <xf borderId="1" fillId="0" fontId="7" numFmtId="0" xfId="0" applyAlignment="1" applyBorder="1" applyFont="1">
      <alignment shrinkToFit="0" vertical="center" wrapText="1"/>
    </xf>
    <xf borderId="1" fillId="4" fontId="6" numFmtId="0" xfId="0" applyAlignment="1" applyBorder="1" applyFill="1" applyFont="1">
      <alignment shrinkToFit="0" vertical="top" wrapText="1"/>
    </xf>
    <xf borderId="1" fillId="5" fontId="7" numFmtId="0" xfId="0" applyAlignment="1" applyBorder="1" applyFill="1" applyFont="1">
      <alignment shrinkToFit="0" vertical="center" wrapText="1"/>
    </xf>
    <xf borderId="1" fillId="4" fontId="6" numFmtId="3" xfId="0" applyAlignment="1" applyBorder="1" applyFont="1" applyNumberFormat="1">
      <alignment shrinkToFit="0" vertical="top" wrapText="1"/>
    </xf>
    <xf borderId="1" fillId="4" fontId="6" numFmtId="164" xfId="0" applyAlignment="1" applyBorder="1" applyFont="1" applyNumberFormat="1">
      <alignment shrinkToFit="0" vertical="top" wrapText="1"/>
    </xf>
    <xf borderId="1" fillId="4" fontId="10" numFmtId="0" xfId="0" applyAlignment="1" applyBorder="1" applyFont="1">
      <alignment shrinkToFit="0" vertical="top" wrapText="1"/>
    </xf>
    <xf borderId="0" fillId="3" fontId="4" numFmtId="0" xfId="0" applyFont="1"/>
    <xf borderId="2" fillId="4" fontId="7" numFmtId="0" xfId="0" applyAlignment="1" applyBorder="1" applyFont="1">
      <alignment shrinkToFit="0" vertical="top" wrapText="1"/>
    </xf>
    <xf borderId="4" fillId="3" fontId="7" numFmtId="0" xfId="0" applyAlignment="1" applyBorder="1" applyFont="1">
      <alignment shrinkToFit="0" vertical="top" wrapText="1"/>
    </xf>
    <xf borderId="1" fillId="4" fontId="7" numFmtId="0" xfId="0" applyAlignment="1" applyBorder="1" applyFont="1">
      <alignment shrinkToFit="0" vertical="top" wrapText="1"/>
    </xf>
    <xf borderId="4" fillId="0" fontId="6" numFmtId="0" xfId="0" applyAlignment="1" applyBorder="1" applyFont="1">
      <alignment shrinkToFit="0" vertical="top" wrapText="1"/>
    </xf>
    <xf borderId="5" fillId="6" fontId="11" numFmtId="0" xfId="0" applyAlignment="1" applyBorder="1" applyFill="1" applyFont="1">
      <alignment shrinkToFit="0" vertical="center" wrapText="1"/>
    </xf>
    <xf borderId="6" fillId="0" fontId="2" numFmtId="0" xfId="0" applyBorder="1" applyFont="1"/>
    <xf borderId="7" fillId="0" fontId="2" numFmtId="0" xfId="0" applyBorder="1" applyFont="1"/>
    <xf borderId="0" fillId="0" fontId="4" numFmtId="0" xfId="0" applyAlignment="1" applyFont="1">
      <alignment shrinkToFit="0" wrapText="1"/>
    </xf>
    <xf borderId="0" fillId="0" fontId="11" numFmtId="0" xfId="0" applyAlignment="1" applyFont="1">
      <alignment shrinkToFit="0" wrapText="1"/>
    </xf>
    <xf borderId="1" fillId="0" fontId="6" numFmtId="0" xfId="0" applyAlignment="1" applyBorder="1" applyFont="1">
      <alignment readingOrder="0" shrinkToFit="0" vertical="center" wrapText="1"/>
    </xf>
    <xf borderId="1" fillId="0" fontId="6" numFmtId="9" xfId="0" applyAlignment="1" applyBorder="1" applyFont="1" applyNumberFormat="1">
      <alignment horizontal="left" readingOrder="0" shrinkToFit="0" vertical="center" wrapText="1"/>
    </xf>
    <xf borderId="2" fillId="4" fontId="7" numFmtId="0" xfId="0" applyAlignment="1" applyBorder="1" applyFont="1">
      <alignment shrinkToFit="0" vertical="center" wrapText="1"/>
    </xf>
    <xf borderId="5" fillId="7" fontId="11" numFmtId="0" xfId="0" applyAlignment="1" applyBorder="1" applyFill="1" applyFont="1">
      <alignment shrinkToFit="0" vertical="center" wrapText="1"/>
    </xf>
    <xf borderId="5" fillId="8" fontId="12" numFmtId="0" xfId="0" applyAlignment="1" applyBorder="1" applyFill="1" applyFont="1">
      <alignment horizontal="center" shrinkToFit="0" vertical="center" wrapText="1"/>
    </xf>
    <xf borderId="8" fillId="8" fontId="12" numFmtId="0" xfId="0" applyAlignment="1" applyBorder="1" applyFont="1">
      <alignment horizontal="center" shrinkToFit="0" vertical="center" wrapText="1"/>
    </xf>
    <xf borderId="5" fillId="9" fontId="12" numFmtId="0" xfId="0" applyAlignment="1" applyBorder="1" applyFill="1" applyFont="1">
      <alignment horizontal="center" shrinkToFit="0" vertical="center" wrapText="1"/>
    </xf>
    <xf borderId="0" fillId="0" fontId="4" numFmtId="0" xfId="0" applyAlignment="1" applyFont="1">
      <alignment horizontal="center" shrinkToFit="0" wrapText="1"/>
    </xf>
    <xf borderId="0" fillId="0" fontId="11" numFmtId="0" xfId="0" applyAlignment="1" applyFont="1">
      <alignment horizontal="center" shrinkToFit="0" wrapText="1"/>
    </xf>
    <xf borderId="8" fillId="8" fontId="12" numFmtId="0" xfId="0" applyAlignment="1" applyBorder="1" applyFont="1">
      <alignment shrinkToFit="0" vertical="center" wrapText="1"/>
    </xf>
    <xf borderId="8" fillId="10" fontId="12" numFmtId="0" xfId="0" applyAlignment="1" applyBorder="1" applyFill="1" applyFont="1">
      <alignment shrinkToFit="0" vertical="center" wrapText="1"/>
    </xf>
    <xf borderId="4" fillId="0" fontId="1" numFmtId="0" xfId="0" applyAlignment="1" applyBorder="1" applyFont="1">
      <alignment shrinkToFit="0" vertical="center" wrapText="1"/>
    </xf>
    <xf borderId="8" fillId="9" fontId="12" numFmtId="0" xfId="0" applyAlignment="1" applyBorder="1" applyFont="1">
      <alignment shrinkToFit="0" vertical="center" wrapText="1"/>
    </xf>
    <xf borderId="2" fillId="0" fontId="13" numFmtId="0" xfId="0" applyAlignment="1" applyBorder="1" applyFont="1">
      <alignment shrinkToFit="0" vertical="center" wrapText="1"/>
    </xf>
    <xf borderId="8" fillId="11" fontId="12" numFmtId="0" xfId="0" applyAlignment="1" applyBorder="1" applyFill="1" applyFont="1">
      <alignment shrinkToFit="0" vertical="center" wrapText="1"/>
    </xf>
    <xf borderId="8" fillId="12" fontId="12" numFmtId="0" xfId="0" applyAlignment="1" applyBorder="1" applyFill="1" applyFont="1">
      <alignment shrinkToFit="0" vertical="center" wrapText="1"/>
    </xf>
    <xf borderId="8" fillId="13" fontId="12" numFmtId="0" xfId="0" applyAlignment="1" applyBorder="1" applyFill="1" applyFont="1">
      <alignment shrinkToFit="0" vertical="center" wrapText="1"/>
    </xf>
    <xf borderId="8" fillId="14" fontId="12" numFmtId="0" xfId="0" applyAlignment="1" applyBorder="1" applyFill="1" applyFont="1">
      <alignment shrinkToFit="0" vertical="center" wrapText="1"/>
    </xf>
    <xf borderId="0" fillId="0" fontId="4" numFmtId="0" xfId="0" applyAlignment="1" applyFont="1">
      <alignment shrinkToFit="0" vertical="center" wrapText="1"/>
    </xf>
    <xf borderId="0" fillId="0" fontId="4" numFmtId="165" xfId="0" applyAlignment="1" applyFont="1" applyNumberFormat="1">
      <alignment shrinkToFit="0" vertical="center" wrapText="1"/>
    </xf>
    <xf borderId="2" fillId="0" fontId="1" numFmtId="0" xfId="0" applyAlignment="1" applyBorder="1" applyFont="1">
      <alignment readingOrder="0" shrinkToFit="0" vertical="center" wrapText="1"/>
    </xf>
    <xf borderId="0" fillId="0" fontId="14" numFmtId="0" xfId="0" applyAlignment="1" applyFont="1">
      <alignment shrinkToFit="0" vertical="center" wrapText="1"/>
    </xf>
    <xf borderId="0" fillId="0" fontId="4" numFmtId="3" xfId="0" applyAlignment="1" applyFont="1" applyNumberFormat="1">
      <alignment shrinkToFit="0" vertical="center" wrapText="1"/>
    </xf>
    <xf borderId="1" fillId="6" fontId="3" numFmtId="0" xfId="0" applyAlignment="1" applyBorder="1" applyFont="1">
      <alignment shrinkToFit="0" vertical="top" wrapText="1"/>
    </xf>
    <xf borderId="0" fillId="0" fontId="4" numFmtId="166" xfId="0" applyAlignment="1" applyFont="1" applyNumberFormat="1">
      <alignment shrinkToFit="0" vertical="center" wrapText="1"/>
    </xf>
    <xf borderId="0" fillId="0" fontId="4" numFmtId="167" xfId="0" applyAlignment="1" applyFont="1" applyNumberFormat="1">
      <alignment shrinkToFit="0" vertical="center" wrapText="1"/>
    </xf>
    <xf borderId="0" fillId="0" fontId="4" numFmtId="168" xfId="0" applyAlignment="1" applyFont="1" applyNumberFormat="1">
      <alignment shrinkToFit="0" vertical="center" wrapText="1"/>
    </xf>
    <xf borderId="0" fillId="0" fontId="4" numFmtId="169" xfId="0" applyAlignment="1" applyFont="1" applyNumberFormat="1">
      <alignment shrinkToFit="0" vertical="center" wrapText="1"/>
    </xf>
    <xf borderId="0" fillId="0" fontId="4" numFmtId="170" xfId="0" applyAlignment="1" applyFont="1" applyNumberFormat="1">
      <alignment shrinkToFit="0" vertical="center" wrapText="1"/>
    </xf>
    <xf borderId="1" fillId="15" fontId="6" numFmtId="0" xfId="0" applyAlignment="1" applyBorder="1" applyFill="1" applyFont="1">
      <alignment shrinkToFit="0" vertical="top" wrapText="1"/>
    </xf>
    <xf borderId="1" fillId="15" fontId="15" numFmtId="0" xfId="0" applyAlignment="1" applyBorder="1" applyFont="1">
      <alignment shrinkToFit="0" vertical="top" wrapText="1"/>
    </xf>
    <xf borderId="0" fillId="0" fontId="4" numFmtId="171" xfId="0" applyAlignment="1" applyFont="1" applyNumberFormat="1">
      <alignment shrinkToFit="0" vertical="center" wrapText="1"/>
    </xf>
    <xf borderId="1" fillId="0" fontId="6" numFmtId="49" xfId="0" applyAlignment="1" applyBorder="1" applyFont="1" applyNumberFormat="1">
      <alignment shrinkToFit="0" vertical="top" wrapText="1"/>
    </xf>
    <xf borderId="1" fillId="0" fontId="6" numFmtId="10" xfId="0" applyAlignment="1" applyBorder="1" applyFont="1" applyNumberFormat="1">
      <alignment shrinkToFit="0" vertical="top" wrapText="1"/>
    </xf>
    <xf borderId="1" fillId="0" fontId="6" numFmtId="172" xfId="0" applyAlignment="1" applyBorder="1" applyFont="1" applyNumberFormat="1">
      <alignment shrinkToFit="0" vertical="top" wrapText="1"/>
    </xf>
    <xf borderId="1" fillId="0" fontId="6" numFmtId="173" xfId="0" applyAlignment="1" applyBorder="1" applyFont="1" applyNumberFormat="1">
      <alignment shrinkToFit="0" vertical="top" wrapText="1"/>
    </xf>
    <xf borderId="0" fillId="0" fontId="4" numFmtId="0" xfId="0" applyFont="1"/>
    <xf borderId="0" fillId="0" fontId="16" numFmtId="49" xfId="0" applyFont="1" applyNumberFormat="1"/>
    <xf borderId="0" fillId="0" fontId="16" numFmtId="164" xfId="0" applyFont="1" applyNumberFormat="1"/>
    <xf borderId="0" fillId="0" fontId="16" numFmtId="3" xfId="0" applyFont="1" applyNumberFormat="1"/>
    <xf borderId="0" fillId="0" fontId="17" numFmtId="3" xfId="0" applyAlignment="1" applyFont="1" applyNumberFormat="1">
      <alignment shrinkToFit="0" vertical="center" wrapText="1"/>
    </xf>
    <xf borderId="0" fillId="0" fontId="4" numFmtId="174" xfId="0" applyAlignment="1" applyFont="1" applyNumberFormat="1">
      <alignment shrinkToFit="0" vertical="center" wrapText="1"/>
    </xf>
  </cellXfs>
  <cellStyles count="1">
    <cellStyle xfId="0" name="Normal" builtinId="0"/>
  </cellStyles>
  <dxfs count="8">
    <dxf>
      <font>
        <b/>
        <sz val="9.0"/>
        <color rgb="FFFFFFFF"/>
        <name val="Calibri"/>
      </font>
      <fill>
        <patternFill patternType="solid">
          <fgColor rgb="FF00695C"/>
          <bgColor rgb="FF00695C"/>
        </patternFill>
      </fill>
      <border/>
    </dxf>
    <dxf>
      <font/>
      <fill>
        <patternFill patternType="solid">
          <fgColor rgb="FFA9DFBF"/>
          <bgColor rgb="FFA9DFBF"/>
        </patternFill>
      </fill>
      <border/>
    </dxf>
    <dxf>
      <font/>
      <fill>
        <patternFill patternType="solid">
          <fgColor rgb="FF00FF00"/>
          <bgColor rgb="FF00FF00"/>
        </patternFill>
      </fill>
      <border/>
    </dxf>
    <dxf>
      <font/>
      <fill>
        <patternFill patternType="solid">
          <fgColor rgb="FFFFFF00"/>
          <bgColor rgb="FFFFFF00"/>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00FFFF"/>
          <bgColor rgb="FF00FFFF"/>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tiktok.com/@fabiliealves/video/7657743941277699359" TargetMode="External"/><Relationship Id="rId194" Type="http://schemas.openxmlformats.org/officeDocument/2006/relationships/hyperlink" Target="https://www.tiktok.com/@xtloves/video/7658071883140648206" TargetMode="External"/><Relationship Id="rId193" Type="http://schemas.openxmlformats.org/officeDocument/2006/relationships/hyperlink" Target="https://www.tiktok.com/@britli.foley/video/7657318692140682526" TargetMode="External"/><Relationship Id="rId192" Type="http://schemas.openxmlformats.org/officeDocument/2006/relationships/hyperlink" Target="https://www.tiktok.com/@laurat.tok/video/7657621292656397581" TargetMode="External"/><Relationship Id="rId191" Type="http://schemas.openxmlformats.org/officeDocument/2006/relationships/hyperlink" Target="https://www.tiktok.com/@maxprintstudio/video/7658317474101824782" TargetMode="External"/><Relationship Id="rId187" Type="http://schemas.openxmlformats.org/officeDocument/2006/relationships/hyperlink" Target="https://www.tiktok.com/@cynthiablancocreator/video/7657271940884761886" TargetMode="External"/><Relationship Id="rId186" Type="http://schemas.openxmlformats.org/officeDocument/2006/relationships/hyperlink" Target="https://www.tiktok.com/@carrievee2022/video/7657728654000065823" TargetMode="External"/><Relationship Id="rId185" Type="http://schemas.openxmlformats.org/officeDocument/2006/relationships/hyperlink" Target="https://www.tiktok.com/@carolviliotti/video/7657611567625751821" TargetMode="External"/><Relationship Id="rId184" Type="http://schemas.openxmlformats.org/officeDocument/2006/relationships/hyperlink" Target="https://www.tiktok.com/@preetiikumar/video/7657153657292492062" TargetMode="External"/><Relationship Id="rId189" Type="http://schemas.openxmlformats.org/officeDocument/2006/relationships/hyperlink" Target="https://www.tiktok.com/@sheiladasilva301/video/7658273000344554782" TargetMode="External"/><Relationship Id="rId188" Type="http://schemas.openxmlformats.org/officeDocument/2006/relationships/hyperlink" Target="https://www.instagram.com/reel/DaZG12DM6bs/" TargetMode="External"/><Relationship Id="rId183" Type="http://schemas.openxmlformats.org/officeDocument/2006/relationships/hyperlink" Target="https://www.tiktok.com/@hayley_the_hustler/video/7657556024378887437" TargetMode="External"/><Relationship Id="rId182" Type="http://schemas.openxmlformats.org/officeDocument/2006/relationships/hyperlink" Target="https://www.tiktok.com/@jugoncalves.by/video/7657328682251439390" TargetMode="External"/><Relationship Id="rId181" Type="http://schemas.openxmlformats.org/officeDocument/2006/relationships/hyperlink" Target="https://www.tiktok.com/@ugc.alana/video/7656790890110831902" TargetMode="External"/><Relationship Id="rId180" Type="http://schemas.openxmlformats.org/officeDocument/2006/relationships/hyperlink" Target="https://www.tiktok.com/@lifeaslaurenperez/video/7658087290367003918" TargetMode="External"/><Relationship Id="rId176" Type="http://schemas.openxmlformats.org/officeDocument/2006/relationships/hyperlink" Target="https://www.instagram.com/reel/DZ7_-KwOAAA/" TargetMode="External"/><Relationship Id="rId297" Type="http://schemas.openxmlformats.org/officeDocument/2006/relationships/hyperlink" Target="https://www.instagram.com/reel/DaCVRR_ysjp/" TargetMode="External"/><Relationship Id="rId175" Type="http://schemas.openxmlformats.org/officeDocument/2006/relationships/hyperlink" Target="https://www.instagram.com/reel/DaCEEOzMTdN/" TargetMode="External"/><Relationship Id="rId296" Type="http://schemas.openxmlformats.org/officeDocument/2006/relationships/hyperlink" Target="https://buy.vahdam.com/coffee-cta-ugc-cortisol" TargetMode="External"/><Relationship Id="rId174" Type="http://schemas.openxmlformats.org/officeDocument/2006/relationships/hyperlink" Target="https://www.instagram.com/reel/DZ0JSGbReaJ/" TargetMode="External"/><Relationship Id="rId295" Type="http://schemas.openxmlformats.org/officeDocument/2006/relationships/hyperlink" Target="https://www.instagram.com/reel/DZuiDjLugRR/" TargetMode="External"/><Relationship Id="rId173" Type="http://schemas.openxmlformats.org/officeDocument/2006/relationships/hyperlink" Target="https://www.instagram.com/reel/DaLOUUcRNN5/" TargetMode="External"/><Relationship Id="rId294" Type="http://schemas.openxmlformats.org/officeDocument/2006/relationships/hyperlink" Target="https://us.brand.joinbrands.com/job/689873" TargetMode="External"/><Relationship Id="rId179" Type="http://schemas.openxmlformats.org/officeDocument/2006/relationships/hyperlink" Target="https://www.tiktok.com/@magicyulinusa/video/7658350613901724941" TargetMode="External"/><Relationship Id="rId178" Type="http://schemas.openxmlformats.org/officeDocument/2006/relationships/hyperlink" Target="https://www.instagram.com/reel/DaCfIHJudlN/" TargetMode="External"/><Relationship Id="rId299" Type="http://schemas.openxmlformats.org/officeDocument/2006/relationships/hyperlink" Target="https://www.instagram.com/reel/DZpnlctOEpv/" TargetMode="External"/><Relationship Id="rId177" Type="http://schemas.openxmlformats.org/officeDocument/2006/relationships/hyperlink" Target="https://www.instagram.com/reel/DZtEojCBeoZ/" TargetMode="External"/><Relationship Id="rId298" Type="http://schemas.openxmlformats.org/officeDocument/2006/relationships/hyperlink" Target="https://buy.vahdam.com/coffee-cta-ugc-gummies" TargetMode="External"/><Relationship Id="rId198" Type="http://schemas.openxmlformats.org/officeDocument/2006/relationships/hyperlink" Target="https://www.instagram.com/reel/DaPDeYdhung/" TargetMode="External"/><Relationship Id="rId197" Type="http://schemas.openxmlformats.org/officeDocument/2006/relationships/hyperlink" Target="https://www.tiktok.com/@itsjuliagold/video/7658061709340413197" TargetMode="External"/><Relationship Id="rId196" Type="http://schemas.openxmlformats.org/officeDocument/2006/relationships/hyperlink" Target="https://www.instagram.com/reels/DakVOTYicU9/" TargetMode="External"/><Relationship Id="rId195" Type="http://schemas.openxmlformats.org/officeDocument/2006/relationships/hyperlink" Target="https://www.tiktok.com/@kolletwharton/video/7660524739395472670" TargetMode="External"/><Relationship Id="rId199" Type="http://schemas.openxmlformats.org/officeDocument/2006/relationships/hyperlink" Target="https://www.tiktok.com/@the.kathy.alemar/video/7658327625676475678" TargetMode="External"/><Relationship Id="rId150" Type="http://schemas.openxmlformats.org/officeDocument/2006/relationships/hyperlink" Target="https://www.instagram.com/reel/DZ7xjy9x9QC/" TargetMode="External"/><Relationship Id="rId271" Type="http://schemas.openxmlformats.org/officeDocument/2006/relationships/hyperlink" Target="https://us.brand.joinbrands.com/job/689873" TargetMode="External"/><Relationship Id="rId392" Type="http://schemas.openxmlformats.org/officeDocument/2006/relationships/hyperlink" Target="https://us.brand.joinbrands.com/job/691421" TargetMode="External"/><Relationship Id="rId270" Type="http://schemas.openxmlformats.org/officeDocument/2006/relationships/hyperlink" Target="https://www.tiktok.com/@mamaede3nagringa/video/7652705482792045854" TargetMode="External"/><Relationship Id="rId391" Type="http://schemas.openxmlformats.org/officeDocument/2006/relationships/hyperlink" Target="https://www.tiktok.com/@edettfinds/video/7655364826037865758" TargetMode="External"/><Relationship Id="rId390" Type="http://schemas.openxmlformats.org/officeDocument/2006/relationships/hyperlink" Target="https://www.tiktok.com/@bellinha_rodriguess/video/7654564716521540894" TargetMode="External"/><Relationship Id="rId1" Type="http://schemas.openxmlformats.org/officeDocument/2006/relationships/hyperlink" Target="https://www.tiktok.com/@jeorginaugc/video/7644934695515393294" TargetMode="External"/><Relationship Id="rId2" Type="http://schemas.openxmlformats.org/officeDocument/2006/relationships/hyperlink" Target="https://us.brand.joinbrands.com/job/676332" TargetMode="External"/><Relationship Id="rId3" Type="http://schemas.openxmlformats.org/officeDocument/2006/relationships/hyperlink" Target="https://www.instagram.com/p/DZaSfUDOn4H/" TargetMode="External"/><Relationship Id="rId149" Type="http://schemas.openxmlformats.org/officeDocument/2006/relationships/hyperlink" Target="https://us.brand.joinbrands.com/job/689785" TargetMode="External"/><Relationship Id="rId4" Type="http://schemas.openxmlformats.org/officeDocument/2006/relationships/hyperlink" Target="https://www.tiktok.com/@jenwinkel/video/7651609390692306190" TargetMode="External"/><Relationship Id="rId148" Type="http://schemas.openxmlformats.org/officeDocument/2006/relationships/hyperlink" Target="https://www.tiktok.com/@ali540294/video/7655560680602389790" TargetMode="External"/><Relationship Id="rId269" Type="http://schemas.openxmlformats.org/officeDocument/2006/relationships/hyperlink" Target="https://www.tiktok.com/t/ZTBE6YpyV/" TargetMode="External"/><Relationship Id="rId9" Type="http://schemas.openxmlformats.org/officeDocument/2006/relationships/hyperlink" Target="https://us.brand.joinbrands.com/job/687396" TargetMode="External"/><Relationship Id="rId143" Type="http://schemas.openxmlformats.org/officeDocument/2006/relationships/hyperlink" Target="https://us.brand.joinbrands.com/job/688044" TargetMode="External"/><Relationship Id="rId264" Type="http://schemas.openxmlformats.org/officeDocument/2006/relationships/hyperlink" Target="https://www.tiktok.com/@the.little.green.hill/video/7662778213722017037" TargetMode="External"/><Relationship Id="rId385" Type="http://schemas.openxmlformats.org/officeDocument/2006/relationships/hyperlink" Target="https://www.tiktok.com/@sashdigitalmuse/video/7654768951204793613?_r=1&amp;_t=ZT-97SvoJnYGHF" TargetMode="External"/><Relationship Id="rId142" Type="http://schemas.openxmlformats.org/officeDocument/2006/relationships/hyperlink" Target="https://www.tiktok.com/@irish_kulish_life/video/7652387013047389471" TargetMode="External"/><Relationship Id="rId263" Type="http://schemas.openxmlformats.org/officeDocument/2006/relationships/hyperlink" Target="https://www.tiktok.com/@jvayavinat/video/7663045458696097055" TargetMode="External"/><Relationship Id="rId384" Type="http://schemas.openxmlformats.org/officeDocument/2006/relationships/hyperlink" Target="https://us.brand.joinbrands.com/job/686626" TargetMode="External"/><Relationship Id="rId141" Type="http://schemas.openxmlformats.org/officeDocument/2006/relationships/hyperlink" Target="https://us.brand.joinbrands.com/job/695022" TargetMode="External"/><Relationship Id="rId262" Type="http://schemas.openxmlformats.org/officeDocument/2006/relationships/hyperlink" Target="https://www.tiktok.com/@knowledgebitches/video/7662733579700473118" TargetMode="External"/><Relationship Id="rId383" Type="http://schemas.openxmlformats.org/officeDocument/2006/relationships/hyperlink" Target="https://www.tiktok.com/@katerin.ugc/video/7652132591218281742" TargetMode="External"/><Relationship Id="rId140" Type="http://schemas.openxmlformats.org/officeDocument/2006/relationships/hyperlink" Target="https://www.tiktok.com/@lorrainealbernazugc/video/7654602616927735053" TargetMode="External"/><Relationship Id="rId261" Type="http://schemas.openxmlformats.org/officeDocument/2006/relationships/hyperlink" Target="https://www.tiktok.com/@hbattey3/video/7662890742490107149" TargetMode="External"/><Relationship Id="rId382" Type="http://schemas.openxmlformats.org/officeDocument/2006/relationships/hyperlink" Target="https://us.brand.joinbrands.com/job/690558" TargetMode="External"/><Relationship Id="rId5" Type="http://schemas.openxmlformats.org/officeDocument/2006/relationships/hyperlink" Target="https://us.brand.joinbrands.com/job/690600" TargetMode="External"/><Relationship Id="rId147" Type="http://schemas.openxmlformats.org/officeDocument/2006/relationships/hyperlink" Target="https://www.tiktok.com/@offdutywithjp/video/7656949319534234910" TargetMode="External"/><Relationship Id="rId268" Type="http://schemas.openxmlformats.org/officeDocument/2006/relationships/hyperlink" Target="https://www.tiktok.com/t/ZTBTwNRUT/" TargetMode="External"/><Relationship Id="rId389" Type="http://schemas.openxmlformats.org/officeDocument/2006/relationships/hyperlink" Target="https://us.brand.joinbrands.com/job/691099" TargetMode="External"/><Relationship Id="rId6" Type="http://schemas.openxmlformats.org/officeDocument/2006/relationships/hyperlink" Target="https://www.tiktok.com/@anna_phylactic__shock/video/7651994987902553357" TargetMode="External"/><Relationship Id="rId146" Type="http://schemas.openxmlformats.org/officeDocument/2006/relationships/hyperlink" Target="https://www.instagram.com/reel/DZ-MyxdIsrO/" TargetMode="External"/><Relationship Id="rId267" Type="http://schemas.openxmlformats.org/officeDocument/2006/relationships/hyperlink" Target="https://us.brand.joinbrands.com/job/689663" TargetMode="External"/><Relationship Id="rId388" Type="http://schemas.openxmlformats.org/officeDocument/2006/relationships/hyperlink" Target="https://www.tiktok.com/@badassmamababe/video/7655368100535192846" TargetMode="External"/><Relationship Id="rId7" Type="http://schemas.openxmlformats.org/officeDocument/2006/relationships/hyperlink" Target="https://us.brand.joinbrands.com/job/686140" TargetMode="External"/><Relationship Id="rId145" Type="http://schemas.openxmlformats.org/officeDocument/2006/relationships/hyperlink" Target="https://www.tiktok.com/@familiawestcoast/video/7656991414244396319" TargetMode="External"/><Relationship Id="rId266" Type="http://schemas.openxmlformats.org/officeDocument/2006/relationships/hyperlink" Target="https://www.tiktok.com/@melinda.f4/video/7652930934123007245" TargetMode="External"/><Relationship Id="rId387" Type="http://schemas.openxmlformats.org/officeDocument/2006/relationships/hyperlink" Target="https://www.tiktok.com/@cynthiablancocreator/video/7655533723286293790" TargetMode="External"/><Relationship Id="rId8" Type="http://schemas.openxmlformats.org/officeDocument/2006/relationships/hyperlink" Target="https://www.tiktok.com/@ali540294/video/7653327312104082718" TargetMode="External"/><Relationship Id="rId144" Type="http://schemas.openxmlformats.org/officeDocument/2006/relationships/hyperlink" Target="https://www.instagram.com/reel/DaBmcJShyZR/" TargetMode="External"/><Relationship Id="rId265" Type="http://schemas.openxmlformats.org/officeDocument/2006/relationships/hyperlink" Target="https://www.instagram.com/reel/DZsI3jExQCC/" TargetMode="External"/><Relationship Id="rId386" Type="http://schemas.openxmlformats.org/officeDocument/2006/relationships/hyperlink" Target="https://us.brand.joinbrands.com/job/691200" TargetMode="External"/><Relationship Id="rId260" Type="http://schemas.openxmlformats.org/officeDocument/2006/relationships/hyperlink" Target="https://www.tiktok.com/@the.little.green.hill/video/7662776814951091469" TargetMode="External"/><Relationship Id="rId381" Type="http://schemas.openxmlformats.org/officeDocument/2006/relationships/hyperlink" Target="https://www.tiktok.com/@juliegperalta/video/7655414325493943566" TargetMode="External"/><Relationship Id="rId380" Type="http://schemas.openxmlformats.org/officeDocument/2006/relationships/hyperlink" Target="https://us.brand.joinbrands.com/job/689797" TargetMode="External"/><Relationship Id="rId139" Type="http://schemas.openxmlformats.org/officeDocument/2006/relationships/hyperlink" Target="https://www.tiktok.com/@byramilya/video/7652767180181884174" TargetMode="External"/><Relationship Id="rId138" Type="http://schemas.openxmlformats.org/officeDocument/2006/relationships/hyperlink" Target="https://us.brand.joinbrands.com/job/676409" TargetMode="External"/><Relationship Id="rId259" Type="http://schemas.openxmlformats.org/officeDocument/2006/relationships/hyperlink" Target="https://www.tiktok.com/@elewoolcreator/video/7662866535899303181" TargetMode="External"/><Relationship Id="rId137" Type="http://schemas.openxmlformats.org/officeDocument/2006/relationships/hyperlink" Target="https://www.tiktok.com/@ashleyrosemurphy/video/7646613256563428638" TargetMode="External"/><Relationship Id="rId258" Type="http://schemas.openxmlformats.org/officeDocument/2006/relationships/hyperlink" Target="https://www.instagram.com/reels/DZaANsPoNEn/" TargetMode="External"/><Relationship Id="rId379" Type="http://schemas.openxmlformats.org/officeDocument/2006/relationships/hyperlink" Target="https://www.tiktok.com/@rairuraira/video/7652369202229087501" TargetMode="External"/><Relationship Id="rId132" Type="http://schemas.openxmlformats.org/officeDocument/2006/relationships/hyperlink" Target="https://us.brand.joinbrands.com/job/689623" TargetMode="External"/><Relationship Id="rId253" Type="http://schemas.openxmlformats.org/officeDocument/2006/relationships/hyperlink" Target="https://www.instagram.com/reels/Dax0IyhoR2O/" TargetMode="External"/><Relationship Id="rId374" Type="http://schemas.openxmlformats.org/officeDocument/2006/relationships/hyperlink" Target="https://www.instagram.com/reel/DaLLjZEuH1V/" TargetMode="External"/><Relationship Id="rId131" Type="http://schemas.openxmlformats.org/officeDocument/2006/relationships/hyperlink" Target="https://www.tiktok.com/@liz63785/video/7652359035085229342" TargetMode="External"/><Relationship Id="rId252" Type="http://schemas.openxmlformats.org/officeDocument/2006/relationships/hyperlink" Target="https://www.instagram.com/reels/DavHzLUBlzS/" TargetMode="External"/><Relationship Id="rId373" Type="http://schemas.openxmlformats.org/officeDocument/2006/relationships/hyperlink" Target="https://www.tiktok.com/@cat_herder86/video/7652356323694120205" TargetMode="External"/><Relationship Id="rId130" Type="http://schemas.openxmlformats.org/officeDocument/2006/relationships/hyperlink" Target="https://us.brand.joinbrands.com/job/690448" TargetMode="External"/><Relationship Id="rId251" Type="http://schemas.openxmlformats.org/officeDocument/2006/relationships/hyperlink" Target="https://www.instagram.com/reels/DaljalLsAjb/" TargetMode="External"/><Relationship Id="rId372" Type="http://schemas.openxmlformats.org/officeDocument/2006/relationships/hyperlink" Target="https://www.instagram.com/reel/DZsPx4uxofU/" TargetMode="External"/><Relationship Id="rId250" Type="http://schemas.openxmlformats.org/officeDocument/2006/relationships/hyperlink" Target="https://www.tiktok.com/@sha_hmn3/video/7662604613648092437" TargetMode="External"/><Relationship Id="rId371" Type="http://schemas.openxmlformats.org/officeDocument/2006/relationships/hyperlink" Target="https://www.tiktok.com/@sonyasharessucess/video/7656769189255941406" TargetMode="External"/><Relationship Id="rId136" Type="http://schemas.openxmlformats.org/officeDocument/2006/relationships/hyperlink" Target="https://us.brand.joinbrands.com/job/676502" TargetMode="External"/><Relationship Id="rId257" Type="http://schemas.openxmlformats.org/officeDocument/2006/relationships/hyperlink" Target="https://www.tiktok.com/@mislenyscasas89/video/7658151506591468813" TargetMode="External"/><Relationship Id="rId378" Type="http://schemas.openxmlformats.org/officeDocument/2006/relationships/hyperlink" Target="https://www.tiktok.com/@jessicamilenaoliveira/video/7655803390978510111" TargetMode="External"/><Relationship Id="rId135" Type="http://schemas.openxmlformats.org/officeDocument/2006/relationships/hyperlink" Target="https://www.tiktok.com/@maddijunefit/video/7646488739199438094" TargetMode="External"/><Relationship Id="rId256" Type="http://schemas.openxmlformats.org/officeDocument/2006/relationships/hyperlink" Target="https://www.tiktok.com/@knowledgebitches/video/7662519806167436574" TargetMode="External"/><Relationship Id="rId377" Type="http://schemas.openxmlformats.org/officeDocument/2006/relationships/hyperlink" Target="https://buy.vahdam.com/coffee-cta-ugc-mushroom" TargetMode="External"/><Relationship Id="rId134" Type="http://schemas.openxmlformats.org/officeDocument/2006/relationships/hyperlink" Target="https://us.brand.joinbrands.com/job/693010" TargetMode="External"/><Relationship Id="rId255" Type="http://schemas.openxmlformats.org/officeDocument/2006/relationships/hyperlink" Target="https://www.tiktok.com/@kendraconnelly77/video/7662340908385438990" TargetMode="External"/><Relationship Id="rId376" Type="http://schemas.openxmlformats.org/officeDocument/2006/relationships/hyperlink" Target="https://www.instagram.com/reel/DZ5CcOXO_5e/" TargetMode="External"/><Relationship Id="rId133" Type="http://schemas.openxmlformats.org/officeDocument/2006/relationships/hyperlink" Target="https://www.tiktok.com/@kt_girlmomof3/video/7654580775110692110" TargetMode="External"/><Relationship Id="rId254" Type="http://schemas.openxmlformats.org/officeDocument/2006/relationships/hyperlink" Target="https://www.tiktok.com/@maxprintstudio/video/7661698057423162637" TargetMode="External"/><Relationship Id="rId375" Type="http://schemas.openxmlformats.org/officeDocument/2006/relationships/hyperlink" Target="https://www.instagram.com/reel/DZc_H-PuU9N/" TargetMode="External"/><Relationship Id="rId172" Type="http://schemas.openxmlformats.org/officeDocument/2006/relationships/hyperlink" Target="https://us.brand.joinbrands.com/job/692965" TargetMode="External"/><Relationship Id="rId293" Type="http://schemas.openxmlformats.org/officeDocument/2006/relationships/hyperlink" Target="https://www.instagram.com/reel/DZsH8nkRNXE/" TargetMode="External"/><Relationship Id="rId171" Type="http://schemas.openxmlformats.org/officeDocument/2006/relationships/hyperlink" Target="https://www.tiktok.com/@sosaudadebr/video/7654291984248491277" TargetMode="External"/><Relationship Id="rId292" Type="http://schemas.openxmlformats.org/officeDocument/2006/relationships/hyperlink" Target="https://www.instagram.com/reel/DZv-6pFxzwU/" TargetMode="External"/><Relationship Id="rId170" Type="http://schemas.openxmlformats.org/officeDocument/2006/relationships/hyperlink" Target="https://www.instagram.com/reel/DaDgNxFuVWS/" TargetMode="External"/><Relationship Id="rId291" Type="http://schemas.openxmlformats.org/officeDocument/2006/relationships/hyperlink" Target="https://www.instagram.com/reels/DZaSfUDOn4H/" TargetMode="External"/><Relationship Id="rId290" Type="http://schemas.openxmlformats.org/officeDocument/2006/relationships/hyperlink" Target="https://buy.vahdam.com/coffee-cta-ugc-cortisol" TargetMode="External"/><Relationship Id="rId165" Type="http://schemas.openxmlformats.org/officeDocument/2006/relationships/hyperlink" Target="https://www.instagram.com/reel/DZ7-wwLRlcu/" TargetMode="External"/><Relationship Id="rId286" Type="http://schemas.openxmlformats.org/officeDocument/2006/relationships/hyperlink" Target="https://buy.vahdam.com/coffee-cta-ugc-taste" TargetMode="External"/><Relationship Id="rId164" Type="http://schemas.openxmlformats.org/officeDocument/2006/relationships/hyperlink" Target="https://www.tiktok.com/@are.wahoo/video/7655005795507096846?_r=1&amp;_t=ZT-97UMJDjkNDC" TargetMode="External"/><Relationship Id="rId285" Type="http://schemas.openxmlformats.org/officeDocument/2006/relationships/hyperlink" Target="https://www.instagram.com/reel/DZxw1XxC2ez/" TargetMode="External"/><Relationship Id="rId163" Type="http://schemas.openxmlformats.org/officeDocument/2006/relationships/hyperlink" Target="https://www.instagram.com/reel/DZ-X1OLB3T6/" TargetMode="External"/><Relationship Id="rId284" Type="http://schemas.openxmlformats.org/officeDocument/2006/relationships/hyperlink" Target="https://us.brand.joinbrands.com/job/689764" TargetMode="External"/><Relationship Id="rId162" Type="http://schemas.openxmlformats.org/officeDocument/2006/relationships/hyperlink" Target="https://us.brand.joinbrands.com/job/691114" TargetMode="External"/><Relationship Id="rId283" Type="http://schemas.openxmlformats.org/officeDocument/2006/relationships/hyperlink" Target="https://www.tiktok.com/@mama_sparks19/video/7652798064142470430" TargetMode="External"/><Relationship Id="rId169" Type="http://schemas.openxmlformats.org/officeDocument/2006/relationships/hyperlink" Target="https://www.instagram.com/reel/DZ7T_BzR18F/" TargetMode="External"/><Relationship Id="rId168" Type="http://schemas.openxmlformats.org/officeDocument/2006/relationships/hyperlink" Target="https://www.tiktok.com/@yaroslavatest/video/7656988451513830687" TargetMode="External"/><Relationship Id="rId289" Type="http://schemas.openxmlformats.org/officeDocument/2006/relationships/hyperlink" Target="https://www.instagram.com/reel/DZsc8phRjmp/" TargetMode="External"/><Relationship Id="rId167" Type="http://schemas.openxmlformats.org/officeDocument/2006/relationships/hyperlink" Target="https://www.instagram.com/reel/DZioD7mxy2a/" TargetMode="External"/><Relationship Id="rId288" Type="http://schemas.openxmlformats.org/officeDocument/2006/relationships/hyperlink" Target="https://us.brand.joinbrands.com/job/690419" TargetMode="External"/><Relationship Id="rId166" Type="http://schemas.openxmlformats.org/officeDocument/2006/relationships/hyperlink" Target="https://www.instagram.com/reel/DZs6u0CSy99/" TargetMode="External"/><Relationship Id="rId287" Type="http://schemas.openxmlformats.org/officeDocument/2006/relationships/hyperlink" Target="https://www.tiktok.com/@reyandmomadventures/video/7652014124540382478" TargetMode="External"/><Relationship Id="rId161" Type="http://schemas.openxmlformats.org/officeDocument/2006/relationships/hyperlink" Target="https://www.tiktok.com/@lasmgb/video/7655314147235859719?is_from_webapp=1&amp;sender_device=pc" TargetMode="External"/><Relationship Id="rId282" Type="http://schemas.openxmlformats.org/officeDocument/2006/relationships/hyperlink" Target="https://us.brand.joinbrands.com/job/690415" TargetMode="External"/><Relationship Id="rId160" Type="http://schemas.openxmlformats.org/officeDocument/2006/relationships/hyperlink" Target="https://us.brand.joinbrands.com/job/690497" TargetMode="External"/><Relationship Id="rId281" Type="http://schemas.openxmlformats.org/officeDocument/2006/relationships/hyperlink" Target="https://www.tiktok.com/@brandedugc/video/7653135997743402271" TargetMode="External"/><Relationship Id="rId280" Type="http://schemas.openxmlformats.org/officeDocument/2006/relationships/hyperlink" Target="https://www.instagram.com/reel/DaAnDS0RGcp/" TargetMode="External"/><Relationship Id="rId159" Type="http://schemas.openxmlformats.org/officeDocument/2006/relationships/hyperlink" Target="https://www.tiktok.com/@fecravo/video/7652411498526035214" TargetMode="External"/><Relationship Id="rId154" Type="http://schemas.openxmlformats.org/officeDocument/2006/relationships/hyperlink" Target="https://www.instagram.com/reel/DZ1M_q1ungj/" TargetMode="External"/><Relationship Id="rId275" Type="http://schemas.openxmlformats.org/officeDocument/2006/relationships/hyperlink" Target="https://buy.vahdam.com/coffee-cta-ugc-taste" TargetMode="External"/><Relationship Id="rId396" Type="http://schemas.openxmlformats.org/officeDocument/2006/relationships/hyperlink" Target="https://us.brand.joinbrands.com/job/689561" TargetMode="External"/><Relationship Id="rId153" Type="http://schemas.openxmlformats.org/officeDocument/2006/relationships/hyperlink" Target="https://www.instagram.com/reel/DZq1KLaAipN/" TargetMode="External"/><Relationship Id="rId274" Type="http://schemas.openxmlformats.org/officeDocument/2006/relationships/hyperlink" Target="https://www.instagram.com/reel/DZ-INDoR2l7/" TargetMode="External"/><Relationship Id="rId395" Type="http://schemas.openxmlformats.org/officeDocument/2006/relationships/hyperlink" Target="https://www.tiktok.com/@dogmom267/video/7654558115190295821" TargetMode="External"/><Relationship Id="rId152" Type="http://schemas.openxmlformats.org/officeDocument/2006/relationships/hyperlink" Target="https://us.brand.joinbrands.com/job/690498" TargetMode="External"/><Relationship Id="rId273" Type="http://schemas.openxmlformats.org/officeDocument/2006/relationships/hyperlink" Target="https://us.brand.joinbrands.com/job/687369" TargetMode="External"/><Relationship Id="rId394" Type="http://schemas.openxmlformats.org/officeDocument/2006/relationships/hyperlink" Target="https://us.brand.joinbrands.com/job/691785" TargetMode="External"/><Relationship Id="rId151" Type="http://schemas.openxmlformats.org/officeDocument/2006/relationships/hyperlink" Target="https://www.tiktok.com/@fecravo/video/7652824474361924878" TargetMode="External"/><Relationship Id="rId272" Type="http://schemas.openxmlformats.org/officeDocument/2006/relationships/hyperlink" Target="https://www.tiktok.com/@sandreiawalker_/video/7650303618138131725" TargetMode="External"/><Relationship Id="rId393" Type="http://schemas.openxmlformats.org/officeDocument/2006/relationships/hyperlink" Target="https://www.tiktok.com/@jessiegurl1313/video/7652225680985427213" TargetMode="External"/><Relationship Id="rId158" Type="http://schemas.openxmlformats.org/officeDocument/2006/relationships/hyperlink" Target="https://www.instagram.com/reel/DZuCBqSsQWA/" TargetMode="External"/><Relationship Id="rId279" Type="http://schemas.openxmlformats.org/officeDocument/2006/relationships/hyperlink" Target="https://www.instagram.com/reel/DZ7nHd_RKKs/?utm_source=ig_web_copy_link&amp;igsh=NTc4MTIwNjQ2YQ==" TargetMode="External"/><Relationship Id="rId157" Type="http://schemas.openxmlformats.org/officeDocument/2006/relationships/hyperlink" Target="https://www.instagram.com/reel/DZnJOgZRKRK/" TargetMode="External"/><Relationship Id="rId278" Type="http://schemas.openxmlformats.org/officeDocument/2006/relationships/hyperlink" Target="https://us.brand.joinbrands.com/job/692049" TargetMode="External"/><Relationship Id="rId399" Type="http://schemas.openxmlformats.org/officeDocument/2006/relationships/hyperlink" Target="https://www.instagram.com/reel/DZ-mXIyO5s6/" TargetMode="External"/><Relationship Id="rId156" Type="http://schemas.openxmlformats.org/officeDocument/2006/relationships/hyperlink" Target="https://www.instagram.com/reel/DZ-v_2Txhn-/" TargetMode="External"/><Relationship Id="rId277" Type="http://schemas.openxmlformats.org/officeDocument/2006/relationships/hyperlink" Target="https://www.tiktok.com/@bethchancey8/video/7652909940931136781" TargetMode="External"/><Relationship Id="rId398" Type="http://schemas.openxmlformats.org/officeDocument/2006/relationships/hyperlink" Target="https://us.brand.joinbrands.com/job/691427" TargetMode="External"/><Relationship Id="rId155" Type="http://schemas.openxmlformats.org/officeDocument/2006/relationships/hyperlink" Target="https://www.instagram.com/reel/DZv2eIqRUxJ/" TargetMode="External"/><Relationship Id="rId276" Type="http://schemas.openxmlformats.org/officeDocument/2006/relationships/hyperlink" Target="https://www.instagram.com/reel/DZnEukDMIvC/" TargetMode="External"/><Relationship Id="rId397" Type="http://schemas.openxmlformats.org/officeDocument/2006/relationships/hyperlink" Target="https://www.tiktok.com/@midwestmama888/video/7654302478107806989" TargetMode="External"/><Relationship Id="rId40" Type="http://schemas.openxmlformats.org/officeDocument/2006/relationships/hyperlink" Target="https://www.instagram.com/reel/DZ5dAsVp4LO/" TargetMode="External"/><Relationship Id="rId42" Type="http://schemas.openxmlformats.org/officeDocument/2006/relationships/hyperlink" Target="https://www.instagram.com/reel/DaAnaluxtjx/" TargetMode="External"/><Relationship Id="rId41" Type="http://schemas.openxmlformats.org/officeDocument/2006/relationships/hyperlink" Target="https://www.instagram.com/reel/DZ-NqIWI5Cg/" TargetMode="External"/><Relationship Id="rId44" Type="http://schemas.openxmlformats.org/officeDocument/2006/relationships/hyperlink" Target="https://us.brand.joinbrands.com/job/691395" TargetMode="External"/><Relationship Id="rId43" Type="http://schemas.openxmlformats.org/officeDocument/2006/relationships/hyperlink" Target="https://www.tiktok.com/@fabiano.dosso/video/7654205750239137055" TargetMode="External"/><Relationship Id="rId46" Type="http://schemas.openxmlformats.org/officeDocument/2006/relationships/hyperlink" Target="https://www.tiktok.com/@rumerican_mama/video/7655034353172499726" TargetMode="External"/><Relationship Id="rId45" Type="http://schemas.openxmlformats.org/officeDocument/2006/relationships/hyperlink" Target="https://www.instagram.com/reel/DZugbWxR3pu/" TargetMode="External"/><Relationship Id="rId48" Type="http://schemas.openxmlformats.org/officeDocument/2006/relationships/hyperlink" Target="https://www.tiktok.com/@gringagoiana/video/7652295293744024862" TargetMode="External"/><Relationship Id="rId47" Type="http://schemas.openxmlformats.org/officeDocument/2006/relationships/hyperlink" Target="https://us.brand.joinbrands.com/job/687395" TargetMode="External"/><Relationship Id="rId49" Type="http://schemas.openxmlformats.org/officeDocument/2006/relationships/hyperlink" Target="https://us.brand.joinbrands.com/job/691413" TargetMode="External"/><Relationship Id="rId31" Type="http://schemas.openxmlformats.org/officeDocument/2006/relationships/hyperlink" Target="https://www.instagram.com/reel/DZ-OTohu0Xz/" TargetMode="External"/><Relationship Id="rId30" Type="http://schemas.openxmlformats.org/officeDocument/2006/relationships/hyperlink" Target="https://buy.vahdam.com/coffee-cta-ugc-mushroom" TargetMode="External"/><Relationship Id="rId33" Type="http://schemas.openxmlformats.org/officeDocument/2006/relationships/hyperlink" Target="https://www.instagram.com/reel/DZugwFURTl0/" TargetMode="External"/><Relationship Id="rId32" Type="http://schemas.openxmlformats.org/officeDocument/2006/relationships/hyperlink" Target="https://www.instagram.com/reel/DZxhyx7T0nY/" TargetMode="External"/><Relationship Id="rId35" Type="http://schemas.openxmlformats.org/officeDocument/2006/relationships/hyperlink" Target="https://www.instagram.com/reel/DZwRU-sxg6A/" TargetMode="External"/><Relationship Id="rId34" Type="http://schemas.openxmlformats.org/officeDocument/2006/relationships/hyperlink" Target="https://www.instagram.com/reel/DZfC8Y0sTto/" TargetMode="External"/><Relationship Id="rId37" Type="http://schemas.openxmlformats.org/officeDocument/2006/relationships/hyperlink" Target="https://www.instagram.com/reel/DZyfCYeNYGW/" TargetMode="External"/><Relationship Id="rId36" Type="http://schemas.openxmlformats.org/officeDocument/2006/relationships/hyperlink" Target="https://www.instagram.com/reel/DZ8jRVhpqqK/?utm_source=ig_web_copy_link&amp;igsh=NTc4MTIwNjQ2YQ==" TargetMode="External"/><Relationship Id="rId39" Type="http://schemas.openxmlformats.org/officeDocument/2006/relationships/hyperlink" Target="https://us.brand.joinbrands.com/job/691988" TargetMode="External"/><Relationship Id="rId38" Type="http://schemas.openxmlformats.org/officeDocument/2006/relationships/hyperlink" Target="https://www.tiktok.com/@mamaede3nagringa/video/7652361687454190879" TargetMode="External"/><Relationship Id="rId20" Type="http://schemas.openxmlformats.org/officeDocument/2006/relationships/hyperlink" Target="https://buy.vahdam.com/coffee-cta-ugc-mushroom" TargetMode="External"/><Relationship Id="rId22" Type="http://schemas.openxmlformats.org/officeDocument/2006/relationships/hyperlink" Target="https://us.brand.joinbrands.com/job/691411" TargetMode="External"/><Relationship Id="rId21" Type="http://schemas.openxmlformats.org/officeDocument/2006/relationships/hyperlink" Target="https://www.tiktok.com/@fernandalouise.ugc/video/7654567402503507230" TargetMode="External"/><Relationship Id="rId24" Type="http://schemas.openxmlformats.org/officeDocument/2006/relationships/hyperlink" Target="https://us.brand.joinbrands.com/job/693084" TargetMode="External"/><Relationship Id="rId23" Type="http://schemas.openxmlformats.org/officeDocument/2006/relationships/hyperlink" Target="https://www.tiktok.com/@jamesmelissaugc/video/7654194686193650957" TargetMode="External"/><Relationship Id="rId409" Type="http://schemas.openxmlformats.org/officeDocument/2006/relationships/hyperlink" Target="https://www.tiktok.com/@jexterra/video/7657228289173392654" TargetMode="External"/><Relationship Id="rId404" Type="http://schemas.openxmlformats.org/officeDocument/2006/relationships/hyperlink" Target="https://www.instagram.com/reels/DavdW9Axd5J/" TargetMode="External"/><Relationship Id="rId403" Type="http://schemas.openxmlformats.org/officeDocument/2006/relationships/hyperlink" Target="https://www.instagram.com/reel/DaZM5W3uxtW/" TargetMode="External"/><Relationship Id="rId402" Type="http://schemas.openxmlformats.org/officeDocument/2006/relationships/hyperlink" Target="https://us.brand.joinbrands.com/job/690401" TargetMode="External"/><Relationship Id="rId401" Type="http://schemas.openxmlformats.org/officeDocument/2006/relationships/hyperlink" Target="https://www.tiktok.com/@lyndsiweiseofficial/video/7652931119288945951" TargetMode="External"/><Relationship Id="rId408" Type="http://schemas.openxmlformats.org/officeDocument/2006/relationships/hyperlink" Target="https://www.tiktok.com/@try.it.with.oma/video/7657238341766745374" TargetMode="External"/><Relationship Id="rId407" Type="http://schemas.openxmlformats.org/officeDocument/2006/relationships/hyperlink" Target="https://www.tiktok.com/@try.it.with.oma/video/7657340325157031199" TargetMode="External"/><Relationship Id="rId406" Type="http://schemas.openxmlformats.org/officeDocument/2006/relationships/hyperlink" Target="https://www.instagram.com/reels/Dak4bykSANO/" TargetMode="External"/><Relationship Id="rId405" Type="http://schemas.openxmlformats.org/officeDocument/2006/relationships/hyperlink" Target="https://www.instagram.com/reel/DaQBeiMOSfo/" TargetMode="External"/><Relationship Id="rId26" Type="http://schemas.openxmlformats.org/officeDocument/2006/relationships/hyperlink" Target="https://www.tiktok.com/@the.jewels.edit/video/7651282136271490317" TargetMode="External"/><Relationship Id="rId25" Type="http://schemas.openxmlformats.org/officeDocument/2006/relationships/hyperlink" Target="https://www.instagram.com/reel/DaDLkvHOTjj/" TargetMode="External"/><Relationship Id="rId28" Type="http://schemas.openxmlformats.org/officeDocument/2006/relationships/hyperlink" Target="https://www.instagram.com/reel/DZsP8Hegks4/" TargetMode="External"/><Relationship Id="rId27" Type="http://schemas.openxmlformats.org/officeDocument/2006/relationships/hyperlink" Target="https://us.brand.joinbrands.com/job/687402" TargetMode="External"/><Relationship Id="rId400" Type="http://schemas.openxmlformats.org/officeDocument/2006/relationships/hyperlink" Target="https://buy.vahdam.com/coffee-cta-ugc-taste" TargetMode="External"/><Relationship Id="rId29" Type="http://schemas.openxmlformats.org/officeDocument/2006/relationships/hyperlink" Target="https://www.instagram.com/reel/DZwDsSHuxbC/" TargetMode="External"/><Relationship Id="rId11" Type="http://schemas.openxmlformats.org/officeDocument/2006/relationships/hyperlink" Target="https://us.brand.joinbrands.com/job/687397" TargetMode="External"/><Relationship Id="rId10" Type="http://schemas.openxmlformats.org/officeDocument/2006/relationships/hyperlink" Target="https://www.tiktok.com/@fernandalouise.ugc/video/7652707194248383774" TargetMode="External"/><Relationship Id="rId13" Type="http://schemas.openxmlformats.org/officeDocument/2006/relationships/hyperlink" Target="https://us.brand.joinbrands.com/job/689995" TargetMode="External"/><Relationship Id="rId12" Type="http://schemas.openxmlformats.org/officeDocument/2006/relationships/hyperlink" Target="https://www.tiktok.com/@cece_marie503/video/7652774509883231502" TargetMode="External"/><Relationship Id="rId15" Type="http://schemas.openxmlformats.org/officeDocument/2006/relationships/hyperlink" Target="https://www.instagram.com/reel/DZxb2AovNKQ/" TargetMode="External"/><Relationship Id="rId14" Type="http://schemas.openxmlformats.org/officeDocument/2006/relationships/hyperlink" Target="https://www.instagram.com/reel/DZnYbzAp0QZ/" TargetMode="External"/><Relationship Id="rId17" Type="http://schemas.openxmlformats.org/officeDocument/2006/relationships/hyperlink" Target="https://us.brand.joinbrands.com/job/687584" TargetMode="External"/><Relationship Id="rId16" Type="http://schemas.openxmlformats.org/officeDocument/2006/relationships/hyperlink" Target="https://www.tiktok.com/@momtosophieandbella/video/7653136674838416654" TargetMode="External"/><Relationship Id="rId19" Type="http://schemas.openxmlformats.org/officeDocument/2006/relationships/hyperlink" Target="https://www.instagram.com/reels/DZsslHgtXHu/" TargetMode="External"/><Relationship Id="rId18" Type="http://schemas.openxmlformats.org/officeDocument/2006/relationships/hyperlink" Target="https://www.instagram.com/reel/DZ-bT-uAIXI/" TargetMode="External"/><Relationship Id="rId84" Type="http://schemas.openxmlformats.org/officeDocument/2006/relationships/hyperlink" Target="https://youtube.com/shorts/o8XewMVxW4g?is=2Y6BpGQ5075nL4JA" TargetMode="External"/><Relationship Id="rId83" Type="http://schemas.openxmlformats.org/officeDocument/2006/relationships/hyperlink" Target="https://www.youtube.com/shorts/RQyqwhTTETs?is=mgn7-Q3pAwuBbxVG" TargetMode="External"/><Relationship Id="rId86" Type="http://schemas.openxmlformats.org/officeDocument/2006/relationships/hyperlink" Target="https://youtube.com/shorts/65fNRm3Yq2M?is=GKrI9W5MUrhEwKDi" TargetMode="External"/><Relationship Id="rId85" Type="http://schemas.openxmlformats.org/officeDocument/2006/relationships/hyperlink" Target="https://www.youtube.com/shorts/7sHxoIZ-FQI" TargetMode="External"/><Relationship Id="rId88" Type="http://schemas.openxmlformats.org/officeDocument/2006/relationships/hyperlink" Target="https://www.youtube.com/shorts/6kWz8UzOqys" TargetMode="External"/><Relationship Id="rId87" Type="http://schemas.openxmlformats.org/officeDocument/2006/relationships/hyperlink" Target="https://www.youtube.com/shorts/65fNRm3Yq2M" TargetMode="External"/><Relationship Id="rId89" Type="http://schemas.openxmlformats.org/officeDocument/2006/relationships/hyperlink" Target="https://youtube.com/shorts/CSJ2P9AXZSI?si=TipWAwRBwZWj2eTW" TargetMode="External"/><Relationship Id="rId80" Type="http://schemas.openxmlformats.org/officeDocument/2006/relationships/hyperlink" Target="https://www.tiktok.com/@urbanwhitetailhunter/video/7654192792008215838" TargetMode="External"/><Relationship Id="rId82" Type="http://schemas.openxmlformats.org/officeDocument/2006/relationships/hyperlink" Target="https://youtube.com/shorts/f3BzVbX2lww?is=DbI7oZD1e5vEMfLt" TargetMode="External"/><Relationship Id="rId81" Type="http://schemas.openxmlformats.org/officeDocument/2006/relationships/hyperlink" Target="https://us.brand.joinbrands.com/job/692879" TargetMode="External"/><Relationship Id="rId73" Type="http://schemas.openxmlformats.org/officeDocument/2006/relationships/hyperlink" Target="https://us.brand.joinbrands.com/job/689638" TargetMode="External"/><Relationship Id="rId72" Type="http://schemas.openxmlformats.org/officeDocument/2006/relationships/hyperlink" Target="https://www.tiktok.com/@raquelcmmoraes/video/7654962074275171614" TargetMode="External"/><Relationship Id="rId75" Type="http://schemas.openxmlformats.org/officeDocument/2006/relationships/hyperlink" Target="https://us.brand.joinbrands.com/job/692879" TargetMode="External"/><Relationship Id="rId74" Type="http://schemas.openxmlformats.org/officeDocument/2006/relationships/hyperlink" Target="https://www.tiktok.com/@urbanwhitetailhunter/video/7654207268170255646" TargetMode="External"/><Relationship Id="rId77" Type="http://schemas.openxmlformats.org/officeDocument/2006/relationships/hyperlink" Target="https://us.brand.joinbrands.com/job/689641" TargetMode="External"/><Relationship Id="rId76" Type="http://schemas.openxmlformats.org/officeDocument/2006/relationships/hyperlink" Target="https://www.tiktok.com/@kendraconnelly77/video/7654947213881216270" TargetMode="External"/><Relationship Id="rId79" Type="http://schemas.openxmlformats.org/officeDocument/2006/relationships/hyperlink" Target="https://us.brand.joinbrands.com/job/692879" TargetMode="External"/><Relationship Id="rId78" Type="http://schemas.openxmlformats.org/officeDocument/2006/relationships/hyperlink" Target="https://www.tiktok.com/@urbanwhitetailhunter/video/7653108167873711391" TargetMode="External"/><Relationship Id="rId71" Type="http://schemas.openxmlformats.org/officeDocument/2006/relationships/hyperlink" Target="https://www.instagram.com/reel/DZ_lOxDMRh9/" TargetMode="External"/><Relationship Id="rId70" Type="http://schemas.openxmlformats.org/officeDocument/2006/relationships/hyperlink" Target="https://www.instagram.com/reel/DaKouqFxvk8/" TargetMode="External"/><Relationship Id="rId62" Type="http://schemas.openxmlformats.org/officeDocument/2006/relationships/hyperlink" Target="https://www.tiktok.com/@laurynwithay89/video/7652407243505192206" TargetMode="External"/><Relationship Id="rId61" Type="http://schemas.openxmlformats.org/officeDocument/2006/relationships/hyperlink" Target="https://us.brand.joinbrands.com/job/690620" TargetMode="External"/><Relationship Id="rId64" Type="http://schemas.openxmlformats.org/officeDocument/2006/relationships/hyperlink" Target="https://www.tiktok.com/@carrievee2022/video/7655507260193459486" TargetMode="External"/><Relationship Id="rId63" Type="http://schemas.openxmlformats.org/officeDocument/2006/relationships/hyperlink" Target="https://us.brand.joinbrands.com/job/689720" TargetMode="External"/><Relationship Id="rId66" Type="http://schemas.openxmlformats.org/officeDocument/2006/relationships/hyperlink" Target="https://www.tiktok.com/@morebalancetrng/video/7656869895551864077" TargetMode="External"/><Relationship Id="rId65" Type="http://schemas.openxmlformats.org/officeDocument/2006/relationships/hyperlink" Target="https://us.brand.joinbrands.com/job/687394" TargetMode="External"/><Relationship Id="rId68" Type="http://schemas.openxmlformats.org/officeDocument/2006/relationships/hyperlink" Target="https://us.brand.joinbrands.com/job/689642" TargetMode="External"/><Relationship Id="rId67" Type="http://schemas.openxmlformats.org/officeDocument/2006/relationships/hyperlink" Target="https://www.tiktok.com/@ugc_by_shalom/video/7653114258028268814" TargetMode="External"/><Relationship Id="rId60" Type="http://schemas.openxmlformats.org/officeDocument/2006/relationships/hyperlink" Target="https://www.tiktok.com/@thecoryann/video/7654204089936514334" TargetMode="External"/><Relationship Id="rId69" Type="http://schemas.openxmlformats.org/officeDocument/2006/relationships/hyperlink" Target="https://www.instagram.com/reel/DZ_tIgiobov/" TargetMode="External"/><Relationship Id="rId51" Type="http://schemas.openxmlformats.org/officeDocument/2006/relationships/hyperlink" Target="https://us.brand.joinbrands.com/job/690450" TargetMode="External"/><Relationship Id="rId50" Type="http://schemas.openxmlformats.org/officeDocument/2006/relationships/hyperlink" Target="https://www.tiktok.com/@ugc_by_shalom/video/7654250716323663117" TargetMode="External"/><Relationship Id="rId53" Type="http://schemas.openxmlformats.org/officeDocument/2006/relationships/hyperlink" Target="https://us.brand.joinbrands.com/job/688861" TargetMode="External"/><Relationship Id="rId52" Type="http://schemas.openxmlformats.org/officeDocument/2006/relationships/hyperlink" Target="https://www.tiktok.com/@chandaraj51/video/7653277829286694175" TargetMode="External"/><Relationship Id="rId55" Type="http://schemas.openxmlformats.org/officeDocument/2006/relationships/hyperlink" Target="https://us.brand.joinbrands.com/job/691335" TargetMode="External"/><Relationship Id="rId54" Type="http://schemas.openxmlformats.org/officeDocument/2006/relationships/hyperlink" Target="https://www.tiktok.com/@strawberry19838/video/7654564368121679134" TargetMode="External"/><Relationship Id="rId57" Type="http://schemas.openxmlformats.org/officeDocument/2006/relationships/hyperlink" Target="https://us.brand.joinbrands.com/job/690148" TargetMode="External"/><Relationship Id="rId56" Type="http://schemas.openxmlformats.org/officeDocument/2006/relationships/hyperlink" Target="https://www.tiktok.com/@preetiikumar/video/7655317628528954654" TargetMode="External"/><Relationship Id="rId59" Type="http://schemas.openxmlformats.org/officeDocument/2006/relationships/hyperlink" Target="https://www.instagram.com/reel/DZsRQ7iM4c9/" TargetMode="External"/><Relationship Id="rId58" Type="http://schemas.openxmlformats.org/officeDocument/2006/relationships/hyperlink" Target="https://www.tiktok.com/@anderling.creates/video/7654332579859926303" TargetMode="External"/><Relationship Id="rId107" Type="http://schemas.openxmlformats.org/officeDocument/2006/relationships/hyperlink" Target="https://www.youtube.com/shorts/rvkwlQZ1S-Q" TargetMode="External"/><Relationship Id="rId228" Type="http://schemas.openxmlformats.org/officeDocument/2006/relationships/hyperlink" Target="https://www.instagram.com/reel/Daco-BzkRjv/" TargetMode="External"/><Relationship Id="rId349" Type="http://schemas.openxmlformats.org/officeDocument/2006/relationships/hyperlink" Target="https://www.tiktok.com/@teebaaby79/video/7656802344226671902" TargetMode="External"/><Relationship Id="rId106" Type="http://schemas.openxmlformats.org/officeDocument/2006/relationships/hyperlink" Target="https://www.youtube.com/shorts/9GUtBOcpdRs" TargetMode="External"/><Relationship Id="rId227" Type="http://schemas.openxmlformats.org/officeDocument/2006/relationships/hyperlink" Target="https://www.instagram.com/reels/Damez65qBK5/" TargetMode="External"/><Relationship Id="rId348" Type="http://schemas.openxmlformats.org/officeDocument/2006/relationships/hyperlink" Target="https://www.instagram.com/reel/DZugp5Vxqms/" TargetMode="External"/><Relationship Id="rId469" Type="http://schemas.openxmlformats.org/officeDocument/2006/relationships/hyperlink" Target="https://www.instagram.com/reels/DaoYE_Hx9vX/" TargetMode="External"/><Relationship Id="rId105" Type="http://schemas.openxmlformats.org/officeDocument/2006/relationships/hyperlink" Target="https://www.youtube.com/shorts/GLWXiwbYQzg" TargetMode="External"/><Relationship Id="rId226" Type="http://schemas.openxmlformats.org/officeDocument/2006/relationships/hyperlink" Target="https://www.instagram.com/reels/Damg5KPKyD5/" TargetMode="External"/><Relationship Id="rId347" Type="http://schemas.openxmlformats.org/officeDocument/2006/relationships/hyperlink" Target="https://www.instagram.com/reel/DZ-NLPJuk8R/?utm_source=ig_web_copy_link&amp;igsh=MzRlODBiNWFlZA==" TargetMode="External"/><Relationship Id="rId468" Type="http://schemas.openxmlformats.org/officeDocument/2006/relationships/hyperlink" Target="https://buy.vahdam.com/coffee-cta-ugc-taste" TargetMode="External"/><Relationship Id="rId104" Type="http://schemas.openxmlformats.org/officeDocument/2006/relationships/hyperlink" Target="https://www.youtube.com/shorts/itlciMkWxoU" TargetMode="External"/><Relationship Id="rId225" Type="http://schemas.openxmlformats.org/officeDocument/2006/relationships/hyperlink" Target="https://www.instagram.com/reels/DalTe6Dp42l/" TargetMode="External"/><Relationship Id="rId346" Type="http://schemas.openxmlformats.org/officeDocument/2006/relationships/hyperlink" Target="https://www.instagram.com/reel/DZnhFqivbWI/" TargetMode="External"/><Relationship Id="rId467" Type="http://schemas.openxmlformats.org/officeDocument/2006/relationships/hyperlink" Target="https://www.instagram.com/reels/DavwffzJczz/" TargetMode="External"/><Relationship Id="rId109" Type="http://schemas.openxmlformats.org/officeDocument/2006/relationships/hyperlink" Target="https://www.tiktok.com/@lynnemeye/video/7649015153563798814" TargetMode="External"/><Relationship Id="rId108" Type="http://schemas.openxmlformats.org/officeDocument/2006/relationships/hyperlink" Target="https://www.youtube.com/shorts/KTTvL82TbmU" TargetMode="External"/><Relationship Id="rId229" Type="http://schemas.openxmlformats.org/officeDocument/2006/relationships/hyperlink" Target="https://www.tiktok.com/@chandaraj51/video/7660632985259101471" TargetMode="External"/><Relationship Id="rId220" Type="http://schemas.openxmlformats.org/officeDocument/2006/relationships/hyperlink" Target="https://www.instagram.com/reel/DaQCXZcxeJg/" TargetMode="External"/><Relationship Id="rId341" Type="http://schemas.openxmlformats.org/officeDocument/2006/relationships/hyperlink" Target="https://www.instagram.com/reel/DaBKsMvRPky/" TargetMode="External"/><Relationship Id="rId462" Type="http://schemas.openxmlformats.org/officeDocument/2006/relationships/hyperlink" Target="https://www.instagram.com/reels/DamFh5uMtQI/" TargetMode="External"/><Relationship Id="rId340" Type="http://schemas.openxmlformats.org/officeDocument/2006/relationships/hyperlink" Target="https://buy.vahdam.com/coffee-cta-ugc-gummies" TargetMode="External"/><Relationship Id="rId461" Type="http://schemas.openxmlformats.org/officeDocument/2006/relationships/hyperlink" Target="https://www.instagram.com/reels/Dau2PYeyojg/" TargetMode="External"/><Relationship Id="rId460" Type="http://schemas.openxmlformats.org/officeDocument/2006/relationships/hyperlink" Target="https://www.instagram.com/reels/DalftEbxjd7/" TargetMode="External"/><Relationship Id="rId103" Type="http://schemas.openxmlformats.org/officeDocument/2006/relationships/hyperlink" Target="https://youtube.com/shorts/xdScaChsAds?is=M-Yt4bq7yoSHYm1Q" TargetMode="External"/><Relationship Id="rId224" Type="http://schemas.openxmlformats.org/officeDocument/2006/relationships/hyperlink" Target="https://www.tiktok.com/@chelsealeerock/video/7660653780039388429" TargetMode="External"/><Relationship Id="rId345" Type="http://schemas.openxmlformats.org/officeDocument/2006/relationships/hyperlink" Target="https://www.instagram.com/reel/DZi0NIGtWQ5/" TargetMode="External"/><Relationship Id="rId466" Type="http://schemas.openxmlformats.org/officeDocument/2006/relationships/hyperlink" Target="https://buy.vahdam.com/coffee-cta-ugc-taste" TargetMode="External"/><Relationship Id="rId102" Type="http://schemas.openxmlformats.org/officeDocument/2006/relationships/hyperlink" Target="https://youtube.com/shorts/gatUfLgpUp8?is=uxTiexmiOEd30K0c" TargetMode="External"/><Relationship Id="rId223" Type="http://schemas.openxmlformats.org/officeDocument/2006/relationships/hyperlink" Target="https://www.instagram.com/reels/Dam1UY0xjYw/" TargetMode="External"/><Relationship Id="rId344" Type="http://schemas.openxmlformats.org/officeDocument/2006/relationships/hyperlink" Target="https://buy.vahdam.com/coffee-cta-ugc-targetstore" TargetMode="External"/><Relationship Id="rId465" Type="http://schemas.openxmlformats.org/officeDocument/2006/relationships/hyperlink" Target="https://www.instagram.com/reels/Dak1NHOtvzc/" TargetMode="External"/><Relationship Id="rId101" Type="http://schemas.openxmlformats.org/officeDocument/2006/relationships/hyperlink" Target="https://youtube.com/shorts/UlO98GQ1ipg?feature=share" TargetMode="External"/><Relationship Id="rId222" Type="http://schemas.openxmlformats.org/officeDocument/2006/relationships/hyperlink" Target="https://www.tiktok.com/@are.wahoo/video/7655005795507096846" TargetMode="External"/><Relationship Id="rId343" Type="http://schemas.openxmlformats.org/officeDocument/2006/relationships/hyperlink" Target="https://www.instagram.com/reel/DaAbIkcTOo7/" TargetMode="External"/><Relationship Id="rId464" Type="http://schemas.openxmlformats.org/officeDocument/2006/relationships/hyperlink" Target="https://www.instagram.com/reels/Daktttlv56y/" TargetMode="External"/><Relationship Id="rId100" Type="http://schemas.openxmlformats.org/officeDocument/2006/relationships/hyperlink" Target="https://youtube.com/shorts/DI2gESSn8b4?is=aRqgHKM38kERDjQN" TargetMode="External"/><Relationship Id="rId221" Type="http://schemas.openxmlformats.org/officeDocument/2006/relationships/hyperlink" Target="https://www.tiktok.com/@liz63785/video/7660524617316011294" TargetMode="External"/><Relationship Id="rId342" Type="http://schemas.openxmlformats.org/officeDocument/2006/relationships/hyperlink" Target="https://buy.vahdam.com/coffee-cta-ugc-cortisol" TargetMode="External"/><Relationship Id="rId463" Type="http://schemas.openxmlformats.org/officeDocument/2006/relationships/hyperlink" Target="https://www.instagram.com/reels/DaqbAPPvgeS/" TargetMode="External"/><Relationship Id="rId217" Type="http://schemas.openxmlformats.org/officeDocument/2006/relationships/hyperlink" Target="https://www.instagram.com/p/DalmncpuPQo/" TargetMode="External"/><Relationship Id="rId338" Type="http://schemas.openxmlformats.org/officeDocument/2006/relationships/hyperlink" Target="https://www.instagram.com/reel/DZyFf6kuqa1/" TargetMode="External"/><Relationship Id="rId459" Type="http://schemas.openxmlformats.org/officeDocument/2006/relationships/hyperlink" Target="https://www.instagram.com/reels/DaoVn10AeO4/" TargetMode="External"/><Relationship Id="rId216" Type="http://schemas.openxmlformats.org/officeDocument/2006/relationships/hyperlink" Target="https://www.instagram.com/reel/DaS3gFotEEA/" TargetMode="External"/><Relationship Id="rId337" Type="http://schemas.openxmlformats.org/officeDocument/2006/relationships/hyperlink" Target="https://www.instagram.com/reels/DZc_H-PuU9N/" TargetMode="External"/><Relationship Id="rId458" Type="http://schemas.openxmlformats.org/officeDocument/2006/relationships/hyperlink" Target="https://www.instagram.com/reels/Daq7yOeDUSv/" TargetMode="External"/><Relationship Id="rId215" Type="http://schemas.openxmlformats.org/officeDocument/2006/relationships/hyperlink" Target="https://www.tiktok.com/@yo_conecto/video/7659522745050483998" TargetMode="External"/><Relationship Id="rId336" Type="http://schemas.openxmlformats.org/officeDocument/2006/relationships/hyperlink" Target="https://www.instagram.com/reel/DZnChXhqp6S/" TargetMode="External"/><Relationship Id="rId457" Type="http://schemas.openxmlformats.org/officeDocument/2006/relationships/hyperlink" Target="https://www.tiktok.com/@hannahugc1/video/7660639579728366879" TargetMode="External"/><Relationship Id="rId214" Type="http://schemas.openxmlformats.org/officeDocument/2006/relationships/hyperlink" Target="https://www.instagram.com/reels/Dak2BmBxzTl/" TargetMode="External"/><Relationship Id="rId335" Type="http://schemas.openxmlformats.org/officeDocument/2006/relationships/hyperlink" Target="https://buy.vahdam.com/coffee-cta-ugc-over-40-woman" TargetMode="External"/><Relationship Id="rId456" Type="http://schemas.openxmlformats.org/officeDocument/2006/relationships/hyperlink" Target="https://www.instagram.com/reels/DalIWNNRfe8/" TargetMode="External"/><Relationship Id="rId219" Type="http://schemas.openxmlformats.org/officeDocument/2006/relationships/hyperlink" Target="https://www.tiktok.com/@astoldbybri2/video/7660648729170447630" TargetMode="External"/><Relationship Id="rId218" Type="http://schemas.openxmlformats.org/officeDocument/2006/relationships/hyperlink" Target="https://www.tiktok.com/@kendraconnelly77/video/7660497940321963278" TargetMode="External"/><Relationship Id="rId339" Type="http://schemas.openxmlformats.org/officeDocument/2006/relationships/hyperlink" Target="https://www.instagram.com/reel/DZus_yrRdEe/" TargetMode="External"/><Relationship Id="rId330" Type="http://schemas.openxmlformats.org/officeDocument/2006/relationships/hyperlink" Target="https://www.instagram.com/reel/DZr8VGZOYDp/" TargetMode="External"/><Relationship Id="rId451" Type="http://schemas.openxmlformats.org/officeDocument/2006/relationships/hyperlink" Target="https://www.tiktok.com/@eggwhiteman/video/7661375070203333902" TargetMode="External"/><Relationship Id="rId450" Type="http://schemas.openxmlformats.org/officeDocument/2006/relationships/hyperlink" Target="https://www.tiktok.com/@eggwhiteman/video/7661152616205913358" TargetMode="External"/><Relationship Id="rId213" Type="http://schemas.openxmlformats.org/officeDocument/2006/relationships/hyperlink" Target="https://www.instagram.com/reel/DaVy3HehlKs/" TargetMode="External"/><Relationship Id="rId334" Type="http://schemas.openxmlformats.org/officeDocument/2006/relationships/hyperlink" Target="https://www.instagram.com/reel/DZ48xAOhKuZ/" TargetMode="External"/><Relationship Id="rId455" Type="http://schemas.openxmlformats.org/officeDocument/2006/relationships/hyperlink" Target="https://www.instagram.com/reels/DalDujvx0Lw/" TargetMode="External"/><Relationship Id="rId212" Type="http://schemas.openxmlformats.org/officeDocument/2006/relationships/hyperlink" Target="https://www.instagram.com/reel/DaQTHTkOKz_/" TargetMode="External"/><Relationship Id="rId333" Type="http://schemas.openxmlformats.org/officeDocument/2006/relationships/hyperlink" Target="https://www.instagram.com/reel/DaLQHM1xYmp/" TargetMode="External"/><Relationship Id="rId454" Type="http://schemas.openxmlformats.org/officeDocument/2006/relationships/hyperlink" Target="https://www.tiktok.com/@cidneygreen/video/7661084247293185310" TargetMode="External"/><Relationship Id="rId211" Type="http://schemas.openxmlformats.org/officeDocument/2006/relationships/hyperlink" Target="https://www.tiktok.com/@mrpepperoffical0/video/7657586566230969613" TargetMode="External"/><Relationship Id="rId332" Type="http://schemas.openxmlformats.org/officeDocument/2006/relationships/hyperlink" Target="https://buy.vahdam.com/coffee-cta-ugc-targetstore" TargetMode="External"/><Relationship Id="rId453" Type="http://schemas.openxmlformats.org/officeDocument/2006/relationships/hyperlink" Target="https://www.tiktok.com/@yaclizette/video/7659822564822273311" TargetMode="External"/><Relationship Id="rId210" Type="http://schemas.openxmlformats.org/officeDocument/2006/relationships/hyperlink" Target="https://www.tiktok.com/@alexwrightt9/video/7660587486296411423" TargetMode="External"/><Relationship Id="rId331" Type="http://schemas.openxmlformats.org/officeDocument/2006/relationships/hyperlink" Target="https://www.instagram.com/reel/DaA7kfxzFRt/" TargetMode="External"/><Relationship Id="rId452" Type="http://schemas.openxmlformats.org/officeDocument/2006/relationships/hyperlink" Target="https://www.instagram.com/reels/DanMsxtOSvk/" TargetMode="External"/><Relationship Id="rId370" Type="http://schemas.openxmlformats.org/officeDocument/2006/relationships/hyperlink" Target="https://us.brand.joinbrands.com/job/690539" TargetMode="External"/><Relationship Id="rId129" Type="http://schemas.openxmlformats.org/officeDocument/2006/relationships/hyperlink" Target="https://www.tiktok.com/@sherilin111/video/7654224023592684830" TargetMode="External"/><Relationship Id="rId128" Type="http://schemas.openxmlformats.org/officeDocument/2006/relationships/hyperlink" Target="https://us.brand.joinbrands.com/job/691425" TargetMode="External"/><Relationship Id="rId249" Type="http://schemas.openxmlformats.org/officeDocument/2006/relationships/hyperlink" Target="https://www.tiktok.com/@jugoncalves.by/video/7661994813641772319" TargetMode="External"/><Relationship Id="rId127" Type="http://schemas.openxmlformats.org/officeDocument/2006/relationships/hyperlink" Target="https://www.tiktok.com/@kcmvelasquez/video/7654573623444835598" TargetMode="External"/><Relationship Id="rId248" Type="http://schemas.openxmlformats.org/officeDocument/2006/relationships/hyperlink" Target="https://www.tiktok.com/@magicyulinusa/video/7662028324234906893" TargetMode="External"/><Relationship Id="rId369" Type="http://schemas.openxmlformats.org/officeDocument/2006/relationships/hyperlink" Target="https://www.tiktok.com/@its.noelle.not.ni/video/7654238633574157598" TargetMode="External"/><Relationship Id="rId126" Type="http://schemas.openxmlformats.org/officeDocument/2006/relationships/hyperlink" Target="https://us.brand.joinbrands.com/job/690539" TargetMode="External"/><Relationship Id="rId247" Type="http://schemas.openxmlformats.org/officeDocument/2006/relationships/hyperlink" Target="https://www.tiktok.com/@astoldbybri2/video/7661560916705611039" TargetMode="External"/><Relationship Id="rId368" Type="http://schemas.openxmlformats.org/officeDocument/2006/relationships/hyperlink" Target="https://us.brand.joinbrands.com/job/691429" TargetMode="External"/><Relationship Id="rId121" Type="http://schemas.openxmlformats.org/officeDocument/2006/relationships/hyperlink" Target="https://www.tiktok.com/@lorrainealbernazugc/video/7652408065832078606" TargetMode="External"/><Relationship Id="rId242" Type="http://schemas.openxmlformats.org/officeDocument/2006/relationships/hyperlink" Target="https://www.instagram.com/reels/DaqwLUEujKj/" TargetMode="External"/><Relationship Id="rId363" Type="http://schemas.openxmlformats.org/officeDocument/2006/relationships/hyperlink" Target="https://us.brand.joinbrands.com/job/694262" TargetMode="External"/><Relationship Id="rId484" Type="http://schemas.openxmlformats.org/officeDocument/2006/relationships/hyperlink" Target="https://www.instagram.com/p/DZnEukDMIvC/" TargetMode="External"/><Relationship Id="rId120" Type="http://schemas.openxmlformats.org/officeDocument/2006/relationships/hyperlink" Target="https://us.brand.joinbrands.com/job/684945" TargetMode="External"/><Relationship Id="rId241" Type="http://schemas.openxmlformats.org/officeDocument/2006/relationships/hyperlink" Target="https://www.instagram.com/reels/DalTe6Dp42l/" TargetMode="External"/><Relationship Id="rId362" Type="http://schemas.openxmlformats.org/officeDocument/2006/relationships/hyperlink" Target="https://www.tiktok.com/@viviendoenusa4/video/7654131101711109406" TargetMode="External"/><Relationship Id="rId483" Type="http://schemas.openxmlformats.org/officeDocument/2006/relationships/hyperlink" Target="https://buy.vahdam.com/coffee-cta-ugc-targetstore" TargetMode="External"/><Relationship Id="rId240" Type="http://schemas.openxmlformats.org/officeDocument/2006/relationships/hyperlink" Target="https://www.tiktok.com/@ash468064/video/7661282730356903199" TargetMode="External"/><Relationship Id="rId361" Type="http://schemas.openxmlformats.org/officeDocument/2006/relationships/hyperlink" Target="https://buy.vahdam.com/coffee-cta-ugc-cortisol" TargetMode="External"/><Relationship Id="rId482" Type="http://schemas.openxmlformats.org/officeDocument/2006/relationships/hyperlink" Target="https://www.instagram.com/reel/DaQ93F1iEHp/" TargetMode="External"/><Relationship Id="rId360" Type="http://schemas.openxmlformats.org/officeDocument/2006/relationships/hyperlink" Target="https://www.instagram.com/reel/DZs9lABNrYX/" TargetMode="External"/><Relationship Id="rId481" Type="http://schemas.openxmlformats.org/officeDocument/2006/relationships/hyperlink" Target="https://buy.vahdam.com/coffee-cta-ugc-targetstore" TargetMode="External"/><Relationship Id="rId125" Type="http://schemas.openxmlformats.org/officeDocument/2006/relationships/hyperlink" Target="https://www.tiktok.com/@its.noelle.not.ni/video/7654230778036997406" TargetMode="External"/><Relationship Id="rId246" Type="http://schemas.openxmlformats.org/officeDocument/2006/relationships/hyperlink" Target="https://www.instagram.com/reels/DatxvoAgnxZ/" TargetMode="External"/><Relationship Id="rId367" Type="http://schemas.openxmlformats.org/officeDocument/2006/relationships/hyperlink" Target="https://www.tiktok.com/@movewithjanelle/video/7655317706408774926" TargetMode="External"/><Relationship Id="rId488" Type="http://schemas.openxmlformats.org/officeDocument/2006/relationships/drawing" Target="../drawings/drawing5.xml"/><Relationship Id="rId124" Type="http://schemas.openxmlformats.org/officeDocument/2006/relationships/hyperlink" Target="https://us.brand.joinbrands.com/job/690408" TargetMode="External"/><Relationship Id="rId245" Type="http://schemas.openxmlformats.org/officeDocument/2006/relationships/hyperlink" Target="https://www.instagram.com/reels/Dav4ZC4p3vN/" TargetMode="External"/><Relationship Id="rId366" Type="http://schemas.openxmlformats.org/officeDocument/2006/relationships/hyperlink" Target="https://www.instagram.com/reel/DZuOk3upr3Q/" TargetMode="External"/><Relationship Id="rId487" Type="http://schemas.openxmlformats.org/officeDocument/2006/relationships/hyperlink" Target="http://instagram.com/reel/Da3-hQup2c7/" TargetMode="External"/><Relationship Id="rId123" Type="http://schemas.openxmlformats.org/officeDocument/2006/relationships/hyperlink" Target="https://www.tiktok.com/@irish_kulish_life/video/7652310738953981214" TargetMode="External"/><Relationship Id="rId244" Type="http://schemas.openxmlformats.org/officeDocument/2006/relationships/hyperlink" Target="https://www.tiktok.com/@marsh.mentality.24/video/7662304841204550943" TargetMode="External"/><Relationship Id="rId365" Type="http://schemas.openxmlformats.org/officeDocument/2006/relationships/hyperlink" Target="https://www.instagram.com/reel/DZ5YDZAoxTB/" TargetMode="External"/><Relationship Id="rId486" Type="http://schemas.openxmlformats.org/officeDocument/2006/relationships/hyperlink" Target="https://www.instagram.com/reel/Da4JENTOwx6/" TargetMode="External"/><Relationship Id="rId122" Type="http://schemas.openxmlformats.org/officeDocument/2006/relationships/hyperlink" Target="https://us.brand.joinbrands.com/job/689754" TargetMode="External"/><Relationship Id="rId243" Type="http://schemas.openxmlformats.org/officeDocument/2006/relationships/hyperlink" Target="https://www.tiktok.com/@itsvalnichols/video/7662208452072131853" TargetMode="External"/><Relationship Id="rId364" Type="http://schemas.openxmlformats.org/officeDocument/2006/relationships/hyperlink" Target="https://www.instagram.com/reel/DZ-s1kfvbKJ/" TargetMode="External"/><Relationship Id="rId485" Type="http://schemas.openxmlformats.org/officeDocument/2006/relationships/hyperlink" Target="https://www.instagram.com/reels/Da0Z0kLTfkq/" TargetMode="External"/><Relationship Id="rId95" Type="http://schemas.openxmlformats.org/officeDocument/2006/relationships/hyperlink" Target="https://youtube.com/shorts/qr2zLa0swYY?feature=share" TargetMode="External"/><Relationship Id="rId94" Type="http://schemas.openxmlformats.org/officeDocument/2006/relationships/hyperlink" Target="https://youtube.com/shorts/ebTQO07TJRI?is=FakzRPS9jISWI1Oo" TargetMode="External"/><Relationship Id="rId97" Type="http://schemas.openxmlformats.org/officeDocument/2006/relationships/hyperlink" Target="https://youtube.com/shorts/A_fBGXLcmo4?is=7Hs-inSitVyuxB-M" TargetMode="External"/><Relationship Id="rId96" Type="http://schemas.openxmlformats.org/officeDocument/2006/relationships/hyperlink" Target="https://youtube.com/shorts/gZGwMO-W5e0?is=hYuECFoKMa34I1Bm" TargetMode="External"/><Relationship Id="rId99" Type="http://schemas.openxmlformats.org/officeDocument/2006/relationships/hyperlink" Target="https://youtube.com/shorts/RxuuALtLwZY?is=H99MKjtAqd1p84CU" TargetMode="External"/><Relationship Id="rId480" Type="http://schemas.openxmlformats.org/officeDocument/2006/relationships/hyperlink" Target="https://www.instagram.com/reel/DaQZY2_Ki9c/?utm_source=ig_web_copy_link&amp;igsh=MzRlODBiNWFlZA==" TargetMode="External"/><Relationship Id="rId98" Type="http://schemas.openxmlformats.org/officeDocument/2006/relationships/hyperlink" Target="https://youtube.com/shorts/HVTu7GGr2cc?is=yaf-m55quPBRjDDy" TargetMode="External"/><Relationship Id="rId91" Type="http://schemas.openxmlformats.org/officeDocument/2006/relationships/hyperlink" Target="https://youtube.com/shorts/La8B5OveXQU?is=5JplbcdXPHyT1HYa" TargetMode="External"/><Relationship Id="rId90" Type="http://schemas.openxmlformats.org/officeDocument/2006/relationships/hyperlink" Target="https://youtube.com/shorts/tHEmtr-T-sM?si=XOAHio7rpFXvDRSW" TargetMode="External"/><Relationship Id="rId93" Type="http://schemas.openxmlformats.org/officeDocument/2006/relationships/hyperlink" Target="https://www.youtube.com/shorts/qr2zLa0swYY" TargetMode="External"/><Relationship Id="rId92" Type="http://schemas.openxmlformats.org/officeDocument/2006/relationships/hyperlink" Target="https://youtube.com/shorts/i5e53gANZ1Y?si=t8-LMENSaG5LMIAy" TargetMode="External"/><Relationship Id="rId118" Type="http://schemas.openxmlformats.org/officeDocument/2006/relationships/hyperlink" Target="https://us.brand.joinbrands.com/job/689643" TargetMode="External"/><Relationship Id="rId239" Type="http://schemas.openxmlformats.org/officeDocument/2006/relationships/hyperlink" Target="https://www.instagram.com/reel/DadYMEOz3GX/" TargetMode="External"/><Relationship Id="rId117" Type="http://schemas.openxmlformats.org/officeDocument/2006/relationships/hyperlink" Target="https://www.tiktok.com/@dealsilovetoshop/video/7652428773454908685" TargetMode="External"/><Relationship Id="rId238" Type="http://schemas.openxmlformats.org/officeDocument/2006/relationships/hyperlink" Target="https://www.tiktok.com/@momlifehacksdaily/video/7659457332182600973" TargetMode="External"/><Relationship Id="rId359" Type="http://schemas.openxmlformats.org/officeDocument/2006/relationships/hyperlink" Target="https://buy.vahdam.com/coffee-cta-ugc-cortisol" TargetMode="External"/><Relationship Id="rId116" Type="http://schemas.openxmlformats.org/officeDocument/2006/relationships/hyperlink" Target="https://us.brand.joinbrands.com/job/683791" TargetMode="External"/><Relationship Id="rId237" Type="http://schemas.openxmlformats.org/officeDocument/2006/relationships/hyperlink" Target="https://www.tiktok.com/@aprilmcfarlingsegura/video/7659435893433961742" TargetMode="External"/><Relationship Id="rId358" Type="http://schemas.openxmlformats.org/officeDocument/2006/relationships/hyperlink" Target="https://www.instagram.com/reel/DZin9PfiKXv/" TargetMode="External"/><Relationship Id="rId479" Type="http://schemas.openxmlformats.org/officeDocument/2006/relationships/hyperlink" Target="https://buy.vahdam.com/coffee-cta-ugc-targetstore" TargetMode="External"/><Relationship Id="rId115" Type="http://schemas.openxmlformats.org/officeDocument/2006/relationships/hyperlink" Target="https://www.tiktok.com/@almitaa1125/video/7649027859507416333" TargetMode="External"/><Relationship Id="rId236" Type="http://schemas.openxmlformats.org/officeDocument/2006/relationships/hyperlink" Target="https://www.tiktok.com/@astoldbybri2/video/7658241329713007903" TargetMode="External"/><Relationship Id="rId357" Type="http://schemas.openxmlformats.org/officeDocument/2006/relationships/hyperlink" Target="https://us.brand.joinbrands.com/job/689623" TargetMode="External"/><Relationship Id="rId478" Type="http://schemas.openxmlformats.org/officeDocument/2006/relationships/hyperlink" Target="https://www.instagram.com/reel/DaCCWogsCRN/" TargetMode="External"/><Relationship Id="rId119" Type="http://schemas.openxmlformats.org/officeDocument/2006/relationships/hyperlink" Target="https://www.tiktok.com/@irish_kulish_life/video/7652232247428336926" TargetMode="External"/><Relationship Id="rId110" Type="http://schemas.openxmlformats.org/officeDocument/2006/relationships/hyperlink" Target="https://us.brand.joinbrands.com/job/676310" TargetMode="External"/><Relationship Id="rId231" Type="http://schemas.openxmlformats.org/officeDocument/2006/relationships/hyperlink" Target="https://www.tiktok.com/@mamajessd/video/7660733273580080398" TargetMode="External"/><Relationship Id="rId352" Type="http://schemas.openxmlformats.org/officeDocument/2006/relationships/hyperlink" Target="https://buy.vahdam.com/coffee-cta-ugc-mushroom" TargetMode="External"/><Relationship Id="rId473" Type="http://schemas.openxmlformats.org/officeDocument/2006/relationships/hyperlink" Target="https://www.instagram.com/reel/DaXuOPZgGEU/" TargetMode="External"/><Relationship Id="rId230" Type="http://schemas.openxmlformats.org/officeDocument/2006/relationships/hyperlink" Target="https://www.tiktok.com/@therealjuniorugc/video/7660648943398751519" TargetMode="External"/><Relationship Id="rId351" Type="http://schemas.openxmlformats.org/officeDocument/2006/relationships/hyperlink" Target="https://www.instagram.com/reel/DaBAxzJxGqX/" TargetMode="External"/><Relationship Id="rId472" Type="http://schemas.openxmlformats.org/officeDocument/2006/relationships/hyperlink" Target="https://buy.vahdam.com/coffee-cta-ugc-gummies" TargetMode="External"/><Relationship Id="rId350" Type="http://schemas.openxmlformats.org/officeDocument/2006/relationships/hyperlink" Target="https://www.instagram.com/reel/DaAp_c2uphV/" TargetMode="External"/><Relationship Id="rId471" Type="http://schemas.openxmlformats.org/officeDocument/2006/relationships/hyperlink" Target="https://www.instagram.com/reels/Davcw6KRhqQ/" TargetMode="External"/><Relationship Id="rId470" Type="http://schemas.openxmlformats.org/officeDocument/2006/relationships/hyperlink" Target="https://buy.vahdam.com/coffee-cta-ugc-taste" TargetMode="External"/><Relationship Id="rId114" Type="http://schemas.openxmlformats.org/officeDocument/2006/relationships/hyperlink" Target="https://us.brand.joinbrands.com/job/690151" TargetMode="External"/><Relationship Id="rId235" Type="http://schemas.openxmlformats.org/officeDocument/2006/relationships/hyperlink" Target="https://www.tiktok.com/@fabiliealves/video/7657747822460063007" TargetMode="External"/><Relationship Id="rId356" Type="http://schemas.openxmlformats.org/officeDocument/2006/relationships/hyperlink" Target="https://www.tiktok.com/@liz63785/video/7654512998781947167" TargetMode="External"/><Relationship Id="rId477" Type="http://schemas.openxmlformats.org/officeDocument/2006/relationships/hyperlink" Target="https://www.instagram.com/reel/DaLaJXeOLe7/" TargetMode="External"/><Relationship Id="rId113" Type="http://schemas.openxmlformats.org/officeDocument/2006/relationships/hyperlink" Target="https://www.tiktok.com/@maddieandhilty/video/7652384982245084429" TargetMode="External"/><Relationship Id="rId234" Type="http://schemas.openxmlformats.org/officeDocument/2006/relationships/hyperlink" Target="https://www.tiktok.com/@daianechrist449/video/7657671289338875150" TargetMode="External"/><Relationship Id="rId355" Type="http://schemas.openxmlformats.org/officeDocument/2006/relationships/hyperlink" Target="https://us.brand.joinbrands.com/job/693084" TargetMode="External"/><Relationship Id="rId476" Type="http://schemas.openxmlformats.org/officeDocument/2006/relationships/hyperlink" Target="https://buy.vahdam.com/coffee-cta-ugc-gummies" TargetMode="External"/><Relationship Id="rId112" Type="http://schemas.openxmlformats.org/officeDocument/2006/relationships/hyperlink" Target="https://us.brand.joinbrands.com/job/676316" TargetMode="External"/><Relationship Id="rId233" Type="http://schemas.openxmlformats.org/officeDocument/2006/relationships/hyperlink" Target="https://www.tiktok.com/@mamaprimeriza20240/video/7657544918411365645" TargetMode="External"/><Relationship Id="rId354" Type="http://schemas.openxmlformats.org/officeDocument/2006/relationships/hyperlink" Target="https://www.tiktok.com/@jamesmelissaugc/video/7654195508097010957" TargetMode="External"/><Relationship Id="rId475" Type="http://schemas.openxmlformats.org/officeDocument/2006/relationships/hyperlink" Target="https://www.instagram.com/reel/DaVBuRUxsaO/" TargetMode="External"/><Relationship Id="rId111" Type="http://schemas.openxmlformats.org/officeDocument/2006/relationships/hyperlink" Target="https://www.tiktok.com/@gelyugccreator/video/7646572183514320141" TargetMode="External"/><Relationship Id="rId232" Type="http://schemas.openxmlformats.org/officeDocument/2006/relationships/hyperlink" Target="https://www.tiktok.com/@chandaraj51/video/7659474366786194719" TargetMode="External"/><Relationship Id="rId353" Type="http://schemas.openxmlformats.org/officeDocument/2006/relationships/hyperlink" Target="https://www.tiktok.com/@juliegperalta/video/7655636072180763918" TargetMode="External"/><Relationship Id="rId474" Type="http://schemas.openxmlformats.org/officeDocument/2006/relationships/hyperlink" Target="https://buy.vahdam.com/coffee-cta-ugc-gummies" TargetMode="External"/><Relationship Id="rId305" Type="http://schemas.openxmlformats.org/officeDocument/2006/relationships/hyperlink" Target="https://us.brand.joinbrands.com/job/691184" TargetMode="External"/><Relationship Id="rId426" Type="http://schemas.openxmlformats.org/officeDocument/2006/relationships/hyperlink" Target="https://www.tiktok.com/@liz63785/video/7659771029333576991" TargetMode="External"/><Relationship Id="rId304" Type="http://schemas.openxmlformats.org/officeDocument/2006/relationships/hyperlink" Target="https://www.tiktok.com/@hopedealer74/video/7655000922812108046" TargetMode="External"/><Relationship Id="rId425" Type="http://schemas.openxmlformats.org/officeDocument/2006/relationships/hyperlink" Target="https://www.tiktok.com/@astoldbybri2/video/7658241329713007903" TargetMode="External"/><Relationship Id="rId303" Type="http://schemas.openxmlformats.org/officeDocument/2006/relationships/hyperlink" Target="https://buy.vahdam.com/coffee-cta-ugc-mushroom" TargetMode="External"/><Relationship Id="rId424" Type="http://schemas.openxmlformats.org/officeDocument/2006/relationships/hyperlink" Target="https://www.tiktok.com/@riggs.cassie/video/7658075937648577823" TargetMode="External"/><Relationship Id="rId302" Type="http://schemas.openxmlformats.org/officeDocument/2006/relationships/hyperlink" Target="https://www.instagram.com/reel/DaLA4hUN__0/" TargetMode="External"/><Relationship Id="rId423" Type="http://schemas.openxmlformats.org/officeDocument/2006/relationships/hyperlink" Target="https://www.tiktok.com/@marshell_wfhmom/video/7657552733519514910" TargetMode="External"/><Relationship Id="rId309" Type="http://schemas.openxmlformats.org/officeDocument/2006/relationships/hyperlink" Target="https://www.instagram.com/reel/DZij-jTvMNy/" TargetMode="External"/><Relationship Id="rId308" Type="http://schemas.openxmlformats.org/officeDocument/2006/relationships/hyperlink" Target="https://www.instagram.com/reel/DaLExDxRGal/" TargetMode="External"/><Relationship Id="rId429" Type="http://schemas.openxmlformats.org/officeDocument/2006/relationships/hyperlink" Target="https://www.tiktok.com/@astoldbybri2/video/7657654259705564430" TargetMode="External"/><Relationship Id="rId307" Type="http://schemas.openxmlformats.org/officeDocument/2006/relationships/hyperlink" Target="https://us.brand.joinbrands.com/job/689759" TargetMode="External"/><Relationship Id="rId428" Type="http://schemas.openxmlformats.org/officeDocument/2006/relationships/hyperlink" Target="https://www.tiktok.com/@daniela.amaduci/video/7657232746225405215" TargetMode="External"/><Relationship Id="rId306" Type="http://schemas.openxmlformats.org/officeDocument/2006/relationships/hyperlink" Target="https://www.tiktok.com/@chrissyb314/video/7650993793012927757" TargetMode="External"/><Relationship Id="rId427" Type="http://schemas.openxmlformats.org/officeDocument/2006/relationships/hyperlink" Target="https://www.instagram.com/reel/DaNyRIlxWiY/?utm_source=ig_web_copy_link&amp;igsh=MzRlODBiNWFlZA==" TargetMode="External"/><Relationship Id="rId301" Type="http://schemas.openxmlformats.org/officeDocument/2006/relationships/hyperlink" Target="https://us.brand.joinbrands.com/job/689751" TargetMode="External"/><Relationship Id="rId422" Type="http://schemas.openxmlformats.org/officeDocument/2006/relationships/hyperlink" Target="https://www.instagram.com/reel/DaNUUqlvRaQ/?utm_source=ig_web_copy_link&amp;igsh=MzRlODBiNWFlZA==" TargetMode="External"/><Relationship Id="rId300" Type="http://schemas.openxmlformats.org/officeDocument/2006/relationships/hyperlink" Target="https://www.tiktok.com/@almitaa1125/video/7652431091403361549" TargetMode="External"/><Relationship Id="rId421" Type="http://schemas.openxmlformats.org/officeDocument/2006/relationships/hyperlink" Target="https://www.tiktok.com/@patykarini/video/7657511139101707550" TargetMode="External"/><Relationship Id="rId420" Type="http://schemas.openxmlformats.org/officeDocument/2006/relationships/hyperlink" Target="https://www.tiktok.com/@therealsandraarmacost/video/7657158217977498893" TargetMode="External"/><Relationship Id="rId415" Type="http://schemas.openxmlformats.org/officeDocument/2006/relationships/hyperlink" Target="https://www.tiktok.com/@amichelleindica/video/7658004266598026509" TargetMode="External"/><Relationship Id="rId414" Type="http://schemas.openxmlformats.org/officeDocument/2006/relationships/hyperlink" Target="https://www.instagram.com/reel/DaOtK48sunx/" TargetMode="External"/><Relationship Id="rId413" Type="http://schemas.openxmlformats.org/officeDocument/2006/relationships/hyperlink" Target="https://www.tiktok.com/@hopedealer74/video/7657595789304237326" TargetMode="External"/><Relationship Id="rId412" Type="http://schemas.openxmlformats.org/officeDocument/2006/relationships/hyperlink" Target="https://www.instagram.com/reel/DaLLgTrREWn/" TargetMode="External"/><Relationship Id="rId419" Type="http://schemas.openxmlformats.org/officeDocument/2006/relationships/hyperlink" Target="https://www.tiktok.com/@sashdigitalmuse/video/7654768951204793613" TargetMode="External"/><Relationship Id="rId418" Type="http://schemas.openxmlformats.org/officeDocument/2006/relationships/hyperlink" Target="https://www.tiktok.com/@sha_hmn3/video/7657787338046655764" TargetMode="External"/><Relationship Id="rId417" Type="http://schemas.openxmlformats.org/officeDocument/2006/relationships/hyperlink" Target="https://www.instagram.com/reel/DaTmC0uBhLI/" TargetMode="External"/><Relationship Id="rId416" Type="http://schemas.openxmlformats.org/officeDocument/2006/relationships/hyperlink" Target="https://www.tiktok.com/@jaque_conci/video/7657711239367232781" TargetMode="External"/><Relationship Id="rId411" Type="http://schemas.openxmlformats.org/officeDocument/2006/relationships/hyperlink" Target="https://www.tiktok.com/@the.little.green.hill/video/7659743543635807501" TargetMode="External"/><Relationship Id="rId410" Type="http://schemas.openxmlformats.org/officeDocument/2006/relationships/hyperlink" Target="https://www.tiktok.com/@jehh_lutfi/video/7658052424560545045" TargetMode="External"/><Relationship Id="rId206" Type="http://schemas.openxmlformats.org/officeDocument/2006/relationships/hyperlink" Target="https://www.tiktok.com/@beautiffulcrazymomlife/video/7660605505286573325" TargetMode="External"/><Relationship Id="rId327" Type="http://schemas.openxmlformats.org/officeDocument/2006/relationships/hyperlink" Target="https://us.brand.joinbrands.com/job/686324" TargetMode="External"/><Relationship Id="rId448" Type="http://schemas.openxmlformats.org/officeDocument/2006/relationships/hyperlink" Target="https://www.instagram.com/reels/Dakz4KSu9l5/" TargetMode="External"/><Relationship Id="rId205" Type="http://schemas.openxmlformats.org/officeDocument/2006/relationships/hyperlink" Target="https://www.instagram.com/reel/DaSweh4u5tN/" TargetMode="External"/><Relationship Id="rId326" Type="http://schemas.openxmlformats.org/officeDocument/2006/relationships/hyperlink" Target="https://www.tiktok.com/@laurenlately7/video/7650150542232046861" TargetMode="External"/><Relationship Id="rId447" Type="http://schemas.openxmlformats.org/officeDocument/2006/relationships/hyperlink" Target="https://www.instagram.com/reel/DaZNXi-uqSi/" TargetMode="External"/><Relationship Id="rId204" Type="http://schemas.openxmlformats.org/officeDocument/2006/relationships/hyperlink" Target="https://www.tiktok.com/@goch_ugc/video/7658824716475534623" TargetMode="External"/><Relationship Id="rId325" Type="http://schemas.openxmlformats.org/officeDocument/2006/relationships/hyperlink" Target="https://www.instagram.com/reel/DZnGAjZh5Qb/" TargetMode="External"/><Relationship Id="rId446" Type="http://schemas.openxmlformats.org/officeDocument/2006/relationships/hyperlink" Target="https://www.instagram.com/reels/DaNXfRrxLPK/" TargetMode="External"/><Relationship Id="rId203" Type="http://schemas.openxmlformats.org/officeDocument/2006/relationships/hyperlink" Target="https://www.instagram.com/reel/DaRDmw_RuHs/" TargetMode="External"/><Relationship Id="rId324" Type="http://schemas.openxmlformats.org/officeDocument/2006/relationships/hyperlink" Target="https://www.instagram.com/reel/DaLD_V6SPun/" TargetMode="External"/><Relationship Id="rId445" Type="http://schemas.openxmlformats.org/officeDocument/2006/relationships/hyperlink" Target="https://www.instagram.com/reels/Dak3NwIxEbK/" TargetMode="External"/><Relationship Id="rId209" Type="http://schemas.openxmlformats.org/officeDocument/2006/relationships/hyperlink" Target="https://www.instagram.com/reel/DaRvKlMopjG/" TargetMode="External"/><Relationship Id="rId208" Type="http://schemas.openxmlformats.org/officeDocument/2006/relationships/hyperlink" Target="https://www.instagram.com/reel/DaRTOnoOFz2/" TargetMode="External"/><Relationship Id="rId329" Type="http://schemas.openxmlformats.org/officeDocument/2006/relationships/hyperlink" Target="https://buy.vahdam.com/coffee-cta-ugc-mushroom" TargetMode="External"/><Relationship Id="rId207" Type="http://schemas.openxmlformats.org/officeDocument/2006/relationships/hyperlink" Target="https://www.instagram.com/reels/DakpyX-u6OI/" TargetMode="External"/><Relationship Id="rId328" Type="http://schemas.openxmlformats.org/officeDocument/2006/relationships/hyperlink" Target="https://www.instagram.com/reel/DaBAm2QuZuT/" TargetMode="External"/><Relationship Id="rId449" Type="http://schemas.openxmlformats.org/officeDocument/2006/relationships/hyperlink" Target="https://www.instagram.com/reels/Daktttlv56y/" TargetMode="External"/><Relationship Id="rId440" Type="http://schemas.openxmlformats.org/officeDocument/2006/relationships/hyperlink" Target="https://www.instagram.com/reel/DaWNeyJh2c_/" TargetMode="External"/><Relationship Id="rId202" Type="http://schemas.openxmlformats.org/officeDocument/2006/relationships/hyperlink" Target="https://www.instagram.com/reel/DaWG8geCix2/" TargetMode="External"/><Relationship Id="rId323" Type="http://schemas.openxmlformats.org/officeDocument/2006/relationships/hyperlink" Target="https://www.instagram.com/reel/DZutO9zsIh6/" TargetMode="External"/><Relationship Id="rId444" Type="http://schemas.openxmlformats.org/officeDocument/2006/relationships/hyperlink" Target="https://www.instagram.com/reel/DaV2xZEx5zz/" TargetMode="External"/><Relationship Id="rId201" Type="http://schemas.openxmlformats.org/officeDocument/2006/relationships/hyperlink" Target="https://www.instagram.com/reel/DaQ7jaqyu1D/" TargetMode="External"/><Relationship Id="rId322" Type="http://schemas.openxmlformats.org/officeDocument/2006/relationships/hyperlink" Target="https://www.instagram.com/reel/DaD0zbVRLmS/" TargetMode="External"/><Relationship Id="rId443" Type="http://schemas.openxmlformats.org/officeDocument/2006/relationships/hyperlink" Target="https://www.instagram.com/reel/DaTosb_xdoI/" TargetMode="External"/><Relationship Id="rId200" Type="http://schemas.openxmlformats.org/officeDocument/2006/relationships/hyperlink" Target="https://www.instagram.com/reel/DaNsUjVQacW/" TargetMode="External"/><Relationship Id="rId321" Type="http://schemas.openxmlformats.org/officeDocument/2006/relationships/hyperlink" Target="https://us.brand.joinbrands.com/job/686208" TargetMode="External"/><Relationship Id="rId442" Type="http://schemas.openxmlformats.org/officeDocument/2006/relationships/hyperlink" Target="https://www.instagram.com/reel/DaRfDm1Rtgv/" TargetMode="External"/><Relationship Id="rId320" Type="http://schemas.openxmlformats.org/officeDocument/2006/relationships/hyperlink" Target="https://www.tiktok.com/@lifewithlibby76/video/7649523272446397709" TargetMode="External"/><Relationship Id="rId441" Type="http://schemas.openxmlformats.org/officeDocument/2006/relationships/hyperlink" Target="https://www.instagram.com/reels/DamFh5uMtQI/" TargetMode="External"/><Relationship Id="rId316" Type="http://schemas.openxmlformats.org/officeDocument/2006/relationships/hyperlink" Target="https://www.instagram.com/reel/DZvS7UTPDbV/" TargetMode="External"/><Relationship Id="rId437" Type="http://schemas.openxmlformats.org/officeDocument/2006/relationships/hyperlink" Target="https://www.instagram.com/reels/DalftEbxjd7/" TargetMode="External"/><Relationship Id="rId315" Type="http://schemas.openxmlformats.org/officeDocument/2006/relationships/hyperlink" Target="https://us.brand.joinbrands.com/job/693202" TargetMode="External"/><Relationship Id="rId436" Type="http://schemas.openxmlformats.org/officeDocument/2006/relationships/hyperlink" Target="https://www.tiktok.com/@user2107304073112/video/7657286360855743774" TargetMode="External"/><Relationship Id="rId314" Type="http://schemas.openxmlformats.org/officeDocument/2006/relationships/hyperlink" Target="https://www.tiktok.com/@fanyvibes27/video/7654199904478219550" TargetMode="External"/><Relationship Id="rId435" Type="http://schemas.openxmlformats.org/officeDocument/2006/relationships/hyperlink" Target="https://www.tiktok.com/@margobondcollins/video/7658203564040293663" TargetMode="External"/><Relationship Id="rId313" Type="http://schemas.openxmlformats.org/officeDocument/2006/relationships/hyperlink" Target="https://us.brand.joinbrands.com/job/690150" TargetMode="External"/><Relationship Id="rId434" Type="http://schemas.openxmlformats.org/officeDocument/2006/relationships/hyperlink" Target="https://www.tiktok.com/@chersugc/video/7657227528972602638" TargetMode="External"/><Relationship Id="rId319" Type="http://schemas.openxmlformats.org/officeDocument/2006/relationships/hyperlink" Target="https://us.brand.joinbrands.com/job/691428" TargetMode="External"/><Relationship Id="rId318" Type="http://schemas.openxmlformats.org/officeDocument/2006/relationships/hyperlink" Target="https://www.tiktok.com/@crossrunner0719/video/7654193695981423886" TargetMode="External"/><Relationship Id="rId439" Type="http://schemas.openxmlformats.org/officeDocument/2006/relationships/hyperlink" Target="https://www.instagram.com/reels/DafpskSzjbo/" TargetMode="External"/><Relationship Id="rId317" Type="http://schemas.openxmlformats.org/officeDocument/2006/relationships/hyperlink" Target="https://buy.vahdam.com/coffee-cta-ugc-cortisol" TargetMode="External"/><Relationship Id="rId438" Type="http://schemas.openxmlformats.org/officeDocument/2006/relationships/hyperlink" Target="https://www.instagram.com/reel/DaUGULcgv0h/" TargetMode="External"/><Relationship Id="rId312" Type="http://schemas.openxmlformats.org/officeDocument/2006/relationships/hyperlink" Target="https://www.tiktok.com/@familiawestcoast/video/7654646282463497502" TargetMode="External"/><Relationship Id="rId433" Type="http://schemas.openxmlformats.org/officeDocument/2006/relationships/hyperlink" Target="https://www.instagram.com/reels/DakvMWHRUnx/" TargetMode="External"/><Relationship Id="rId311" Type="http://schemas.openxmlformats.org/officeDocument/2006/relationships/hyperlink" Target="https://buy.vahdam.com/coffee-cta-ugc-cortisol" TargetMode="External"/><Relationship Id="rId432" Type="http://schemas.openxmlformats.org/officeDocument/2006/relationships/hyperlink" Target="https://www.tiktok.com/@hopedealer74/video/7657967804854881549" TargetMode="External"/><Relationship Id="rId310" Type="http://schemas.openxmlformats.org/officeDocument/2006/relationships/hyperlink" Target="https://www.instagram.com/reel/DZ7-gmWKC2k/?utm_source=ig_web_copy_link&amp;igsh=MzRlODBiNWFlZA==" TargetMode="External"/><Relationship Id="rId431" Type="http://schemas.openxmlformats.org/officeDocument/2006/relationships/hyperlink" Target="https://www.tiktok.com/@liz63785/video/7657328231405620511" TargetMode="External"/><Relationship Id="rId430" Type="http://schemas.openxmlformats.org/officeDocument/2006/relationships/hyperlink" Target="https://www.tiktok.com/@ugcbybrandi/video/765720769767832297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6.0"/>
    <col customWidth="1" min="2" max="2" width="62.0"/>
    <col customWidth="1" min="3" max="3" width="34.0"/>
    <col customWidth="1" min="4" max="26" width="8.71"/>
  </cols>
  <sheetData>
    <row r="1">
      <c r="A1" s="1" t="s">
        <v>1</v>
      </c>
    </row>
    <row r="2">
      <c r="A2" s="6" t="s">
        <v>5</v>
      </c>
    </row>
    <row r="3" ht="33.75" customHeight="1">
      <c r="A3" s="8" t="s">
        <v>7</v>
      </c>
      <c r="B3" s="8" t="s">
        <v>13</v>
      </c>
      <c r="C3" s="8" t="s">
        <v>16</v>
      </c>
    </row>
    <row r="4">
      <c r="A4" s="10" t="s">
        <v>20</v>
      </c>
      <c r="B4" s="10" t="s">
        <v>24</v>
      </c>
      <c r="C4" s="10" t="s">
        <v>25</v>
      </c>
    </row>
    <row r="5">
      <c r="A5" s="10" t="s">
        <v>27</v>
      </c>
      <c r="B5" s="10" t="s">
        <v>28</v>
      </c>
      <c r="C5" s="10" t="s">
        <v>30</v>
      </c>
    </row>
    <row r="6">
      <c r="A6" s="10" t="s">
        <v>32</v>
      </c>
      <c r="B6" s="10" t="s">
        <v>33</v>
      </c>
      <c r="C6" s="10" t="s">
        <v>30</v>
      </c>
    </row>
    <row r="7">
      <c r="A7" s="10" t="s">
        <v>36</v>
      </c>
      <c r="B7" s="10" t="s">
        <v>39</v>
      </c>
      <c r="C7" s="10" t="s">
        <v>40</v>
      </c>
    </row>
    <row r="8">
      <c r="A8" s="10" t="s">
        <v>42</v>
      </c>
      <c r="B8" s="10" t="s">
        <v>43</v>
      </c>
      <c r="C8" s="10" t="s">
        <v>46</v>
      </c>
    </row>
    <row r="9">
      <c r="A9" s="10" t="s">
        <v>47</v>
      </c>
      <c r="B9" s="10" t="s">
        <v>50</v>
      </c>
      <c r="C9" s="10" t="s">
        <v>54</v>
      </c>
    </row>
    <row r="10">
      <c r="A10" s="10" t="s">
        <v>56</v>
      </c>
      <c r="B10" s="10" t="s">
        <v>58</v>
      </c>
      <c r="C10" s="10" t="s">
        <v>54</v>
      </c>
    </row>
    <row r="11">
      <c r="A11" s="10" t="s">
        <v>60</v>
      </c>
      <c r="B11" s="10" t="s">
        <v>61</v>
      </c>
      <c r="C11" s="10" t="s">
        <v>54</v>
      </c>
    </row>
    <row r="12">
      <c r="A12" s="10" t="s">
        <v>68</v>
      </c>
      <c r="B12" s="10" t="s">
        <v>70</v>
      </c>
      <c r="C12" s="10" t="s">
        <v>71</v>
      </c>
    </row>
    <row r="14">
      <c r="A14" s="19" t="s">
        <v>77</v>
      </c>
      <c r="B14" s="20" t="s">
        <v>79</v>
      </c>
      <c r="C14" s="5"/>
    </row>
    <row r="15">
      <c r="A15" s="19" t="s">
        <v>85</v>
      </c>
      <c r="B15" s="20" t="s">
        <v>86</v>
      </c>
      <c r="C15" s="5"/>
    </row>
    <row r="16">
      <c r="A16" s="19" t="s">
        <v>92</v>
      </c>
      <c r="B16" s="20" t="s">
        <v>95</v>
      </c>
      <c r="C16" s="5"/>
    </row>
    <row r="17" ht="60.0" customHeight="1">
      <c r="A17" s="19" t="s">
        <v>98</v>
      </c>
      <c r="B17" s="20" t="s">
        <v>102</v>
      </c>
      <c r="C17" s="5"/>
    </row>
    <row r="18">
      <c r="A18" s="19" t="s">
        <v>105</v>
      </c>
      <c r="B18" s="20" t="s">
        <v>106</v>
      </c>
      <c r="C1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4:C14"/>
    <mergeCell ref="B15:C15"/>
    <mergeCell ref="B16:C16"/>
    <mergeCell ref="B17:C17"/>
    <mergeCell ref="B18:C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18.43"/>
    <col customWidth="1" min="3" max="3" width="20.29"/>
    <col customWidth="1" min="4" max="4" width="16.71"/>
    <col customWidth="1" min="5" max="5" width="14.0"/>
    <col customWidth="1" min="6" max="6" width="15.86"/>
    <col customWidth="1" min="7" max="7" width="17.14"/>
    <col customWidth="1" min="8" max="8" width="24.43"/>
    <col customWidth="1" min="9" max="26" width="8.71"/>
  </cols>
  <sheetData>
    <row r="1">
      <c r="A1" s="2" t="s">
        <v>3</v>
      </c>
      <c r="B1" s="3"/>
      <c r="C1" s="5"/>
      <c r="D1" s="7"/>
      <c r="E1" s="7"/>
      <c r="F1" s="7"/>
      <c r="G1" s="7"/>
      <c r="H1" s="7"/>
      <c r="I1" s="7"/>
      <c r="J1" s="7"/>
      <c r="K1" s="7"/>
      <c r="L1" s="7"/>
      <c r="M1" s="7"/>
      <c r="N1" s="7"/>
      <c r="O1" s="7"/>
      <c r="P1" s="7"/>
      <c r="Q1" s="7"/>
      <c r="R1" s="7"/>
      <c r="S1" s="7"/>
      <c r="T1" s="7"/>
      <c r="U1" s="7"/>
      <c r="V1" s="7"/>
      <c r="W1" s="7"/>
      <c r="X1" s="7"/>
      <c r="Y1" s="7"/>
      <c r="Z1" s="7"/>
    </row>
    <row r="2">
      <c r="A2" s="11" t="s">
        <v>19</v>
      </c>
      <c r="B2" s="3"/>
      <c r="C2" s="5"/>
      <c r="D2" s="7"/>
      <c r="E2" s="7"/>
      <c r="F2" s="7"/>
      <c r="G2" s="7"/>
      <c r="H2" s="7"/>
      <c r="I2" s="7"/>
      <c r="J2" s="7"/>
      <c r="K2" s="7"/>
      <c r="L2" s="7"/>
      <c r="M2" s="7"/>
      <c r="N2" s="7"/>
      <c r="O2" s="7"/>
      <c r="P2" s="7"/>
      <c r="Q2" s="7"/>
      <c r="R2" s="7"/>
      <c r="S2" s="7"/>
      <c r="T2" s="7"/>
      <c r="U2" s="7"/>
      <c r="V2" s="7"/>
      <c r="W2" s="7"/>
      <c r="X2" s="7"/>
      <c r="Y2" s="7"/>
      <c r="Z2" s="7"/>
    </row>
    <row r="3">
      <c r="A3" s="11" t="s">
        <v>34</v>
      </c>
      <c r="B3" s="3"/>
      <c r="C3" s="5"/>
      <c r="D3" s="7"/>
      <c r="E3" s="7"/>
      <c r="F3" s="7"/>
      <c r="G3" s="7"/>
      <c r="H3" s="7"/>
      <c r="I3" s="7"/>
      <c r="J3" s="7"/>
      <c r="K3" s="7"/>
      <c r="L3" s="7"/>
      <c r="M3" s="7"/>
      <c r="N3" s="7"/>
      <c r="O3" s="7"/>
      <c r="P3" s="7"/>
      <c r="Q3" s="7"/>
      <c r="R3" s="7"/>
      <c r="S3" s="7"/>
      <c r="T3" s="7"/>
      <c r="U3" s="7"/>
      <c r="V3" s="7"/>
      <c r="W3" s="7"/>
      <c r="X3" s="7"/>
      <c r="Y3" s="7"/>
      <c r="Z3" s="7"/>
    </row>
    <row r="4">
      <c r="A4" s="11" t="s">
        <v>45</v>
      </c>
      <c r="B4" s="3"/>
      <c r="C4" s="3"/>
      <c r="D4" s="5"/>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11" t="s">
        <v>62</v>
      </c>
      <c r="B6" s="3"/>
      <c r="C6" s="3"/>
      <c r="D6" s="5"/>
      <c r="E6" s="7"/>
      <c r="F6" s="7"/>
      <c r="G6" s="7"/>
      <c r="H6" s="7"/>
      <c r="I6" s="7"/>
      <c r="J6" s="7"/>
      <c r="K6" s="7"/>
      <c r="L6" s="7"/>
      <c r="M6" s="7"/>
      <c r="N6" s="7"/>
      <c r="O6" s="7"/>
      <c r="P6" s="7"/>
      <c r="Q6" s="7"/>
      <c r="R6" s="7"/>
      <c r="S6" s="7"/>
      <c r="T6" s="7"/>
      <c r="U6" s="7"/>
      <c r="V6" s="7"/>
      <c r="W6" s="7"/>
      <c r="X6" s="7"/>
      <c r="Y6" s="7"/>
      <c r="Z6" s="7"/>
    </row>
    <row r="7" ht="33.75" customHeight="1">
      <c r="A7" s="8" t="s">
        <v>73</v>
      </c>
      <c r="B7" s="8" t="s">
        <v>75</v>
      </c>
      <c r="C7" s="8" t="s">
        <v>76</v>
      </c>
      <c r="D7" s="7"/>
      <c r="E7" s="7"/>
      <c r="F7" s="7"/>
      <c r="G7" s="7"/>
      <c r="H7" s="7"/>
      <c r="I7" s="7"/>
      <c r="J7" s="7"/>
      <c r="K7" s="7"/>
      <c r="L7" s="7"/>
      <c r="M7" s="7"/>
      <c r="N7" s="7"/>
      <c r="O7" s="7"/>
      <c r="P7" s="7"/>
      <c r="Q7" s="7"/>
      <c r="R7" s="7"/>
      <c r="S7" s="7"/>
      <c r="T7" s="7"/>
      <c r="U7" s="7"/>
      <c r="V7" s="7"/>
      <c r="W7" s="7"/>
      <c r="X7" s="7"/>
      <c r="Y7" s="7"/>
      <c r="Z7" s="7"/>
    </row>
    <row r="8">
      <c r="A8" s="17" t="s">
        <v>81</v>
      </c>
      <c r="B8" s="17" t="s">
        <v>83</v>
      </c>
      <c r="C8" s="17" t="s">
        <v>84</v>
      </c>
      <c r="D8" s="7"/>
      <c r="E8" s="7"/>
      <c r="F8" s="7"/>
      <c r="G8" s="7"/>
      <c r="H8" s="7"/>
      <c r="I8" s="7"/>
      <c r="J8" s="7"/>
      <c r="K8" s="7"/>
      <c r="L8" s="7"/>
      <c r="M8" s="7"/>
      <c r="N8" s="7"/>
      <c r="O8" s="7"/>
      <c r="P8" s="7"/>
      <c r="Q8" s="7"/>
      <c r="R8" s="7"/>
      <c r="S8" s="7"/>
      <c r="T8" s="7"/>
      <c r="U8" s="7"/>
      <c r="V8" s="7"/>
      <c r="W8" s="7"/>
      <c r="X8" s="7"/>
      <c r="Y8" s="7"/>
      <c r="Z8" s="7"/>
    </row>
    <row r="9">
      <c r="A9" s="17" t="s">
        <v>88</v>
      </c>
      <c r="B9" s="17" t="s">
        <v>89</v>
      </c>
      <c r="C9" s="17" t="s">
        <v>91</v>
      </c>
      <c r="D9" s="7"/>
      <c r="E9" s="7"/>
      <c r="F9" s="7"/>
      <c r="G9" s="7"/>
      <c r="H9" s="7"/>
      <c r="I9" s="7"/>
      <c r="J9" s="7"/>
      <c r="K9" s="7"/>
      <c r="L9" s="7"/>
      <c r="M9" s="7"/>
      <c r="N9" s="7"/>
      <c r="O9" s="7"/>
      <c r="P9" s="7"/>
      <c r="Q9" s="7"/>
      <c r="R9" s="7"/>
      <c r="S9" s="7"/>
      <c r="T9" s="7"/>
      <c r="U9" s="7"/>
      <c r="V9" s="7"/>
      <c r="W9" s="7"/>
      <c r="X9" s="7"/>
      <c r="Y9" s="7"/>
      <c r="Z9" s="7"/>
    </row>
    <row r="10">
      <c r="A10" s="17" t="s">
        <v>99</v>
      </c>
      <c r="B10" s="17" t="s">
        <v>100</v>
      </c>
      <c r="C10" s="17" t="s">
        <v>103</v>
      </c>
      <c r="D10" s="7"/>
      <c r="E10" s="7"/>
      <c r="F10" s="7"/>
      <c r="G10" s="7"/>
      <c r="H10" s="7"/>
      <c r="I10" s="7"/>
      <c r="J10" s="7"/>
      <c r="K10" s="7"/>
      <c r="L10" s="7"/>
      <c r="M10" s="7"/>
      <c r="N10" s="7"/>
      <c r="O10" s="7"/>
      <c r="P10" s="7"/>
      <c r="Q10" s="7"/>
      <c r="R10" s="7"/>
      <c r="S10" s="7"/>
      <c r="T10" s="7"/>
      <c r="U10" s="7"/>
      <c r="V10" s="7"/>
      <c r="W10" s="7"/>
      <c r="X10" s="7"/>
      <c r="Y10" s="7"/>
      <c r="Z10" s="7"/>
    </row>
    <row r="11">
      <c r="A11" s="17" t="s">
        <v>108</v>
      </c>
      <c r="B11" s="17" t="s">
        <v>110</v>
      </c>
      <c r="C11" s="17" t="s">
        <v>112</v>
      </c>
      <c r="D11" s="7"/>
      <c r="E11" s="7"/>
      <c r="F11" s="7"/>
      <c r="G11" s="7"/>
      <c r="H11" s="7"/>
      <c r="I11" s="7"/>
      <c r="J11" s="7"/>
      <c r="K11" s="7"/>
      <c r="L11" s="7"/>
      <c r="M11" s="7"/>
      <c r="N11" s="7"/>
      <c r="O11" s="7"/>
      <c r="P11" s="7"/>
      <c r="Q11" s="7"/>
      <c r="R11" s="7"/>
      <c r="S11" s="7"/>
      <c r="T11" s="7"/>
      <c r="U11" s="7"/>
      <c r="V11" s="7"/>
      <c r="W11" s="7"/>
      <c r="X11" s="7"/>
      <c r="Y11" s="7"/>
      <c r="Z11" s="7"/>
    </row>
    <row r="12">
      <c r="A12" s="17" t="s">
        <v>118</v>
      </c>
      <c r="B12" s="17" t="s">
        <v>120</v>
      </c>
      <c r="C12" s="17" t="s">
        <v>121</v>
      </c>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11" t="s">
        <v>132</v>
      </c>
      <c r="B14" s="3"/>
      <c r="C14" s="3"/>
      <c r="D14" s="5"/>
      <c r="E14" s="7"/>
      <c r="F14" s="7"/>
      <c r="G14" s="7"/>
      <c r="H14" s="7"/>
      <c r="I14" s="7"/>
      <c r="J14" s="7"/>
      <c r="K14" s="7"/>
      <c r="L14" s="7"/>
      <c r="M14" s="7"/>
      <c r="N14" s="7"/>
      <c r="O14" s="7"/>
      <c r="P14" s="7"/>
      <c r="Q14" s="7"/>
      <c r="R14" s="7"/>
      <c r="S14" s="7"/>
      <c r="T14" s="7"/>
      <c r="U14" s="7"/>
      <c r="V14" s="7"/>
      <c r="W14" s="7"/>
      <c r="X14" s="7"/>
      <c r="Y14" s="7"/>
      <c r="Z14" s="7"/>
    </row>
    <row r="15">
      <c r="A15" s="11" t="s">
        <v>138</v>
      </c>
      <c r="B15" s="3"/>
      <c r="C15" s="3"/>
      <c r="D15" s="5"/>
      <c r="E15" s="7"/>
      <c r="F15" s="21" t="s">
        <v>142</v>
      </c>
      <c r="G15" s="7"/>
      <c r="H15" s="7"/>
      <c r="I15" s="7"/>
      <c r="J15" s="7"/>
      <c r="K15" s="7"/>
      <c r="L15" s="7"/>
      <c r="M15" s="7"/>
      <c r="N15" s="7"/>
      <c r="O15" s="7"/>
      <c r="P15" s="7"/>
      <c r="Q15" s="7"/>
      <c r="R15" s="7"/>
      <c r="S15" s="7"/>
      <c r="T15" s="7"/>
      <c r="U15" s="7"/>
      <c r="V15" s="7"/>
      <c r="W15" s="7"/>
      <c r="X15" s="7"/>
      <c r="Y15" s="7"/>
      <c r="Z15" s="7"/>
    </row>
    <row r="16" ht="33.75" customHeight="1">
      <c r="A16" s="23" t="s">
        <v>75</v>
      </c>
      <c r="B16" s="23" t="s">
        <v>149</v>
      </c>
      <c r="C16" s="23" t="s">
        <v>150</v>
      </c>
      <c r="D16" s="23" t="s">
        <v>151</v>
      </c>
      <c r="E16" s="7"/>
      <c r="F16" s="23" t="s">
        <v>75</v>
      </c>
      <c r="G16" s="23" t="s">
        <v>149</v>
      </c>
      <c r="H16" s="23" t="s">
        <v>150</v>
      </c>
      <c r="I16" s="7"/>
      <c r="J16" s="7"/>
      <c r="K16" s="7"/>
      <c r="L16" s="7"/>
      <c r="M16" s="7"/>
      <c r="N16" s="7"/>
      <c r="O16" s="7"/>
      <c r="P16" s="7"/>
      <c r="Q16" s="7"/>
      <c r="R16" s="7"/>
      <c r="S16" s="7"/>
      <c r="T16" s="7"/>
      <c r="U16" s="7"/>
      <c r="V16" s="7"/>
      <c r="W16" s="7"/>
      <c r="X16" s="7"/>
      <c r="Y16" s="7"/>
      <c r="Z16" s="7"/>
    </row>
    <row r="17">
      <c r="A17" s="17" t="s">
        <v>155</v>
      </c>
      <c r="B17" s="17" t="s">
        <v>157</v>
      </c>
      <c r="C17" s="17" t="s">
        <v>159</v>
      </c>
      <c r="D17" s="17" t="s">
        <v>160</v>
      </c>
      <c r="E17" s="7"/>
      <c r="F17" s="17" t="s">
        <v>155</v>
      </c>
      <c r="G17" s="17" t="s">
        <v>162</v>
      </c>
      <c r="H17" s="17" t="s">
        <v>163</v>
      </c>
      <c r="I17" s="7"/>
      <c r="J17" s="7"/>
      <c r="K17" s="7"/>
      <c r="L17" s="7"/>
      <c r="M17" s="7"/>
      <c r="N17" s="7"/>
      <c r="O17" s="7"/>
      <c r="P17" s="7"/>
      <c r="Q17" s="7"/>
      <c r="R17" s="7"/>
      <c r="S17" s="7"/>
      <c r="T17" s="7"/>
      <c r="U17" s="7"/>
      <c r="V17" s="7"/>
      <c r="W17" s="7"/>
      <c r="X17" s="7"/>
      <c r="Y17" s="7"/>
      <c r="Z17" s="7"/>
    </row>
    <row r="18">
      <c r="A18" s="17" t="s">
        <v>110</v>
      </c>
      <c r="B18" s="17" t="s">
        <v>167</v>
      </c>
      <c r="C18" s="17" t="s">
        <v>170</v>
      </c>
      <c r="D18" s="17"/>
      <c r="E18" s="7"/>
      <c r="F18" s="17" t="s">
        <v>110</v>
      </c>
      <c r="G18" s="17" t="s">
        <v>174</v>
      </c>
      <c r="H18" s="17" t="s">
        <v>176</v>
      </c>
      <c r="I18" s="7"/>
      <c r="J18" s="7"/>
      <c r="K18" s="7"/>
      <c r="L18" s="7"/>
      <c r="M18" s="7"/>
      <c r="N18" s="7"/>
      <c r="O18" s="7"/>
      <c r="P18" s="7"/>
      <c r="Q18" s="7"/>
      <c r="R18" s="7"/>
      <c r="S18" s="7"/>
      <c r="T18" s="7"/>
      <c r="U18" s="7"/>
      <c r="V18" s="7"/>
      <c r="W18" s="7"/>
      <c r="X18" s="7"/>
      <c r="Y18" s="7"/>
      <c r="Z18" s="7"/>
    </row>
    <row r="19">
      <c r="A19" s="17" t="s">
        <v>179</v>
      </c>
      <c r="B19" s="17" t="s">
        <v>182</v>
      </c>
      <c r="C19" s="17" t="s">
        <v>184</v>
      </c>
      <c r="D19" s="17"/>
      <c r="E19" s="7"/>
      <c r="F19" s="17" t="s">
        <v>179</v>
      </c>
      <c r="G19" s="17" t="s">
        <v>182</v>
      </c>
      <c r="H19" s="17" t="s">
        <v>187</v>
      </c>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11" t="s">
        <v>191</v>
      </c>
      <c r="B21" s="3"/>
      <c r="C21" s="3"/>
      <c r="D21" s="5"/>
      <c r="E21" s="7"/>
      <c r="F21" s="7"/>
      <c r="G21" s="7"/>
      <c r="H21" s="7"/>
      <c r="I21" s="7"/>
      <c r="J21" s="7"/>
      <c r="K21" s="7"/>
      <c r="L21" s="7"/>
      <c r="M21" s="7"/>
      <c r="N21" s="7"/>
      <c r="O21" s="7"/>
      <c r="P21" s="7"/>
      <c r="Q21" s="7"/>
      <c r="R21" s="7"/>
      <c r="S21" s="7"/>
      <c r="T21" s="7"/>
      <c r="U21" s="7"/>
      <c r="V21" s="7"/>
      <c r="W21" s="7"/>
      <c r="X21" s="7"/>
      <c r="Y21" s="7"/>
      <c r="Z21" s="7"/>
    </row>
    <row r="22" ht="15.75" customHeight="1">
      <c r="A22" s="11" t="s">
        <v>194</v>
      </c>
      <c r="B22" s="3"/>
      <c r="C22" s="3"/>
      <c r="D22" s="5"/>
      <c r="E22" s="7"/>
      <c r="F22" s="21" t="s">
        <v>195</v>
      </c>
      <c r="G22" s="7"/>
      <c r="H22" s="7"/>
      <c r="I22" s="7"/>
      <c r="J22" s="7"/>
      <c r="K22" s="7"/>
      <c r="L22" s="7"/>
      <c r="M22" s="7"/>
      <c r="N22" s="7"/>
      <c r="O22" s="7"/>
      <c r="P22" s="7"/>
      <c r="Q22" s="7"/>
      <c r="R22" s="7"/>
      <c r="S22" s="7"/>
      <c r="T22" s="7"/>
      <c r="U22" s="7"/>
      <c r="V22" s="7"/>
      <c r="W22" s="7"/>
      <c r="X22" s="7"/>
      <c r="Y22" s="7"/>
      <c r="Z22" s="7"/>
    </row>
    <row r="23" ht="33.75" customHeight="1">
      <c r="A23" s="23" t="s">
        <v>202</v>
      </c>
      <c r="B23" s="23" t="s">
        <v>204</v>
      </c>
      <c r="C23" s="23" t="s">
        <v>205</v>
      </c>
      <c r="D23" s="7"/>
      <c r="E23" s="7"/>
      <c r="F23" s="23" t="s">
        <v>202</v>
      </c>
      <c r="G23" s="23" t="s">
        <v>204</v>
      </c>
      <c r="H23" s="23" t="s">
        <v>205</v>
      </c>
      <c r="I23" s="7"/>
      <c r="J23" s="7"/>
      <c r="K23" s="7"/>
      <c r="L23" s="7"/>
      <c r="M23" s="7"/>
      <c r="N23" s="7"/>
      <c r="O23" s="7"/>
      <c r="P23" s="7"/>
      <c r="Q23" s="7"/>
      <c r="R23" s="7"/>
      <c r="S23" s="7"/>
      <c r="T23" s="7"/>
      <c r="U23" s="7"/>
      <c r="V23" s="7"/>
      <c r="W23" s="7"/>
      <c r="X23" s="7"/>
      <c r="Y23" s="7"/>
      <c r="Z23" s="7"/>
    </row>
    <row r="24" ht="15.75" customHeight="1">
      <c r="A24" s="17" t="s">
        <v>212</v>
      </c>
      <c r="B24" s="17" t="s">
        <v>213</v>
      </c>
      <c r="C24" s="17" t="s">
        <v>215</v>
      </c>
      <c r="D24" s="7"/>
      <c r="E24" s="7"/>
      <c r="F24" s="17" t="s">
        <v>217</v>
      </c>
      <c r="G24" s="17" t="s">
        <v>213</v>
      </c>
      <c r="H24" s="17" t="s">
        <v>218</v>
      </c>
      <c r="I24" s="7"/>
      <c r="J24" s="7"/>
      <c r="K24" s="7"/>
      <c r="L24" s="7"/>
      <c r="M24" s="7"/>
      <c r="N24" s="7"/>
      <c r="O24" s="7"/>
      <c r="P24" s="7"/>
      <c r="Q24" s="7"/>
      <c r="R24" s="7"/>
      <c r="S24" s="7"/>
      <c r="T24" s="7"/>
      <c r="U24" s="7"/>
      <c r="V24" s="7"/>
      <c r="W24" s="7"/>
      <c r="X24" s="7"/>
      <c r="Y24" s="7"/>
      <c r="Z24" s="7"/>
    </row>
    <row r="25" ht="15.75" customHeight="1">
      <c r="A25" s="17" t="s">
        <v>225</v>
      </c>
      <c r="B25" s="17" t="s">
        <v>228</v>
      </c>
      <c r="C25" s="17" t="s">
        <v>229</v>
      </c>
      <c r="D25" s="7"/>
      <c r="E25" s="7"/>
      <c r="F25" s="17" t="s">
        <v>231</v>
      </c>
      <c r="G25" s="17" t="s">
        <v>232</v>
      </c>
      <c r="H25" s="17" t="s">
        <v>233</v>
      </c>
      <c r="I25" s="7"/>
      <c r="J25" s="7"/>
      <c r="K25" s="7"/>
      <c r="L25" s="7"/>
      <c r="M25" s="7"/>
      <c r="N25" s="7"/>
      <c r="O25" s="7"/>
      <c r="P25" s="7"/>
      <c r="Q25" s="7"/>
      <c r="R25" s="7"/>
      <c r="S25" s="7"/>
      <c r="T25" s="7"/>
      <c r="U25" s="7"/>
      <c r="V25" s="7"/>
      <c r="W25" s="7"/>
      <c r="X25" s="7"/>
      <c r="Y25" s="7"/>
      <c r="Z25" s="7"/>
    </row>
    <row r="26" ht="15.75" customHeight="1">
      <c r="A26" s="17" t="s">
        <v>236</v>
      </c>
      <c r="B26" s="17" t="s">
        <v>237</v>
      </c>
      <c r="C26" s="17" t="s">
        <v>238</v>
      </c>
      <c r="D26" s="7"/>
      <c r="E26" s="7"/>
      <c r="F26" s="17" t="s">
        <v>239</v>
      </c>
      <c r="G26" s="17" t="s">
        <v>241</v>
      </c>
      <c r="H26" s="17" t="s">
        <v>243</v>
      </c>
      <c r="I26" s="7"/>
      <c r="J26" s="7"/>
      <c r="K26" s="7"/>
      <c r="L26" s="7"/>
      <c r="M26" s="7"/>
      <c r="N26" s="7"/>
      <c r="O26" s="7"/>
      <c r="P26" s="7"/>
      <c r="Q26" s="7"/>
      <c r="R26" s="7"/>
      <c r="S26" s="7"/>
      <c r="T26" s="7"/>
      <c r="U26" s="7"/>
      <c r="V26" s="7"/>
      <c r="W26" s="7"/>
      <c r="X26" s="7"/>
      <c r="Y26" s="7"/>
      <c r="Z26" s="7"/>
    </row>
    <row r="27" ht="15.75" customHeight="1">
      <c r="A27" s="17" t="s">
        <v>245</v>
      </c>
      <c r="B27" s="17" t="s">
        <v>241</v>
      </c>
      <c r="C27" s="17" t="s">
        <v>246</v>
      </c>
      <c r="D27" s="7"/>
      <c r="E27" s="7"/>
      <c r="F27" s="37" t="s">
        <v>225</v>
      </c>
      <c r="G27" s="38">
        <v>0.1</v>
      </c>
      <c r="H27" s="17" t="s">
        <v>243</v>
      </c>
      <c r="I27" s="7"/>
      <c r="J27" s="7"/>
      <c r="K27" s="7"/>
      <c r="L27" s="7"/>
      <c r="M27" s="7"/>
      <c r="N27" s="7"/>
      <c r="O27" s="7"/>
      <c r="P27" s="7"/>
      <c r="Q27" s="7"/>
      <c r="R27" s="7"/>
      <c r="S27" s="7"/>
      <c r="T27" s="7"/>
      <c r="U27" s="7"/>
      <c r="V27" s="7"/>
      <c r="W27" s="7"/>
      <c r="X27" s="7"/>
      <c r="Y27" s="7"/>
      <c r="Z27" s="7"/>
    </row>
    <row r="28" ht="15.75" customHeight="1">
      <c r="A28" s="7"/>
      <c r="B28" s="7"/>
      <c r="C28" s="7"/>
      <c r="D28" s="7"/>
      <c r="E28" s="7"/>
      <c r="F28" s="39" t="s">
        <v>255</v>
      </c>
      <c r="G28" s="3"/>
      <c r="H28" s="5"/>
      <c r="I28" s="7"/>
      <c r="J28" s="7"/>
      <c r="K28" s="7"/>
      <c r="L28" s="7"/>
      <c r="M28" s="7"/>
      <c r="N28" s="7"/>
      <c r="O28" s="7"/>
      <c r="P28" s="7"/>
      <c r="Q28" s="7"/>
      <c r="R28" s="7"/>
      <c r="S28" s="7"/>
      <c r="T28" s="7"/>
      <c r="U28" s="7"/>
      <c r="V28" s="7"/>
      <c r="W28" s="7"/>
      <c r="X28" s="7"/>
      <c r="Y28" s="7"/>
      <c r="Z28" s="7"/>
    </row>
    <row r="29" ht="15.75" customHeight="1">
      <c r="A29" s="11" t="s">
        <v>257</v>
      </c>
      <c r="B29" s="3"/>
      <c r="C29" s="3"/>
      <c r="D29" s="5"/>
      <c r="E29" s="7"/>
      <c r="F29" s="7"/>
      <c r="G29" s="7"/>
      <c r="H29" s="7"/>
      <c r="I29" s="7"/>
      <c r="J29" s="7"/>
      <c r="K29" s="7"/>
      <c r="L29" s="7"/>
      <c r="M29" s="7"/>
      <c r="N29" s="7"/>
      <c r="O29" s="7"/>
      <c r="P29" s="7"/>
      <c r="Q29" s="7"/>
      <c r="R29" s="7"/>
      <c r="S29" s="7"/>
      <c r="T29" s="7"/>
      <c r="U29" s="7"/>
      <c r="V29" s="7"/>
      <c r="W29" s="7"/>
      <c r="X29" s="7"/>
      <c r="Y29" s="7"/>
      <c r="Z29" s="7"/>
    </row>
    <row r="30" ht="33.75" customHeight="1">
      <c r="A30" s="8" t="s">
        <v>259</v>
      </c>
      <c r="B30" s="8" t="s">
        <v>150</v>
      </c>
      <c r="C30" s="8" t="s">
        <v>261</v>
      </c>
      <c r="D30" s="8" t="s">
        <v>264</v>
      </c>
      <c r="E30" s="7"/>
      <c r="F30" s="7"/>
      <c r="G30" s="7"/>
      <c r="H30" s="7"/>
      <c r="I30" s="7"/>
      <c r="J30" s="7"/>
      <c r="K30" s="7"/>
      <c r="L30" s="7"/>
      <c r="M30" s="7"/>
      <c r="N30" s="7"/>
      <c r="O30" s="7"/>
      <c r="P30" s="7"/>
      <c r="Q30" s="7"/>
      <c r="R30" s="7"/>
      <c r="S30" s="7"/>
      <c r="T30" s="7"/>
      <c r="U30" s="7"/>
      <c r="V30" s="7"/>
      <c r="W30" s="7"/>
      <c r="X30" s="7"/>
      <c r="Y30" s="7"/>
      <c r="Z30" s="7"/>
    </row>
    <row r="31" ht="15.75" customHeight="1">
      <c r="A31" s="17" t="s">
        <v>268</v>
      </c>
      <c r="B31" s="17" t="s">
        <v>269</v>
      </c>
      <c r="C31" s="17" t="s">
        <v>270</v>
      </c>
      <c r="D31" s="17" t="s">
        <v>271</v>
      </c>
      <c r="E31" s="7"/>
      <c r="F31" s="7"/>
      <c r="G31" s="7"/>
      <c r="H31" s="7"/>
      <c r="I31" s="7"/>
      <c r="J31" s="7"/>
      <c r="K31" s="7"/>
      <c r="L31" s="7"/>
      <c r="M31" s="7"/>
      <c r="N31" s="7"/>
      <c r="O31" s="7"/>
      <c r="P31" s="7"/>
      <c r="Q31" s="7"/>
      <c r="R31" s="7"/>
      <c r="S31" s="7"/>
      <c r="T31" s="7"/>
      <c r="U31" s="7"/>
      <c r="V31" s="7"/>
      <c r="W31" s="7"/>
      <c r="X31" s="7"/>
      <c r="Y31" s="7"/>
      <c r="Z31" s="7"/>
    </row>
    <row r="32" ht="15.75" customHeight="1">
      <c r="A32" s="17" t="s">
        <v>272</v>
      </c>
      <c r="B32" s="17" t="s">
        <v>273</v>
      </c>
      <c r="C32" s="17" t="s">
        <v>274</v>
      </c>
      <c r="D32" s="17" t="s">
        <v>275</v>
      </c>
      <c r="E32" s="7"/>
      <c r="F32" s="7"/>
      <c r="G32" s="7"/>
      <c r="H32" s="7"/>
      <c r="I32" s="7"/>
      <c r="J32" s="7"/>
      <c r="K32" s="7"/>
      <c r="L32" s="7"/>
      <c r="M32" s="7"/>
      <c r="N32" s="7"/>
      <c r="O32" s="7"/>
      <c r="P32" s="7"/>
      <c r="Q32" s="7"/>
      <c r="R32" s="7"/>
      <c r="S32" s="7"/>
      <c r="T32" s="7"/>
      <c r="U32" s="7"/>
      <c r="V32" s="7"/>
      <c r="W32" s="7"/>
      <c r="X32" s="7"/>
      <c r="Y32" s="7"/>
      <c r="Z32" s="7"/>
    </row>
    <row r="33" ht="15.75" customHeight="1">
      <c r="A33" s="17" t="s">
        <v>179</v>
      </c>
      <c r="B33" s="17" t="s">
        <v>282</v>
      </c>
      <c r="C33" s="17" t="s">
        <v>270</v>
      </c>
      <c r="D33" s="17" t="s">
        <v>284</v>
      </c>
      <c r="E33" s="7"/>
      <c r="F33" s="7"/>
      <c r="G33" s="7"/>
      <c r="H33" s="7"/>
      <c r="I33" s="7"/>
      <c r="J33" s="7"/>
      <c r="K33" s="7"/>
      <c r="L33" s="7"/>
      <c r="M33" s="7"/>
      <c r="N33" s="7"/>
      <c r="O33" s="7"/>
      <c r="P33" s="7"/>
      <c r="Q33" s="7"/>
      <c r="R33" s="7"/>
      <c r="S33" s="7"/>
      <c r="T33" s="7"/>
      <c r="U33" s="7"/>
      <c r="V33" s="7"/>
      <c r="W33" s="7"/>
      <c r="X33" s="7"/>
      <c r="Y33" s="7"/>
      <c r="Z33" s="7"/>
    </row>
    <row r="34" ht="15.75" customHeight="1">
      <c r="A34" s="17" t="s">
        <v>288</v>
      </c>
      <c r="B34" s="17" t="s">
        <v>290</v>
      </c>
      <c r="C34" s="17" t="s">
        <v>25</v>
      </c>
      <c r="D34" s="17" t="s">
        <v>293</v>
      </c>
      <c r="E34" s="7"/>
      <c r="F34" s="7"/>
      <c r="G34" s="7"/>
      <c r="H34" s="7"/>
      <c r="I34" s="7"/>
      <c r="J34" s="7"/>
      <c r="K34" s="7"/>
      <c r="L34" s="7"/>
      <c r="M34" s="7"/>
      <c r="N34" s="7"/>
      <c r="O34" s="7"/>
      <c r="P34" s="7"/>
      <c r="Q34" s="7"/>
      <c r="R34" s="7"/>
      <c r="S34" s="7"/>
      <c r="T34" s="7"/>
      <c r="U34" s="7"/>
      <c r="V34" s="7"/>
      <c r="W34" s="7"/>
      <c r="X34" s="7"/>
      <c r="Y34" s="7"/>
      <c r="Z34" s="7"/>
    </row>
    <row r="35" ht="15.75" customHeight="1">
      <c r="A35" s="14" t="s">
        <v>296</v>
      </c>
      <c r="B35" s="3"/>
      <c r="C35" s="3"/>
      <c r="D35" s="5"/>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21" t="s">
        <v>307</v>
      </c>
      <c r="B37" s="7"/>
      <c r="C37" s="7"/>
      <c r="D37" s="7"/>
      <c r="E37" s="7"/>
      <c r="F37" s="7"/>
      <c r="G37" s="7"/>
      <c r="H37" s="7"/>
      <c r="I37" s="7"/>
      <c r="J37" s="7"/>
      <c r="K37" s="7"/>
      <c r="L37" s="7"/>
      <c r="M37" s="7"/>
      <c r="N37" s="7"/>
      <c r="O37" s="7"/>
      <c r="P37" s="7"/>
      <c r="Q37" s="7"/>
      <c r="R37" s="7"/>
      <c r="S37" s="7"/>
      <c r="T37" s="7"/>
      <c r="U37" s="7"/>
      <c r="V37" s="7"/>
      <c r="W37" s="7"/>
      <c r="X37" s="7"/>
      <c r="Y37" s="7"/>
      <c r="Z37" s="7"/>
    </row>
    <row r="38" ht="33.75" customHeight="1">
      <c r="A38" s="8" t="s">
        <v>308</v>
      </c>
      <c r="B38" s="8" t="s">
        <v>309</v>
      </c>
      <c r="C38" s="8" t="s">
        <v>310</v>
      </c>
      <c r="D38" s="8" t="s">
        <v>205</v>
      </c>
      <c r="E38" s="7"/>
      <c r="F38" s="7"/>
      <c r="G38" s="7"/>
      <c r="H38" s="7"/>
      <c r="I38" s="7"/>
      <c r="J38" s="7"/>
      <c r="K38" s="7"/>
      <c r="L38" s="7"/>
      <c r="M38" s="7"/>
      <c r="N38" s="7"/>
      <c r="O38" s="7"/>
      <c r="P38" s="7"/>
      <c r="Q38" s="7"/>
      <c r="R38" s="7"/>
      <c r="S38" s="7"/>
      <c r="T38" s="7"/>
      <c r="U38" s="7"/>
      <c r="V38" s="7"/>
      <c r="W38" s="7"/>
      <c r="X38" s="7"/>
      <c r="Y38" s="7"/>
      <c r="Z38" s="7"/>
    </row>
    <row r="39" ht="15.75" customHeight="1">
      <c r="A39" s="17" t="s">
        <v>138</v>
      </c>
      <c r="B39" s="17" t="s">
        <v>311</v>
      </c>
      <c r="C39" s="17" t="s">
        <v>313</v>
      </c>
      <c r="D39" s="17" t="s">
        <v>314</v>
      </c>
      <c r="E39" s="7"/>
      <c r="F39" s="7"/>
      <c r="G39" s="7"/>
      <c r="H39" s="7"/>
      <c r="I39" s="7"/>
      <c r="J39" s="7"/>
      <c r="K39" s="7"/>
      <c r="L39" s="7"/>
      <c r="M39" s="7"/>
      <c r="N39" s="7"/>
      <c r="O39" s="7"/>
      <c r="P39" s="7"/>
      <c r="Q39" s="7"/>
      <c r="R39" s="7"/>
      <c r="S39" s="7"/>
      <c r="T39" s="7"/>
      <c r="U39" s="7"/>
      <c r="V39" s="7"/>
      <c r="W39" s="7"/>
      <c r="X39" s="7"/>
      <c r="Y39" s="7"/>
      <c r="Z39" s="7"/>
    </row>
    <row r="40" ht="15.75" customHeight="1">
      <c r="A40" s="17" t="s">
        <v>138</v>
      </c>
      <c r="B40" s="17" t="s">
        <v>315</v>
      </c>
      <c r="C40" s="17" t="s">
        <v>316</v>
      </c>
      <c r="D40" s="17" t="s">
        <v>317</v>
      </c>
      <c r="E40" s="7"/>
      <c r="F40" s="7"/>
      <c r="G40" s="7"/>
      <c r="H40" s="7"/>
      <c r="I40" s="7"/>
      <c r="J40" s="7"/>
      <c r="K40" s="7"/>
      <c r="L40" s="7"/>
      <c r="M40" s="7"/>
      <c r="N40" s="7"/>
      <c r="O40" s="7"/>
      <c r="P40" s="7"/>
      <c r="Q40" s="7"/>
      <c r="R40" s="7"/>
      <c r="S40" s="7"/>
      <c r="T40" s="7"/>
      <c r="U40" s="7"/>
      <c r="V40" s="7"/>
      <c r="W40" s="7"/>
      <c r="X40" s="7"/>
      <c r="Y40" s="7"/>
      <c r="Z40" s="7"/>
    </row>
    <row r="41" ht="15.75" customHeight="1">
      <c r="A41" s="17" t="s">
        <v>138</v>
      </c>
      <c r="B41" s="17" t="s">
        <v>319</v>
      </c>
      <c r="C41" s="17" t="s">
        <v>320</v>
      </c>
      <c r="D41" s="17" t="s">
        <v>321</v>
      </c>
      <c r="E41" s="7"/>
      <c r="F41" s="7"/>
      <c r="G41" s="7"/>
      <c r="H41" s="7"/>
      <c r="I41" s="7"/>
      <c r="J41" s="7"/>
      <c r="K41" s="7"/>
      <c r="L41" s="7"/>
      <c r="M41" s="7"/>
      <c r="N41" s="7"/>
      <c r="O41" s="7"/>
      <c r="P41" s="7"/>
      <c r="Q41" s="7"/>
      <c r="R41" s="7"/>
      <c r="S41" s="7"/>
      <c r="T41" s="7"/>
      <c r="U41" s="7"/>
      <c r="V41" s="7"/>
      <c r="W41" s="7"/>
      <c r="X41" s="7"/>
      <c r="Y41" s="7"/>
      <c r="Z41" s="7"/>
    </row>
    <row r="42" ht="15.75" customHeight="1">
      <c r="A42" s="17" t="s">
        <v>138</v>
      </c>
      <c r="B42" s="17" t="s">
        <v>323</v>
      </c>
      <c r="C42" s="17" t="s">
        <v>324</v>
      </c>
      <c r="D42" s="17" t="s">
        <v>325</v>
      </c>
      <c r="E42" s="7"/>
      <c r="F42" s="7"/>
      <c r="G42" s="7"/>
      <c r="H42" s="7"/>
      <c r="I42" s="7"/>
      <c r="J42" s="7"/>
      <c r="K42" s="7"/>
      <c r="L42" s="7"/>
      <c r="M42" s="7"/>
      <c r="N42" s="7"/>
      <c r="O42" s="7"/>
      <c r="P42" s="7"/>
      <c r="Q42" s="7"/>
      <c r="R42" s="7"/>
      <c r="S42" s="7"/>
      <c r="T42" s="7"/>
      <c r="U42" s="7"/>
      <c r="V42" s="7"/>
      <c r="W42" s="7"/>
      <c r="X42" s="7"/>
      <c r="Y42" s="7"/>
      <c r="Z42" s="7"/>
    </row>
    <row r="43" ht="15.75" customHeight="1">
      <c r="A43" s="17" t="s">
        <v>142</v>
      </c>
      <c r="B43" s="17" t="s">
        <v>326</v>
      </c>
      <c r="C43" s="17" t="s">
        <v>327</v>
      </c>
      <c r="D43" s="17" t="s">
        <v>328</v>
      </c>
      <c r="E43" s="7"/>
      <c r="F43" s="7"/>
      <c r="G43" s="7"/>
      <c r="H43" s="7"/>
      <c r="I43" s="7"/>
      <c r="J43" s="7"/>
      <c r="K43" s="7"/>
      <c r="L43" s="7"/>
      <c r="M43" s="7"/>
      <c r="N43" s="7"/>
      <c r="O43" s="7"/>
      <c r="P43" s="7"/>
      <c r="Q43" s="7"/>
      <c r="R43" s="7"/>
      <c r="S43" s="7"/>
      <c r="T43" s="7"/>
      <c r="U43" s="7"/>
      <c r="V43" s="7"/>
      <c r="W43" s="7"/>
      <c r="X43" s="7"/>
      <c r="Y43" s="7"/>
      <c r="Z43" s="7"/>
    </row>
    <row r="44" ht="15.75" customHeight="1">
      <c r="A44" s="17" t="s">
        <v>142</v>
      </c>
      <c r="B44" s="17" t="s">
        <v>330</v>
      </c>
      <c r="C44" s="17" t="s">
        <v>331</v>
      </c>
      <c r="D44" s="17" t="s">
        <v>332</v>
      </c>
      <c r="E44" s="7"/>
      <c r="F44" s="7"/>
      <c r="G44" s="7"/>
      <c r="H44" s="7"/>
      <c r="I44" s="7"/>
      <c r="J44" s="7"/>
      <c r="K44" s="7"/>
      <c r="L44" s="7"/>
      <c r="M44" s="7"/>
      <c r="N44" s="7"/>
      <c r="O44" s="7"/>
      <c r="P44" s="7"/>
      <c r="Q44" s="7"/>
      <c r="R44" s="7"/>
      <c r="S44" s="7"/>
      <c r="T44" s="7"/>
      <c r="U44" s="7"/>
      <c r="V44" s="7"/>
      <c r="W44" s="7"/>
      <c r="X44" s="7"/>
      <c r="Y44" s="7"/>
      <c r="Z44" s="7"/>
    </row>
    <row r="45" ht="15.75" customHeight="1">
      <c r="A45" s="17" t="s">
        <v>142</v>
      </c>
      <c r="B45" s="17" t="s">
        <v>323</v>
      </c>
      <c r="C45" s="17" t="s">
        <v>324</v>
      </c>
      <c r="D45" s="17" t="s">
        <v>333</v>
      </c>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2">
    <mergeCell ref="A15:D15"/>
    <mergeCell ref="A14:D14"/>
    <mergeCell ref="F28:H28"/>
    <mergeCell ref="A3:C3"/>
    <mergeCell ref="A4:D4"/>
    <mergeCell ref="A1:C1"/>
    <mergeCell ref="A2:C2"/>
    <mergeCell ref="A35:D35"/>
    <mergeCell ref="A29:D29"/>
    <mergeCell ref="A22:D22"/>
    <mergeCell ref="A21:D21"/>
    <mergeCell ref="A6:D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29"/>
    <col customWidth="1" min="2" max="2" width="20.0"/>
    <col customWidth="1" min="3" max="3" width="27.57"/>
    <col customWidth="1" min="4" max="4" width="30.0"/>
    <col customWidth="1" min="5" max="5" width="36.0"/>
    <col customWidth="1" min="6" max="6" width="33.86"/>
    <col customWidth="1" min="7" max="7" width="18.0"/>
    <col customWidth="1" min="8" max="8" width="42.0"/>
    <col customWidth="1" min="9" max="26" width="8.71"/>
  </cols>
  <sheetData>
    <row r="1">
      <c r="A1" s="2" t="s">
        <v>2</v>
      </c>
      <c r="B1" s="3"/>
      <c r="C1" s="3"/>
      <c r="D1" s="5"/>
      <c r="E1" s="7"/>
      <c r="F1" s="7"/>
      <c r="G1" s="7"/>
      <c r="H1" s="7"/>
      <c r="I1" s="7"/>
      <c r="J1" s="7"/>
      <c r="K1" s="7"/>
      <c r="L1" s="7"/>
      <c r="M1" s="7"/>
      <c r="N1" s="7"/>
      <c r="O1" s="7"/>
      <c r="P1" s="7"/>
      <c r="Q1" s="7"/>
      <c r="R1" s="7"/>
      <c r="S1" s="7"/>
      <c r="T1" s="7"/>
      <c r="U1" s="7"/>
      <c r="V1" s="7"/>
      <c r="W1" s="7"/>
      <c r="X1" s="7"/>
      <c r="Y1" s="7"/>
      <c r="Z1" s="7"/>
    </row>
    <row r="2" ht="43.5" customHeight="1">
      <c r="A2" s="14" t="s">
        <v>21</v>
      </c>
      <c r="B2" s="3"/>
      <c r="C2" s="3"/>
      <c r="D2" s="3"/>
      <c r="E2" s="3"/>
      <c r="F2" s="5"/>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ht="33.75" customHeight="1">
      <c r="A4" s="8" t="s">
        <v>48</v>
      </c>
      <c r="B4" s="8" t="s">
        <v>52</v>
      </c>
      <c r="C4" s="8" t="s">
        <v>55</v>
      </c>
      <c r="D4" s="7"/>
      <c r="E4" s="7"/>
      <c r="F4" s="7"/>
      <c r="G4" s="7"/>
      <c r="H4" s="7"/>
      <c r="I4" s="7"/>
      <c r="J4" s="7"/>
      <c r="K4" s="7"/>
      <c r="L4" s="7"/>
      <c r="M4" s="7"/>
      <c r="N4" s="7"/>
      <c r="O4" s="7"/>
      <c r="P4" s="7"/>
      <c r="Q4" s="7"/>
      <c r="R4" s="7"/>
      <c r="S4" s="7"/>
      <c r="T4" s="7"/>
      <c r="U4" s="7"/>
      <c r="V4" s="7"/>
      <c r="W4" s="7"/>
      <c r="X4" s="7"/>
      <c r="Y4" s="7"/>
      <c r="Z4" s="7"/>
    </row>
    <row r="5" ht="54.75" customHeight="1">
      <c r="A5" s="17" t="s">
        <v>64</v>
      </c>
      <c r="B5" s="18" t="s">
        <v>67</v>
      </c>
      <c r="C5" s="18" t="s">
        <v>69</v>
      </c>
      <c r="D5" s="7"/>
      <c r="E5" s="7"/>
      <c r="F5" s="7"/>
      <c r="G5" s="7"/>
      <c r="H5" s="7"/>
      <c r="I5" s="7"/>
      <c r="J5" s="7"/>
      <c r="K5" s="7"/>
      <c r="L5" s="7"/>
      <c r="M5" s="7"/>
      <c r="N5" s="7"/>
      <c r="O5" s="7"/>
      <c r="P5" s="7"/>
      <c r="Q5" s="7"/>
      <c r="R5" s="7"/>
      <c r="S5" s="7"/>
      <c r="T5" s="7"/>
      <c r="U5" s="7"/>
      <c r="V5" s="7"/>
      <c r="W5" s="7"/>
      <c r="X5" s="7"/>
      <c r="Y5" s="7"/>
      <c r="Z5" s="7"/>
    </row>
    <row r="6" ht="54.75" customHeight="1">
      <c r="A6" s="17" t="s">
        <v>78</v>
      </c>
      <c r="B6" s="18" t="s">
        <v>80</v>
      </c>
      <c r="C6" s="18" t="s">
        <v>82</v>
      </c>
      <c r="D6" s="7"/>
      <c r="E6" s="7"/>
      <c r="F6" s="7"/>
      <c r="G6" s="7"/>
      <c r="H6" s="7"/>
      <c r="I6" s="7"/>
      <c r="J6" s="7"/>
      <c r="K6" s="7"/>
      <c r="L6" s="7"/>
      <c r="M6" s="7"/>
      <c r="N6" s="7"/>
      <c r="O6" s="7"/>
      <c r="P6" s="7"/>
      <c r="Q6" s="7"/>
      <c r="R6" s="7"/>
      <c r="S6" s="7"/>
      <c r="T6" s="7"/>
      <c r="U6" s="7"/>
      <c r="V6" s="7"/>
      <c r="W6" s="7"/>
      <c r="X6" s="7"/>
      <c r="Y6" s="7"/>
      <c r="Z6" s="7"/>
    </row>
    <row r="7" ht="54.75" customHeight="1">
      <c r="A7" s="17" t="s">
        <v>87</v>
      </c>
      <c r="B7" s="18" t="s">
        <v>90</v>
      </c>
      <c r="C7" s="18" t="s">
        <v>93</v>
      </c>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2" t="s">
        <v>114</v>
      </c>
      <c r="B9" s="3"/>
      <c r="C9" s="3"/>
      <c r="D9" s="5"/>
      <c r="E9" s="7"/>
      <c r="F9" s="7"/>
      <c r="G9" s="7"/>
      <c r="H9" s="7"/>
      <c r="I9" s="7"/>
      <c r="J9" s="7"/>
      <c r="K9" s="7"/>
      <c r="L9" s="7"/>
      <c r="M9" s="7"/>
      <c r="N9" s="7"/>
      <c r="O9" s="7"/>
      <c r="P9" s="7"/>
      <c r="Q9" s="7"/>
      <c r="R9" s="7"/>
      <c r="S9" s="7"/>
      <c r="T9" s="7"/>
      <c r="U9" s="7"/>
      <c r="V9" s="7"/>
      <c r="W9" s="7"/>
      <c r="X9" s="7"/>
      <c r="Y9" s="7"/>
      <c r="Z9" s="7"/>
    </row>
    <row r="10" ht="43.5" customHeight="1">
      <c r="A10" s="8" t="s">
        <v>123</v>
      </c>
      <c r="B10" s="8" t="s">
        <v>124</v>
      </c>
      <c r="C10" s="8" t="s">
        <v>52</v>
      </c>
      <c r="D10" s="8" t="s">
        <v>55</v>
      </c>
      <c r="E10" s="7"/>
      <c r="F10" s="7"/>
      <c r="G10" s="7"/>
      <c r="H10" s="7"/>
      <c r="I10" s="7"/>
      <c r="J10" s="7"/>
      <c r="K10" s="7"/>
      <c r="L10" s="7"/>
      <c r="M10" s="7"/>
      <c r="N10" s="7"/>
      <c r="O10" s="7"/>
      <c r="P10" s="7"/>
      <c r="Q10" s="7"/>
      <c r="R10" s="7"/>
      <c r="S10" s="7"/>
      <c r="T10" s="7"/>
      <c r="U10" s="7"/>
      <c r="V10" s="7"/>
      <c r="W10" s="7"/>
      <c r="X10" s="7"/>
      <c r="Y10" s="7"/>
      <c r="Z10" s="7"/>
    </row>
    <row r="11" ht="34.5" customHeight="1">
      <c r="A11" s="18" t="s">
        <v>129</v>
      </c>
      <c r="B11" s="17" t="s">
        <v>130</v>
      </c>
      <c r="C11" s="17" t="s">
        <v>131</v>
      </c>
      <c r="D11" s="17" t="s">
        <v>133</v>
      </c>
      <c r="E11" s="7"/>
      <c r="F11" s="7"/>
      <c r="G11" s="7"/>
      <c r="H11" s="7"/>
      <c r="I11" s="7"/>
      <c r="J11" s="7"/>
      <c r="K11" s="7"/>
      <c r="L11" s="7"/>
      <c r="M11" s="7"/>
      <c r="N11" s="7"/>
      <c r="O11" s="7"/>
      <c r="P11" s="7"/>
      <c r="Q11" s="7"/>
      <c r="R11" s="7"/>
      <c r="S11" s="7"/>
      <c r="T11" s="7"/>
      <c r="U11" s="7"/>
      <c r="V11" s="7"/>
      <c r="W11" s="7"/>
      <c r="X11" s="7"/>
      <c r="Y11" s="7"/>
      <c r="Z11" s="7"/>
    </row>
    <row r="12" ht="34.5" customHeight="1">
      <c r="A12" s="18" t="s">
        <v>135</v>
      </c>
      <c r="B12" s="17" t="s">
        <v>137</v>
      </c>
      <c r="C12" s="17" t="s">
        <v>140</v>
      </c>
      <c r="D12" s="17" t="s">
        <v>140</v>
      </c>
      <c r="E12" s="7"/>
      <c r="F12" s="7"/>
      <c r="G12" s="7"/>
      <c r="H12" s="7"/>
      <c r="I12" s="7"/>
      <c r="J12" s="7"/>
      <c r="K12" s="7"/>
      <c r="L12" s="7"/>
      <c r="M12" s="7"/>
      <c r="N12" s="7"/>
      <c r="O12" s="7"/>
      <c r="P12" s="7"/>
      <c r="Q12" s="7"/>
      <c r="R12" s="7"/>
      <c r="S12" s="7"/>
      <c r="T12" s="7"/>
      <c r="U12" s="7"/>
      <c r="V12" s="7"/>
      <c r="W12" s="7"/>
      <c r="X12" s="7"/>
      <c r="Y12" s="7"/>
      <c r="Z12" s="7"/>
    </row>
    <row r="13" ht="34.5" customHeight="1">
      <c r="A13" s="18" t="s">
        <v>144</v>
      </c>
      <c r="B13" s="17" t="s">
        <v>145</v>
      </c>
      <c r="C13" s="18" t="s">
        <v>67</v>
      </c>
      <c r="D13" s="18" t="s">
        <v>69</v>
      </c>
      <c r="E13" s="7"/>
      <c r="F13" s="7"/>
      <c r="G13" s="7"/>
      <c r="H13" s="7"/>
      <c r="I13" s="7"/>
      <c r="J13" s="7"/>
      <c r="K13" s="7"/>
      <c r="L13" s="7"/>
      <c r="M13" s="7"/>
      <c r="N13" s="7"/>
      <c r="O13" s="7"/>
      <c r="P13" s="7"/>
      <c r="Q13" s="7"/>
      <c r="R13" s="7"/>
      <c r="S13" s="7"/>
      <c r="T13" s="7"/>
      <c r="U13" s="7"/>
      <c r="V13" s="7"/>
      <c r="W13" s="7"/>
      <c r="X13" s="7"/>
      <c r="Y13" s="7"/>
      <c r="Z13" s="7"/>
    </row>
    <row r="14" ht="34.5" customHeight="1">
      <c r="A14" s="18" t="s">
        <v>152</v>
      </c>
      <c r="B14" s="17" t="s">
        <v>153</v>
      </c>
      <c r="C14" s="18" t="s">
        <v>80</v>
      </c>
      <c r="D14" s="18" t="s">
        <v>82</v>
      </c>
      <c r="E14" s="7"/>
      <c r="F14" s="7"/>
      <c r="G14" s="7"/>
      <c r="H14" s="7"/>
      <c r="I14" s="7"/>
      <c r="J14" s="7"/>
      <c r="K14" s="7"/>
      <c r="L14" s="7"/>
      <c r="M14" s="7"/>
      <c r="N14" s="7"/>
      <c r="O14" s="7"/>
      <c r="P14" s="7"/>
      <c r="Q14" s="7"/>
      <c r="R14" s="7"/>
      <c r="S14" s="7"/>
      <c r="T14" s="7"/>
      <c r="U14" s="7"/>
      <c r="V14" s="7"/>
      <c r="W14" s="7"/>
      <c r="X14" s="7"/>
      <c r="Y14" s="7"/>
      <c r="Z14" s="7"/>
    </row>
    <row r="15" ht="34.5" customHeight="1">
      <c r="A15" s="18" t="s">
        <v>156</v>
      </c>
      <c r="B15" s="17" t="s">
        <v>158</v>
      </c>
      <c r="C15" s="18" t="s">
        <v>90</v>
      </c>
      <c r="D15" s="18" t="s">
        <v>93</v>
      </c>
      <c r="E15" s="7"/>
      <c r="F15" s="7"/>
      <c r="G15" s="7"/>
      <c r="H15" s="7"/>
      <c r="I15" s="7"/>
      <c r="J15" s="7"/>
      <c r="K15" s="7"/>
      <c r="L15" s="7"/>
      <c r="M15" s="7"/>
      <c r="N15" s="7"/>
      <c r="O15" s="7"/>
      <c r="P15" s="7"/>
      <c r="Q15" s="7"/>
      <c r="R15" s="7"/>
      <c r="S15" s="7"/>
      <c r="T15" s="7"/>
      <c r="U15" s="7"/>
      <c r="V15" s="7"/>
      <c r="W15" s="7"/>
      <c r="X15" s="7"/>
      <c r="Y15" s="7"/>
      <c r="Z15" s="7"/>
    </row>
    <row r="16" ht="34.5" customHeight="1">
      <c r="A16" s="18" t="s">
        <v>166</v>
      </c>
      <c r="B16" s="17" t="s">
        <v>169</v>
      </c>
      <c r="C16" s="17" t="s">
        <v>172</v>
      </c>
      <c r="D16" s="17" t="s">
        <v>173</v>
      </c>
      <c r="E16" s="7"/>
      <c r="F16" s="7"/>
      <c r="G16" s="7"/>
      <c r="H16" s="7"/>
      <c r="I16" s="7"/>
      <c r="J16" s="7"/>
      <c r="K16" s="7"/>
      <c r="L16" s="7"/>
      <c r="M16" s="7"/>
      <c r="N16" s="7"/>
      <c r="O16" s="7"/>
      <c r="P16" s="7"/>
      <c r="Q16" s="7"/>
      <c r="R16" s="7"/>
      <c r="S16" s="7"/>
      <c r="T16" s="7"/>
      <c r="U16" s="7"/>
      <c r="V16" s="7"/>
      <c r="W16" s="7"/>
      <c r="X16" s="7"/>
      <c r="Y16" s="7"/>
      <c r="Z16" s="7"/>
    </row>
    <row r="17" ht="34.5" customHeight="1">
      <c r="A17" s="18" t="s">
        <v>178</v>
      </c>
      <c r="B17" s="17" t="s">
        <v>181</v>
      </c>
      <c r="C17" s="18" t="s">
        <v>183</v>
      </c>
      <c r="D17" s="18" t="s">
        <v>185</v>
      </c>
      <c r="E17" s="7"/>
      <c r="F17" s="7"/>
      <c r="G17" s="7"/>
      <c r="H17" s="7"/>
      <c r="I17" s="7"/>
      <c r="J17" s="7"/>
      <c r="K17" s="7"/>
      <c r="L17" s="7"/>
      <c r="M17" s="7"/>
      <c r="N17" s="7"/>
      <c r="O17" s="7"/>
      <c r="P17" s="7"/>
      <c r="Q17" s="7"/>
      <c r="R17" s="7"/>
      <c r="S17" s="7"/>
      <c r="T17" s="7"/>
      <c r="U17" s="7"/>
      <c r="V17" s="7"/>
      <c r="W17" s="7"/>
      <c r="X17" s="7"/>
      <c r="Y17" s="7"/>
      <c r="Z17" s="7"/>
    </row>
    <row r="18" ht="31.5" customHeight="1">
      <c r="A18" s="14" t="s">
        <v>188</v>
      </c>
      <c r="B18" s="3"/>
      <c r="C18" s="3"/>
      <c r="D18" s="3"/>
      <c r="E18" s="5"/>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2" t="s">
        <v>193</v>
      </c>
      <c r="B20" s="3"/>
      <c r="C20" s="3"/>
      <c r="D20" s="5"/>
      <c r="E20" s="7"/>
      <c r="F20" s="7"/>
      <c r="G20" s="7"/>
      <c r="H20" s="7"/>
      <c r="I20" s="7"/>
      <c r="J20" s="7"/>
      <c r="K20" s="7"/>
      <c r="L20" s="7"/>
      <c r="M20" s="7"/>
      <c r="N20" s="7"/>
      <c r="O20" s="7"/>
      <c r="P20" s="7"/>
      <c r="Q20" s="7"/>
      <c r="R20" s="7"/>
      <c r="S20" s="7"/>
      <c r="T20" s="7"/>
      <c r="U20" s="7"/>
      <c r="V20" s="7"/>
      <c r="W20" s="7"/>
      <c r="X20" s="7"/>
      <c r="Y20" s="7"/>
      <c r="Z20" s="7"/>
    </row>
    <row r="21" ht="33.75" customHeight="1">
      <c r="A21" s="8" t="s">
        <v>123</v>
      </c>
      <c r="B21" s="8" t="s">
        <v>197</v>
      </c>
      <c r="C21" s="8" t="s">
        <v>198</v>
      </c>
      <c r="D21" s="8" t="s">
        <v>199</v>
      </c>
      <c r="E21" s="8" t="s">
        <v>200</v>
      </c>
      <c r="F21" s="8" t="s">
        <v>201</v>
      </c>
      <c r="G21" s="8" t="s">
        <v>203</v>
      </c>
      <c r="H21" s="7"/>
      <c r="I21" s="7"/>
      <c r="J21" s="7"/>
      <c r="K21" s="7"/>
      <c r="L21" s="7"/>
      <c r="M21" s="7"/>
      <c r="N21" s="7"/>
      <c r="O21" s="7"/>
      <c r="P21" s="7"/>
      <c r="Q21" s="7"/>
      <c r="R21" s="7"/>
      <c r="S21" s="7"/>
      <c r="T21" s="7"/>
      <c r="U21" s="7"/>
      <c r="V21" s="7"/>
      <c r="W21" s="7"/>
      <c r="X21" s="7"/>
      <c r="Y21" s="7"/>
      <c r="Z21" s="7"/>
    </row>
    <row r="22" ht="15.75" customHeight="1">
      <c r="A22" s="18" t="s">
        <v>144</v>
      </c>
      <c r="B22" s="17" t="s">
        <v>208</v>
      </c>
      <c r="C22" s="17" t="s">
        <v>209</v>
      </c>
      <c r="D22" s="17" t="s">
        <v>210</v>
      </c>
      <c r="E22" s="17" t="s">
        <v>211</v>
      </c>
      <c r="F22" s="17"/>
      <c r="G22" s="17"/>
      <c r="H22" s="7"/>
      <c r="I22" s="7"/>
      <c r="J22" s="7"/>
      <c r="K22" s="7"/>
      <c r="L22" s="7"/>
      <c r="M22" s="7"/>
      <c r="N22" s="7"/>
      <c r="O22" s="7"/>
      <c r="P22" s="7"/>
      <c r="Q22" s="7"/>
      <c r="R22" s="7"/>
      <c r="S22" s="7"/>
      <c r="T22" s="7"/>
      <c r="U22" s="7"/>
      <c r="V22" s="7"/>
      <c r="W22" s="7"/>
      <c r="X22" s="7"/>
      <c r="Y22" s="7"/>
      <c r="Z22" s="7"/>
    </row>
    <row r="23" ht="15.75" customHeight="1">
      <c r="A23" s="18" t="s">
        <v>152</v>
      </c>
      <c r="B23" s="17" t="s">
        <v>219</v>
      </c>
      <c r="C23" s="17" t="s">
        <v>220</v>
      </c>
      <c r="D23" s="17" t="s">
        <v>221</v>
      </c>
      <c r="E23" s="17"/>
      <c r="F23" s="17"/>
      <c r="G23" s="17"/>
      <c r="H23" s="7"/>
      <c r="I23" s="7"/>
      <c r="J23" s="7"/>
      <c r="K23" s="7"/>
      <c r="L23" s="7"/>
      <c r="M23" s="7"/>
      <c r="N23" s="7"/>
      <c r="O23" s="7"/>
      <c r="P23" s="7"/>
      <c r="Q23" s="7"/>
      <c r="R23" s="7"/>
      <c r="S23" s="7"/>
      <c r="T23" s="7"/>
      <c r="U23" s="7"/>
      <c r="V23" s="7"/>
      <c r="W23" s="7"/>
      <c r="X23" s="7"/>
      <c r="Y23" s="7"/>
      <c r="Z23" s="7"/>
    </row>
    <row r="24" ht="15.75" customHeight="1">
      <c r="A24" s="18" t="s">
        <v>156</v>
      </c>
      <c r="B24" s="17" t="s">
        <v>219</v>
      </c>
      <c r="C24" s="17" t="s">
        <v>211</v>
      </c>
      <c r="D24" s="17" t="s">
        <v>224</v>
      </c>
      <c r="E24" s="17" t="s">
        <v>220</v>
      </c>
      <c r="F24" s="17" t="s">
        <v>226</v>
      </c>
      <c r="G24" s="17" t="s">
        <v>227</v>
      </c>
      <c r="H24" s="7"/>
      <c r="I24" s="7"/>
      <c r="J24" s="7"/>
      <c r="K24" s="7"/>
      <c r="L24" s="7"/>
      <c r="M24" s="7"/>
      <c r="N24" s="7"/>
      <c r="O24" s="7"/>
      <c r="P24" s="7"/>
      <c r="Q24" s="7"/>
      <c r="R24" s="7"/>
      <c r="S24" s="7"/>
      <c r="T24" s="7"/>
      <c r="U24" s="7"/>
      <c r="V24" s="7"/>
      <c r="W24" s="7"/>
      <c r="X24" s="7"/>
      <c r="Y24" s="7"/>
      <c r="Z24" s="7"/>
    </row>
    <row r="25" ht="15.75" customHeight="1">
      <c r="A25" s="18" t="s">
        <v>166</v>
      </c>
      <c r="B25" s="17" t="s">
        <v>211</v>
      </c>
      <c r="C25" s="17" t="s">
        <v>209</v>
      </c>
      <c r="D25" s="17"/>
      <c r="E25" s="17"/>
      <c r="F25" s="17"/>
      <c r="G25" s="17"/>
      <c r="H25" s="7"/>
      <c r="I25" s="7"/>
      <c r="J25" s="7"/>
      <c r="K25" s="7"/>
      <c r="L25" s="7"/>
      <c r="M25" s="7"/>
      <c r="N25" s="7"/>
      <c r="O25" s="7"/>
      <c r="P25" s="7"/>
      <c r="Q25" s="7"/>
      <c r="R25" s="7"/>
      <c r="S25" s="7"/>
      <c r="T25" s="7"/>
      <c r="U25" s="7"/>
      <c r="V25" s="7"/>
      <c r="W25" s="7"/>
      <c r="X25" s="7"/>
      <c r="Y25" s="7"/>
      <c r="Z25" s="7"/>
    </row>
    <row r="26" ht="15.75" customHeight="1">
      <c r="A26" s="18" t="s">
        <v>178</v>
      </c>
      <c r="B26" s="17" t="s">
        <v>240</v>
      </c>
      <c r="C26" s="17" t="s">
        <v>242</v>
      </c>
      <c r="D26" s="17" t="s">
        <v>244</v>
      </c>
      <c r="E26" s="17"/>
      <c r="F26" s="17"/>
      <c r="G26" s="17"/>
      <c r="H26" s="7"/>
      <c r="I26" s="7"/>
      <c r="J26" s="7"/>
      <c r="K26" s="7"/>
      <c r="L26" s="7"/>
      <c r="M26" s="7"/>
      <c r="N26" s="7"/>
      <c r="O26" s="7"/>
      <c r="P26" s="7"/>
      <c r="Q26" s="7"/>
      <c r="R26" s="7"/>
      <c r="S26" s="7"/>
      <c r="T26" s="7"/>
      <c r="U26" s="7"/>
      <c r="V26" s="7"/>
      <c r="W26" s="7"/>
      <c r="X26" s="7"/>
      <c r="Y26" s="7"/>
      <c r="Z26" s="7"/>
    </row>
    <row r="27" ht="15.75" customHeight="1">
      <c r="A27" s="14" t="s">
        <v>249</v>
      </c>
      <c r="B27" s="3"/>
      <c r="C27" s="3"/>
      <c r="D27" s="3"/>
      <c r="E27" s="3"/>
      <c r="F27" s="3"/>
      <c r="G27" s="5"/>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2" t="s">
        <v>256</v>
      </c>
      <c r="B29" s="3"/>
      <c r="C29" s="3"/>
      <c r="D29" s="5"/>
      <c r="E29" s="7"/>
      <c r="F29" s="7"/>
      <c r="G29" s="7"/>
      <c r="H29" s="7"/>
      <c r="I29" s="7"/>
      <c r="J29" s="7"/>
      <c r="K29" s="7"/>
      <c r="L29" s="7"/>
      <c r="M29" s="7"/>
      <c r="N29" s="7"/>
      <c r="O29" s="7"/>
      <c r="P29" s="7"/>
      <c r="Q29" s="7"/>
      <c r="R29" s="7"/>
      <c r="S29" s="7"/>
      <c r="T29" s="7"/>
      <c r="U29" s="7"/>
      <c r="V29" s="7"/>
      <c r="W29" s="7"/>
      <c r="X29" s="7"/>
      <c r="Y29" s="7"/>
      <c r="Z29" s="7"/>
    </row>
    <row r="30" ht="33.75" customHeight="1">
      <c r="A30" s="23" t="s">
        <v>258</v>
      </c>
      <c r="B30" s="23" t="s">
        <v>129</v>
      </c>
      <c r="C30" s="23" t="s">
        <v>135</v>
      </c>
      <c r="D30" s="23" t="s">
        <v>144</v>
      </c>
      <c r="E30" s="23" t="s">
        <v>152</v>
      </c>
      <c r="F30" s="23" t="s">
        <v>156</v>
      </c>
      <c r="G30" s="23" t="s">
        <v>166</v>
      </c>
      <c r="H30" s="23" t="s">
        <v>178</v>
      </c>
      <c r="I30" s="7"/>
      <c r="J30" s="7"/>
      <c r="K30" s="7"/>
      <c r="L30" s="7"/>
      <c r="M30" s="7"/>
      <c r="N30" s="7"/>
      <c r="O30" s="7"/>
      <c r="P30" s="7"/>
      <c r="Q30" s="7"/>
      <c r="R30" s="7"/>
      <c r="S30" s="7"/>
      <c r="T30" s="7"/>
      <c r="U30" s="7"/>
      <c r="V30" s="7"/>
      <c r="W30" s="7"/>
      <c r="X30" s="7"/>
      <c r="Y30" s="7"/>
      <c r="Z30" s="7"/>
    </row>
    <row r="31" ht="15.75" customHeight="1">
      <c r="A31" s="23" t="s">
        <v>267</v>
      </c>
      <c r="B31" s="17" t="s">
        <v>133</v>
      </c>
      <c r="C31" s="17" t="s">
        <v>140</v>
      </c>
      <c r="D31" s="17" t="s">
        <v>69</v>
      </c>
      <c r="E31" s="17" t="s">
        <v>82</v>
      </c>
      <c r="F31" s="17" t="s">
        <v>93</v>
      </c>
      <c r="G31" s="17" t="s">
        <v>173</v>
      </c>
      <c r="H31" s="17" t="s">
        <v>185</v>
      </c>
      <c r="I31" s="7"/>
      <c r="J31" s="7"/>
      <c r="K31" s="7"/>
      <c r="L31" s="7"/>
      <c r="M31" s="7"/>
      <c r="N31" s="7"/>
      <c r="O31" s="7"/>
      <c r="P31" s="7"/>
      <c r="Q31" s="7"/>
      <c r="R31" s="7"/>
      <c r="S31" s="7"/>
      <c r="T31" s="7"/>
      <c r="U31" s="7"/>
      <c r="V31" s="7"/>
      <c r="W31" s="7"/>
      <c r="X31" s="7"/>
      <c r="Y31" s="7"/>
      <c r="Z31" s="7"/>
    </row>
    <row r="32" ht="15.75" customHeight="1">
      <c r="A32" s="23" t="s">
        <v>276</v>
      </c>
      <c r="B32" s="17" t="s">
        <v>277</v>
      </c>
      <c r="C32" s="17" t="s">
        <v>140</v>
      </c>
      <c r="D32" s="17" t="s">
        <v>278</v>
      </c>
      <c r="E32" s="17" t="s">
        <v>279</v>
      </c>
      <c r="F32" s="17" t="s">
        <v>280</v>
      </c>
      <c r="G32" s="17" t="s">
        <v>281</v>
      </c>
      <c r="H32" s="17" t="s">
        <v>283</v>
      </c>
      <c r="I32" s="7"/>
      <c r="J32" s="7"/>
      <c r="K32" s="7"/>
      <c r="L32" s="7"/>
      <c r="M32" s="7"/>
      <c r="N32" s="7"/>
      <c r="O32" s="7"/>
      <c r="P32" s="7"/>
      <c r="Q32" s="7"/>
      <c r="R32" s="7"/>
      <c r="S32" s="7"/>
      <c r="T32" s="7"/>
      <c r="U32" s="7"/>
      <c r="V32" s="7"/>
      <c r="W32" s="7"/>
      <c r="X32" s="7"/>
      <c r="Y32" s="7"/>
      <c r="Z32" s="7"/>
    </row>
    <row r="33" ht="15.75" customHeight="1">
      <c r="A33" s="23" t="s">
        <v>285</v>
      </c>
      <c r="B33" s="17" t="s">
        <v>286</v>
      </c>
      <c r="C33" s="17" t="s">
        <v>140</v>
      </c>
      <c r="D33" s="17" t="s">
        <v>287</v>
      </c>
      <c r="E33" s="17" t="s">
        <v>289</v>
      </c>
      <c r="F33" s="17" t="s">
        <v>291</v>
      </c>
      <c r="G33" s="17" t="s">
        <v>292</v>
      </c>
      <c r="H33" s="17" t="s">
        <v>294</v>
      </c>
      <c r="I33" s="7"/>
      <c r="J33" s="7"/>
      <c r="K33" s="7"/>
      <c r="L33" s="7"/>
      <c r="M33" s="7"/>
      <c r="N33" s="7"/>
      <c r="O33" s="7"/>
      <c r="P33" s="7"/>
      <c r="Q33" s="7"/>
      <c r="R33" s="7"/>
      <c r="S33" s="7"/>
      <c r="T33" s="7"/>
      <c r="U33" s="7"/>
      <c r="V33" s="7"/>
      <c r="W33" s="7"/>
      <c r="X33" s="7"/>
      <c r="Y33" s="7"/>
      <c r="Z33" s="7"/>
    </row>
    <row r="34" ht="15.75" customHeight="1">
      <c r="A34" s="23" t="s">
        <v>295</v>
      </c>
      <c r="B34" s="17" t="s">
        <v>133</v>
      </c>
      <c r="C34" s="17" t="s">
        <v>140</v>
      </c>
      <c r="D34" s="17" t="s">
        <v>297</v>
      </c>
      <c r="E34" s="17" t="s">
        <v>298</v>
      </c>
      <c r="F34" s="17" t="s">
        <v>299</v>
      </c>
      <c r="G34" s="17" t="s">
        <v>300</v>
      </c>
      <c r="H34" s="17" t="s">
        <v>301</v>
      </c>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31.5" customHeight="1">
      <c r="A36" s="14" t="s">
        <v>306</v>
      </c>
      <c r="B36" s="3"/>
      <c r="C36" s="3"/>
      <c r="D36" s="3"/>
      <c r="E36" s="3"/>
      <c r="F36" s="3"/>
      <c r="G36" s="3"/>
      <c r="H36" s="5"/>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2" t="s">
        <v>312</v>
      </c>
      <c r="B39" s="3"/>
      <c r="C39" s="48"/>
      <c r="D39" s="7"/>
      <c r="E39" s="7"/>
      <c r="F39" s="7"/>
      <c r="G39" s="7"/>
      <c r="H39" s="7"/>
      <c r="I39" s="7"/>
      <c r="J39" s="7"/>
      <c r="K39" s="7"/>
      <c r="L39" s="7"/>
      <c r="M39" s="7"/>
      <c r="N39" s="7"/>
      <c r="O39" s="7"/>
      <c r="P39" s="7"/>
      <c r="Q39" s="7"/>
      <c r="R39" s="7"/>
      <c r="S39" s="7"/>
      <c r="T39" s="7"/>
      <c r="U39" s="7"/>
      <c r="V39" s="7"/>
      <c r="W39" s="7"/>
      <c r="X39" s="7"/>
      <c r="Y39" s="7"/>
      <c r="Z39" s="7"/>
    </row>
    <row r="40" ht="31.5" customHeight="1">
      <c r="A40" s="23" t="s">
        <v>267</v>
      </c>
      <c r="B40" s="50" t="s">
        <v>318</v>
      </c>
      <c r="C40" s="3"/>
      <c r="D40" s="3"/>
      <c r="E40" s="3"/>
      <c r="F40" s="3"/>
      <c r="G40" s="3"/>
      <c r="H40" s="5"/>
      <c r="I40" s="7"/>
      <c r="J40" s="7"/>
      <c r="K40" s="7"/>
      <c r="L40" s="7"/>
      <c r="M40" s="7"/>
      <c r="N40" s="7"/>
      <c r="O40" s="7"/>
      <c r="P40" s="7"/>
      <c r="Q40" s="7"/>
      <c r="R40" s="7"/>
      <c r="S40" s="7"/>
      <c r="T40" s="7"/>
      <c r="U40" s="7"/>
      <c r="V40" s="7"/>
      <c r="W40" s="7"/>
      <c r="X40" s="7"/>
      <c r="Y40" s="7"/>
      <c r="Z40" s="7"/>
    </row>
    <row r="41" ht="31.5" customHeight="1">
      <c r="A41" s="23" t="s">
        <v>276</v>
      </c>
      <c r="B41" s="50" t="s">
        <v>322</v>
      </c>
      <c r="C41" s="3"/>
      <c r="D41" s="3"/>
      <c r="E41" s="3"/>
      <c r="F41" s="3"/>
      <c r="G41" s="3"/>
      <c r="H41" s="5"/>
      <c r="I41" s="7"/>
      <c r="J41" s="7"/>
      <c r="K41" s="7"/>
      <c r="L41" s="7"/>
      <c r="M41" s="7"/>
      <c r="N41" s="7"/>
      <c r="O41" s="7"/>
      <c r="P41" s="7"/>
      <c r="Q41" s="7"/>
      <c r="R41" s="7"/>
      <c r="S41" s="7"/>
      <c r="T41" s="7"/>
      <c r="U41" s="7"/>
      <c r="V41" s="7"/>
      <c r="W41" s="7"/>
      <c r="X41" s="7"/>
      <c r="Y41" s="7"/>
      <c r="Z41" s="7"/>
    </row>
    <row r="42" ht="31.5" customHeight="1">
      <c r="A42" s="23" t="s">
        <v>285</v>
      </c>
      <c r="B42" s="50" t="s">
        <v>329</v>
      </c>
      <c r="C42" s="3"/>
      <c r="D42" s="3"/>
      <c r="E42" s="3"/>
      <c r="F42" s="3"/>
      <c r="G42" s="3"/>
      <c r="H42" s="5"/>
      <c r="I42" s="7"/>
      <c r="J42" s="7"/>
      <c r="K42" s="7"/>
      <c r="L42" s="7"/>
      <c r="M42" s="7"/>
      <c r="N42" s="7"/>
      <c r="O42" s="7"/>
      <c r="P42" s="7"/>
      <c r="Q42" s="7"/>
      <c r="R42" s="7"/>
      <c r="S42" s="7"/>
      <c r="T42" s="7"/>
      <c r="U42" s="7"/>
      <c r="V42" s="7"/>
      <c r="W42" s="7"/>
      <c r="X42" s="7"/>
      <c r="Y42" s="7"/>
      <c r="Z42" s="7"/>
    </row>
    <row r="43" ht="31.5" customHeight="1">
      <c r="A43" s="23" t="s">
        <v>295</v>
      </c>
      <c r="B43" s="50" t="s">
        <v>334</v>
      </c>
      <c r="C43" s="3"/>
      <c r="D43" s="3"/>
      <c r="E43" s="3"/>
      <c r="F43" s="3"/>
      <c r="G43" s="3"/>
      <c r="H43" s="5"/>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57" t="s">
        <v>351</v>
      </c>
      <c r="B45" s="3"/>
      <c r="C45" s="5"/>
      <c r="D45" s="7"/>
      <c r="E45" s="7"/>
      <c r="F45" s="7"/>
      <c r="G45" s="7"/>
      <c r="H45" s="7"/>
      <c r="I45" s="7"/>
      <c r="J45" s="7"/>
      <c r="K45" s="7"/>
      <c r="L45" s="7"/>
      <c r="M45" s="7"/>
      <c r="N45" s="7"/>
      <c r="O45" s="7"/>
      <c r="P45" s="7"/>
      <c r="Q45" s="7"/>
      <c r="R45" s="7"/>
      <c r="S45" s="7"/>
      <c r="T45" s="7"/>
      <c r="U45" s="7"/>
      <c r="V45" s="7"/>
      <c r="W45" s="7"/>
      <c r="X45" s="7"/>
      <c r="Y45" s="7"/>
      <c r="Z45" s="7"/>
    </row>
    <row r="46" ht="33.75" customHeight="1">
      <c r="A46" s="8" t="s">
        <v>361</v>
      </c>
      <c r="B46" s="8" t="s">
        <v>362</v>
      </c>
      <c r="C46" s="8" t="s">
        <v>364</v>
      </c>
      <c r="D46" s="7"/>
      <c r="E46" s="7"/>
      <c r="F46" s="7"/>
      <c r="G46" s="7"/>
      <c r="H46" s="7"/>
      <c r="I46" s="7"/>
      <c r="J46" s="7"/>
      <c r="K46" s="7"/>
      <c r="L46" s="7"/>
      <c r="M46" s="7"/>
      <c r="N46" s="7"/>
      <c r="O46" s="7"/>
      <c r="P46" s="7"/>
      <c r="Q46" s="7"/>
      <c r="R46" s="7"/>
      <c r="S46" s="7"/>
      <c r="T46" s="7"/>
      <c r="U46" s="7"/>
      <c r="V46" s="7"/>
      <c r="W46" s="7"/>
      <c r="X46" s="7"/>
      <c r="Y46" s="7"/>
      <c r="Z46" s="7"/>
    </row>
    <row r="47" ht="15.75" customHeight="1">
      <c r="A47" s="17" t="s">
        <v>366</v>
      </c>
      <c r="B47" s="18" t="s">
        <v>367</v>
      </c>
      <c r="C47" s="17" t="s">
        <v>368</v>
      </c>
      <c r="D47" s="7"/>
      <c r="E47" s="7"/>
      <c r="F47" s="7"/>
      <c r="G47" s="7"/>
      <c r="H47" s="7"/>
      <c r="I47" s="7"/>
      <c r="J47" s="7"/>
      <c r="K47" s="7"/>
      <c r="L47" s="7"/>
      <c r="M47" s="7"/>
      <c r="N47" s="7"/>
      <c r="O47" s="7"/>
      <c r="P47" s="7"/>
      <c r="Q47" s="7"/>
      <c r="R47" s="7"/>
      <c r="S47" s="7"/>
      <c r="T47" s="7"/>
      <c r="U47" s="7"/>
      <c r="V47" s="7"/>
      <c r="W47" s="7"/>
      <c r="X47" s="7"/>
      <c r="Y47" s="7"/>
      <c r="Z47" s="7"/>
    </row>
    <row r="48" ht="15.75" customHeight="1">
      <c r="A48" s="17" t="s">
        <v>372</v>
      </c>
      <c r="B48" s="17" t="s">
        <v>373</v>
      </c>
      <c r="C48" s="17" t="s">
        <v>374</v>
      </c>
      <c r="D48" s="7"/>
      <c r="E48" s="7"/>
      <c r="F48" s="7"/>
      <c r="G48" s="7"/>
      <c r="H48" s="7"/>
      <c r="I48" s="7"/>
      <c r="J48" s="7"/>
      <c r="K48" s="7"/>
      <c r="L48" s="7"/>
      <c r="M48" s="7"/>
      <c r="N48" s="7"/>
      <c r="O48" s="7"/>
      <c r="P48" s="7"/>
      <c r="Q48" s="7"/>
      <c r="R48" s="7"/>
      <c r="S48" s="7"/>
      <c r="T48" s="7"/>
      <c r="U48" s="7"/>
      <c r="V48" s="7"/>
      <c r="W48" s="7"/>
      <c r="X48" s="7"/>
      <c r="Y48" s="7"/>
      <c r="Z48" s="7"/>
    </row>
    <row r="49" ht="15.75" customHeight="1">
      <c r="A49" s="17" t="s">
        <v>377</v>
      </c>
      <c r="B49" s="17" t="s">
        <v>378</v>
      </c>
      <c r="C49" s="17" t="s">
        <v>379</v>
      </c>
      <c r="D49" s="7"/>
      <c r="E49" s="7"/>
      <c r="F49" s="7"/>
      <c r="G49" s="7"/>
      <c r="H49" s="7"/>
      <c r="I49" s="7"/>
      <c r="J49" s="7"/>
      <c r="K49" s="7"/>
      <c r="L49" s="7"/>
      <c r="M49" s="7"/>
      <c r="N49" s="7"/>
      <c r="O49" s="7"/>
      <c r="P49" s="7"/>
      <c r="Q49" s="7"/>
      <c r="R49" s="7"/>
      <c r="S49" s="7"/>
      <c r="T49" s="7"/>
      <c r="U49" s="7"/>
      <c r="V49" s="7"/>
      <c r="W49" s="7"/>
      <c r="X49" s="7"/>
      <c r="Y49" s="7"/>
      <c r="Z49" s="7"/>
    </row>
    <row r="50" ht="15.75" customHeight="1">
      <c r="A50" s="17" t="s">
        <v>381</v>
      </c>
      <c r="B50" s="17" t="s">
        <v>383</v>
      </c>
      <c r="C50" s="17" t="s">
        <v>386</v>
      </c>
      <c r="D50" s="7"/>
      <c r="E50" s="7"/>
      <c r="F50" s="7"/>
      <c r="G50" s="7"/>
      <c r="H50" s="7"/>
      <c r="I50" s="7"/>
      <c r="J50" s="7"/>
      <c r="K50" s="7"/>
      <c r="L50" s="7"/>
      <c r="M50" s="7"/>
      <c r="N50" s="7"/>
      <c r="O50" s="7"/>
      <c r="P50" s="7"/>
      <c r="Q50" s="7"/>
      <c r="R50" s="7"/>
      <c r="S50" s="7"/>
      <c r="T50" s="7"/>
      <c r="U50" s="7"/>
      <c r="V50" s="7"/>
      <c r="W50" s="7"/>
      <c r="X50" s="7"/>
      <c r="Y50" s="7"/>
      <c r="Z50" s="7"/>
    </row>
    <row r="51" ht="15.75" customHeight="1">
      <c r="A51" s="17" t="s">
        <v>400</v>
      </c>
      <c r="B51" s="17" t="s">
        <v>401</v>
      </c>
      <c r="C51" s="17" t="s">
        <v>402</v>
      </c>
      <c r="D51" s="7"/>
      <c r="E51" s="7"/>
      <c r="F51" s="7"/>
      <c r="G51" s="7"/>
      <c r="H51" s="7"/>
      <c r="I51" s="7"/>
      <c r="J51" s="7"/>
      <c r="K51" s="7"/>
      <c r="L51" s="7"/>
      <c r="M51" s="7"/>
      <c r="N51" s="7"/>
      <c r="O51" s="7"/>
      <c r="P51" s="7"/>
      <c r="Q51" s="7"/>
      <c r="R51" s="7"/>
      <c r="S51" s="7"/>
      <c r="T51" s="7"/>
      <c r="U51" s="7"/>
      <c r="V51" s="7"/>
      <c r="W51" s="7"/>
      <c r="X51" s="7"/>
      <c r="Y51" s="7"/>
      <c r="Z51" s="7"/>
    </row>
    <row r="52" ht="15.75" customHeight="1">
      <c r="A52" s="17" t="s">
        <v>406</v>
      </c>
      <c r="B52" s="17" t="s">
        <v>407</v>
      </c>
      <c r="C52" s="17" t="s">
        <v>409</v>
      </c>
      <c r="D52" s="7"/>
      <c r="E52" s="7"/>
      <c r="F52" s="7"/>
      <c r="G52" s="7"/>
      <c r="H52" s="7"/>
      <c r="I52" s="7"/>
      <c r="J52" s="7"/>
      <c r="K52" s="7"/>
      <c r="L52" s="7"/>
      <c r="M52" s="7"/>
      <c r="N52" s="7"/>
      <c r="O52" s="7"/>
      <c r="P52" s="7"/>
      <c r="Q52" s="7"/>
      <c r="R52" s="7"/>
      <c r="S52" s="7"/>
      <c r="T52" s="7"/>
      <c r="U52" s="7"/>
      <c r="V52" s="7"/>
      <c r="W52" s="7"/>
      <c r="X52" s="7"/>
      <c r="Y52" s="7"/>
      <c r="Z52" s="7"/>
    </row>
    <row r="53" ht="15.75" customHeight="1">
      <c r="A53" s="17" t="s">
        <v>410</v>
      </c>
      <c r="B53" s="18" t="s">
        <v>411</v>
      </c>
      <c r="C53" s="17" t="s">
        <v>413</v>
      </c>
      <c r="D53" s="7"/>
      <c r="E53" s="7"/>
      <c r="F53" s="7"/>
      <c r="G53" s="7"/>
      <c r="H53" s="7"/>
      <c r="I53" s="7"/>
      <c r="J53" s="7"/>
      <c r="K53" s="7"/>
      <c r="L53" s="7"/>
      <c r="M53" s="7"/>
      <c r="N53" s="7"/>
      <c r="O53" s="7"/>
      <c r="P53" s="7"/>
      <c r="Q53" s="7"/>
      <c r="R53" s="7"/>
      <c r="S53" s="7"/>
      <c r="T53" s="7"/>
      <c r="U53" s="7"/>
      <c r="V53" s="7"/>
      <c r="W53" s="7"/>
      <c r="X53" s="7"/>
      <c r="Y53" s="7"/>
      <c r="Z53" s="7"/>
    </row>
    <row r="54" ht="15.75" customHeight="1">
      <c r="A54" s="17" t="s">
        <v>414</v>
      </c>
      <c r="B54" s="17" t="s">
        <v>415</v>
      </c>
      <c r="C54" s="17" t="s">
        <v>416</v>
      </c>
      <c r="D54" s="7"/>
      <c r="E54" s="7"/>
      <c r="F54" s="7"/>
      <c r="G54" s="7"/>
      <c r="H54" s="7"/>
      <c r="I54" s="7"/>
      <c r="J54" s="7"/>
      <c r="K54" s="7"/>
      <c r="L54" s="7"/>
      <c r="M54" s="7"/>
      <c r="N54" s="7"/>
      <c r="O54" s="7"/>
      <c r="P54" s="7"/>
      <c r="Q54" s="7"/>
      <c r="R54" s="7"/>
      <c r="S54" s="7"/>
      <c r="T54" s="7"/>
      <c r="U54" s="7"/>
      <c r="V54" s="7"/>
      <c r="W54" s="7"/>
      <c r="X54" s="7"/>
      <c r="Y54" s="7"/>
      <c r="Z54" s="7"/>
    </row>
    <row r="55" ht="15.75" customHeight="1">
      <c r="A55" s="17" t="s">
        <v>417</v>
      </c>
      <c r="B55" s="17" t="s">
        <v>418</v>
      </c>
      <c r="C55" s="17" t="s">
        <v>419</v>
      </c>
      <c r="D55" s="7"/>
      <c r="E55" s="7"/>
      <c r="F55" s="7"/>
      <c r="G55" s="7"/>
      <c r="H55" s="7"/>
      <c r="I55" s="7"/>
      <c r="J55" s="7"/>
      <c r="K55" s="7"/>
      <c r="L55" s="7"/>
      <c r="M55" s="7"/>
      <c r="N55" s="7"/>
      <c r="O55" s="7"/>
      <c r="P55" s="7"/>
      <c r="Q55" s="7"/>
      <c r="R55" s="7"/>
      <c r="S55" s="7"/>
      <c r="T55" s="7"/>
      <c r="U55" s="7"/>
      <c r="V55" s="7"/>
      <c r="W55" s="7"/>
      <c r="X55" s="7"/>
      <c r="Y55" s="7"/>
      <c r="Z55" s="7"/>
    </row>
    <row r="56" ht="15.75" customHeight="1">
      <c r="A56" s="17" t="s">
        <v>420</v>
      </c>
      <c r="B56" s="17" t="s">
        <v>422</v>
      </c>
      <c r="C56" s="17" t="s">
        <v>423</v>
      </c>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57" t="s">
        <v>424</v>
      </c>
      <c r="B58" s="5"/>
      <c r="C58" s="7"/>
      <c r="D58" s="7"/>
      <c r="E58" s="7"/>
      <c r="F58" s="7"/>
      <c r="G58" s="7"/>
      <c r="H58" s="7"/>
      <c r="I58" s="7"/>
      <c r="J58" s="7"/>
      <c r="K58" s="7"/>
      <c r="L58" s="7"/>
      <c r="M58" s="7"/>
      <c r="N58" s="7"/>
      <c r="O58" s="7"/>
      <c r="P58" s="7"/>
      <c r="Q58" s="7"/>
      <c r="R58" s="7"/>
      <c r="S58" s="7"/>
      <c r="T58" s="7"/>
      <c r="U58" s="7"/>
      <c r="V58" s="7"/>
      <c r="W58" s="7"/>
      <c r="X58" s="7"/>
      <c r="Y58" s="7"/>
      <c r="Z58" s="7"/>
    </row>
    <row r="59" ht="33.75" customHeight="1">
      <c r="A59" s="8" t="s">
        <v>425</v>
      </c>
      <c r="B59" s="8" t="s">
        <v>426</v>
      </c>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17" t="s">
        <v>209</v>
      </c>
      <c r="B60" s="18" t="s">
        <v>428</v>
      </c>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17" t="s">
        <v>226</v>
      </c>
      <c r="B61" s="18" t="s">
        <v>429</v>
      </c>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17" t="s">
        <v>210</v>
      </c>
      <c r="B62" s="17" t="s">
        <v>430</v>
      </c>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17" t="s">
        <v>211</v>
      </c>
      <c r="B63" s="18" t="s">
        <v>431</v>
      </c>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17" t="s">
        <v>220</v>
      </c>
      <c r="B64" s="18" t="s">
        <v>433</v>
      </c>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17" t="s">
        <v>221</v>
      </c>
      <c r="B65" s="18" t="s">
        <v>434</v>
      </c>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17" t="s">
        <v>224</v>
      </c>
      <c r="B66" s="18" t="s">
        <v>435</v>
      </c>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17" t="s">
        <v>242</v>
      </c>
      <c r="B67" s="18" t="s">
        <v>436</v>
      </c>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17" t="s">
        <v>244</v>
      </c>
      <c r="B68" s="18" t="s">
        <v>437</v>
      </c>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17" t="s">
        <v>439</v>
      </c>
      <c r="B69" s="18" t="s">
        <v>440</v>
      </c>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17" t="s">
        <v>227</v>
      </c>
      <c r="B70" s="17" t="s">
        <v>441</v>
      </c>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15">
    <mergeCell ref="B42:H42"/>
    <mergeCell ref="B43:H43"/>
    <mergeCell ref="A45:C45"/>
    <mergeCell ref="A58:B58"/>
    <mergeCell ref="A1:D1"/>
    <mergeCell ref="A18:E18"/>
    <mergeCell ref="A20:D20"/>
    <mergeCell ref="B41:H41"/>
    <mergeCell ref="A27:G27"/>
    <mergeCell ref="A36:H36"/>
    <mergeCell ref="A2:F2"/>
    <mergeCell ref="A9:D9"/>
    <mergeCell ref="A29:D29"/>
    <mergeCell ref="A39:B39"/>
    <mergeCell ref="B40:H4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2" width="56.0"/>
    <col customWidth="1" min="3" max="3" width="32.0"/>
    <col customWidth="1" min="4" max="4" width="15.0"/>
    <col customWidth="1" min="5" max="6" width="11.0"/>
    <col customWidth="1" min="7" max="7" width="15.0"/>
    <col customWidth="1" min="8" max="8" width="13.0"/>
    <col customWidth="1" min="9" max="9" width="15.0"/>
    <col customWidth="1" min="10" max="10" width="12.0"/>
    <col customWidth="1" min="11" max="11" width="11.0"/>
    <col customWidth="1" min="12" max="26" width="8.71"/>
  </cols>
  <sheetData>
    <row r="1">
      <c r="A1" s="1" t="s">
        <v>0</v>
      </c>
    </row>
    <row r="2" ht="43.5" customHeight="1">
      <c r="A2" s="4" t="s">
        <v>4</v>
      </c>
      <c r="B2" s="3"/>
      <c r="C2" s="3"/>
      <c r="D2" s="3"/>
      <c r="E2" s="3"/>
      <c r="F2" s="3"/>
      <c r="G2" s="3"/>
      <c r="H2" s="3"/>
      <c r="I2" s="3"/>
      <c r="J2" s="3"/>
      <c r="K2" s="5"/>
    </row>
    <row r="3" ht="33.75" customHeight="1">
      <c r="A3" s="8" t="s">
        <v>6</v>
      </c>
      <c r="B3" s="8" t="s">
        <v>8</v>
      </c>
      <c r="C3" s="8" t="s">
        <v>9</v>
      </c>
      <c r="D3" s="8" t="s">
        <v>10</v>
      </c>
      <c r="E3" s="8" t="s">
        <v>11</v>
      </c>
      <c r="F3" s="8" t="s">
        <v>12</v>
      </c>
      <c r="G3" s="8" t="s">
        <v>14</v>
      </c>
      <c r="H3" s="8" t="s">
        <v>15</v>
      </c>
      <c r="I3" s="8" t="s">
        <v>17</v>
      </c>
      <c r="J3" s="8" t="s">
        <v>18</v>
      </c>
      <c r="K3" s="9"/>
    </row>
    <row r="4">
      <c r="A4" s="10" t="s">
        <v>22</v>
      </c>
      <c r="B4" s="12" t="s">
        <v>23</v>
      </c>
      <c r="C4" s="10" t="s">
        <v>26</v>
      </c>
      <c r="D4" s="13">
        <v>6561.0</v>
      </c>
      <c r="E4" s="13">
        <v>7521.0</v>
      </c>
      <c r="F4" s="10" t="s">
        <v>29</v>
      </c>
      <c r="G4" s="13">
        <v>2720.0</v>
      </c>
      <c r="H4" s="10" t="s">
        <v>31</v>
      </c>
      <c r="I4" s="13">
        <v>0.0</v>
      </c>
      <c r="J4" s="15">
        <v>0.0</v>
      </c>
      <c r="K4" s="16"/>
    </row>
    <row r="5">
      <c r="A5" s="10" t="s">
        <v>35</v>
      </c>
      <c r="B5" s="12" t="s">
        <v>37</v>
      </c>
      <c r="C5" s="10" t="s">
        <v>38</v>
      </c>
      <c r="D5" s="13">
        <v>5768.0</v>
      </c>
      <c r="E5" s="13">
        <v>6727.0</v>
      </c>
      <c r="F5" s="10" t="s">
        <v>41</v>
      </c>
      <c r="G5" s="13">
        <v>2387.0</v>
      </c>
      <c r="H5" s="10" t="s">
        <v>44</v>
      </c>
      <c r="I5" s="13">
        <v>0.0</v>
      </c>
      <c r="J5" s="15">
        <v>0.0</v>
      </c>
      <c r="K5" s="16"/>
    </row>
    <row r="6">
      <c r="A6" s="10" t="s">
        <v>49</v>
      </c>
      <c r="B6" s="12" t="s">
        <v>51</v>
      </c>
      <c r="C6" s="10" t="s">
        <v>53</v>
      </c>
      <c r="D6" s="13">
        <v>4129.0</v>
      </c>
      <c r="E6" s="13">
        <v>4962.0</v>
      </c>
      <c r="F6" s="10" t="s">
        <v>57</v>
      </c>
      <c r="G6" s="13">
        <v>1574.0</v>
      </c>
      <c r="H6" s="10" t="s">
        <v>59</v>
      </c>
      <c r="I6" s="13">
        <v>0.0</v>
      </c>
      <c r="J6" s="15">
        <v>0.0</v>
      </c>
      <c r="K6" s="16"/>
    </row>
    <row r="7">
      <c r="A7" s="10" t="s">
        <v>63</v>
      </c>
      <c r="B7" s="12" t="s">
        <v>65</v>
      </c>
      <c r="C7" s="10" t="s">
        <v>66</v>
      </c>
      <c r="D7" s="13">
        <v>3875.0</v>
      </c>
      <c r="E7" s="13">
        <v>4437.0</v>
      </c>
      <c r="F7" s="10" t="s">
        <v>72</v>
      </c>
      <c r="G7" s="13">
        <v>1463.0</v>
      </c>
      <c r="H7" s="10" t="s">
        <v>74</v>
      </c>
      <c r="I7" s="13">
        <v>0.0</v>
      </c>
      <c r="J7" s="15">
        <v>0.0</v>
      </c>
      <c r="K7" s="16"/>
    </row>
    <row r="8">
      <c r="A8" s="10" t="s">
        <v>94</v>
      </c>
      <c r="B8" s="12" t="s">
        <v>96</v>
      </c>
      <c r="C8" s="10" t="s">
        <v>97</v>
      </c>
      <c r="D8" s="13">
        <v>3455.0</v>
      </c>
      <c r="E8" s="13">
        <v>4013.0</v>
      </c>
      <c r="F8" s="10" t="s">
        <v>101</v>
      </c>
      <c r="G8" s="13">
        <v>1194.0</v>
      </c>
      <c r="H8" s="10" t="s">
        <v>104</v>
      </c>
      <c r="I8" s="13">
        <v>0.0</v>
      </c>
      <c r="J8" s="15">
        <v>0.0</v>
      </c>
      <c r="K8" s="16"/>
    </row>
    <row r="9">
      <c r="A9" s="10" t="s">
        <v>107</v>
      </c>
      <c r="B9" s="12" t="s">
        <v>109</v>
      </c>
      <c r="C9" s="10" t="s">
        <v>111</v>
      </c>
      <c r="D9" s="13">
        <v>1806.0</v>
      </c>
      <c r="E9" s="13">
        <v>2112.0</v>
      </c>
      <c r="F9" s="10" t="s">
        <v>113</v>
      </c>
      <c r="G9" s="13">
        <v>827.0</v>
      </c>
      <c r="H9" s="10" t="s">
        <v>115</v>
      </c>
      <c r="I9" s="13">
        <v>0.0</v>
      </c>
      <c r="J9" s="15">
        <v>0.0</v>
      </c>
      <c r="K9" s="16"/>
    </row>
    <row r="10">
      <c r="A10" s="10" t="s">
        <v>116</v>
      </c>
      <c r="B10" s="12" t="s">
        <v>117</v>
      </c>
      <c r="C10" s="10" t="s">
        <v>119</v>
      </c>
      <c r="D10" s="13">
        <v>1.0</v>
      </c>
      <c r="E10" s="13">
        <v>3.0</v>
      </c>
      <c r="F10" s="10" t="s">
        <v>122</v>
      </c>
      <c r="G10" s="13">
        <v>0.0</v>
      </c>
      <c r="H10" s="10" t="s">
        <v>125</v>
      </c>
      <c r="I10" s="13">
        <v>0.0</v>
      </c>
      <c r="J10" s="15">
        <v>0.0</v>
      </c>
      <c r="K10" s="16"/>
    </row>
    <row r="11">
      <c r="A11" s="10" t="s">
        <v>126</v>
      </c>
      <c r="B11" s="12" t="s">
        <v>127</v>
      </c>
      <c r="C11" s="10" t="s">
        <v>128</v>
      </c>
      <c r="D11" s="13"/>
      <c r="E11" s="13"/>
      <c r="F11" s="10"/>
      <c r="G11" s="13"/>
      <c r="H11" s="10"/>
      <c r="I11" s="13"/>
      <c r="J11" s="15"/>
      <c r="K11" s="16"/>
    </row>
    <row r="12">
      <c r="A12" s="10" t="s">
        <v>134</v>
      </c>
      <c r="B12" s="12" t="s">
        <v>136</v>
      </c>
      <c r="C12" s="10" t="s">
        <v>139</v>
      </c>
      <c r="D12" s="13">
        <v>70393.0</v>
      </c>
      <c r="E12" s="13">
        <v>84312.0</v>
      </c>
      <c r="F12" s="10" t="s">
        <v>141</v>
      </c>
      <c r="G12" s="13">
        <v>27873.0</v>
      </c>
      <c r="H12" s="10" t="s">
        <v>143</v>
      </c>
      <c r="I12" s="13">
        <v>0.0</v>
      </c>
      <c r="J12" s="15">
        <v>0.0</v>
      </c>
      <c r="K12" s="16"/>
    </row>
    <row r="13">
      <c r="A13" s="22" t="s">
        <v>146</v>
      </c>
      <c r="B13" s="22" t="s">
        <v>147</v>
      </c>
      <c r="C13" s="22" t="s">
        <v>148</v>
      </c>
      <c r="D13" s="24">
        <v>4561.0</v>
      </c>
      <c r="E13" s="24">
        <v>5316.0</v>
      </c>
      <c r="F13" s="22" t="s">
        <v>57</v>
      </c>
      <c r="G13" s="24">
        <v>2306.0</v>
      </c>
      <c r="H13" s="22" t="s">
        <v>154</v>
      </c>
      <c r="I13" s="24">
        <v>0.0</v>
      </c>
      <c r="J13" s="25">
        <v>0.0</v>
      </c>
      <c r="K13" s="16"/>
    </row>
    <row r="14">
      <c r="A14" s="22" t="s">
        <v>146</v>
      </c>
      <c r="B14" s="22" t="s">
        <v>147</v>
      </c>
      <c r="C14" s="22" t="s">
        <v>148</v>
      </c>
      <c r="D14" s="24">
        <v>2550.0</v>
      </c>
      <c r="E14" s="24">
        <v>2903.0</v>
      </c>
      <c r="F14" s="22" t="s">
        <v>161</v>
      </c>
      <c r="G14" s="24">
        <v>1237.0</v>
      </c>
      <c r="H14" s="22" t="s">
        <v>164</v>
      </c>
      <c r="I14" s="24">
        <v>0.0</v>
      </c>
      <c r="J14" s="25">
        <v>0.0</v>
      </c>
      <c r="K14" s="16"/>
    </row>
    <row r="15">
      <c r="A15" s="22" t="s">
        <v>165</v>
      </c>
      <c r="B15" s="26" t="s">
        <v>168</v>
      </c>
      <c r="C15" s="22" t="s">
        <v>171</v>
      </c>
      <c r="D15" s="24">
        <v>9.0</v>
      </c>
      <c r="E15" s="24">
        <v>16.0</v>
      </c>
      <c r="F15" s="22" t="s">
        <v>175</v>
      </c>
      <c r="G15" s="24">
        <v>5.0</v>
      </c>
      <c r="H15" s="22" t="s">
        <v>177</v>
      </c>
      <c r="I15" s="24">
        <v>0.0</v>
      </c>
      <c r="J15" s="25">
        <v>0.0</v>
      </c>
      <c r="K15" s="16"/>
    </row>
    <row r="16">
      <c r="A16" s="22" t="s">
        <v>180</v>
      </c>
      <c r="B16" s="22" t="s">
        <v>147</v>
      </c>
      <c r="C16" s="22" t="s">
        <v>148</v>
      </c>
      <c r="D16" s="24">
        <v>3.0</v>
      </c>
      <c r="E16" s="24">
        <v>3.0</v>
      </c>
      <c r="F16" s="22" t="s">
        <v>186</v>
      </c>
      <c r="G16" s="24">
        <v>0.0</v>
      </c>
      <c r="H16" s="22" t="s">
        <v>125</v>
      </c>
      <c r="I16" s="24">
        <v>0.0</v>
      </c>
      <c r="J16" s="25">
        <v>0.0</v>
      </c>
      <c r="K16" s="16"/>
    </row>
    <row r="17">
      <c r="A17" s="22" t="s">
        <v>189</v>
      </c>
      <c r="B17" s="22" t="s">
        <v>147</v>
      </c>
      <c r="C17" s="22" t="s">
        <v>148</v>
      </c>
      <c r="D17" s="24">
        <v>1.0</v>
      </c>
      <c r="E17" s="24">
        <v>1.0</v>
      </c>
      <c r="F17" s="22" t="s">
        <v>186</v>
      </c>
      <c r="G17" s="24">
        <v>0.0</v>
      </c>
      <c r="H17" s="22" t="s">
        <v>125</v>
      </c>
      <c r="I17" s="24">
        <v>0.0</v>
      </c>
      <c r="J17" s="25">
        <v>0.0</v>
      </c>
      <c r="K17" s="16"/>
    </row>
    <row r="18">
      <c r="A18" s="22" t="s">
        <v>190</v>
      </c>
      <c r="B18" s="22" t="s">
        <v>147</v>
      </c>
      <c r="C18" s="22" t="s">
        <v>148</v>
      </c>
      <c r="D18" s="24">
        <v>1.0</v>
      </c>
      <c r="E18" s="24">
        <v>1.0</v>
      </c>
      <c r="F18" s="22" t="s">
        <v>192</v>
      </c>
      <c r="G18" s="24">
        <v>0.0</v>
      </c>
      <c r="H18" s="22" t="s">
        <v>125</v>
      </c>
      <c r="I18" s="24">
        <v>0.0</v>
      </c>
      <c r="J18" s="25">
        <v>0.0</v>
      </c>
      <c r="K18" s="16"/>
    </row>
    <row r="19">
      <c r="K19" s="27"/>
    </row>
    <row r="20">
      <c r="A20" s="28" t="s">
        <v>196</v>
      </c>
      <c r="B20" s="3"/>
      <c r="C20" s="3"/>
      <c r="D20" s="3"/>
      <c r="E20" s="3"/>
      <c r="F20" s="3"/>
      <c r="G20" s="3"/>
      <c r="H20" s="3"/>
      <c r="I20" s="3"/>
      <c r="J20" s="3"/>
      <c r="K20" s="29"/>
    </row>
    <row r="21" ht="43.5" customHeight="1">
      <c r="A21" s="30" t="s">
        <v>206</v>
      </c>
      <c r="B21" s="20" t="s">
        <v>207</v>
      </c>
      <c r="C21" s="3"/>
      <c r="D21" s="3"/>
      <c r="E21" s="3"/>
      <c r="F21" s="3"/>
      <c r="G21" s="3"/>
      <c r="H21" s="3"/>
      <c r="I21" s="3"/>
      <c r="J21" s="3"/>
      <c r="K21" s="31"/>
    </row>
    <row r="22" ht="43.5" customHeight="1">
      <c r="A22" s="30" t="s">
        <v>214</v>
      </c>
      <c r="B22" s="20" t="s">
        <v>216</v>
      </c>
      <c r="C22" s="3"/>
      <c r="D22" s="3"/>
      <c r="E22" s="3"/>
      <c r="F22" s="3"/>
      <c r="G22" s="3"/>
      <c r="H22" s="3"/>
      <c r="I22" s="3"/>
      <c r="J22" s="3"/>
      <c r="K22" s="31"/>
    </row>
    <row r="23" ht="43.5" customHeight="1">
      <c r="A23" s="30" t="s">
        <v>222</v>
      </c>
      <c r="B23" s="20" t="s">
        <v>223</v>
      </c>
      <c r="C23" s="3"/>
      <c r="D23" s="3"/>
      <c r="E23" s="3"/>
      <c r="F23" s="3"/>
      <c r="G23" s="3"/>
      <c r="H23" s="3"/>
      <c r="I23" s="3"/>
      <c r="J23" s="3"/>
      <c r="K23" s="31"/>
    </row>
    <row r="24" ht="43.5" customHeight="1">
      <c r="A24" s="30" t="s">
        <v>128</v>
      </c>
      <c r="B24" s="20" t="s">
        <v>230</v>
      </c>
      <c r="C24" s="3"/>
      <c r="D24" s="3"/>
      <c r="E24" s="3"/>
      <c r="F24" s="3"/>
      <c r="G24" s="3"/>
      <c r="H24" s="3"/>
      <c r="I24" s="3"/>
      <c r="J24" s="3"/>
      <c r="K24" s="31"/>
    </row>
    <row r="25" ht="43.5" customHeight="1">
      <c r="A25" s="30" t="s">
        <v>234</v>
      </c>
      <c r="B25" s="20" t="s">
        <v>235</v>
      </c>
      <c r="C25" s="3"/>
      <c r="D25" s="3"/>
      <c r="E25" s="3"/>
      <c r="F25" s="3"/>
      <c r="G25" s="3"/>
      <c r="H25" s="3"/>
      <c r="I25" s="3"/>
      <c r="J25" s="3"/>
      <c r="K25" s="3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K2"/>
    <mergeCell ref="A20:J20"/>
    <mergeCell ref="B21:J21"/>
    <mergeCell ref="B22:J22"/>
    <mergeCell ref="B23:J23"/>
    <mergeCell ref="B24:J24"/>
    <mergeCell ref="B25:J2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1.0"/>
    <col customWidth="1" min="2" max="2" width="11.57"/>
    <col customWidth="1" min="3" max="3" width="8.0"/>
    <col customWidth="1" min="4" max="4" width="46.86"/>
    <col customWidth="1" min="5" max="5" width="16.0"/>
    <col customWidth="1" min="6" max="6" width="8.43"/>
    <col customWidth="1" min="7" max="7" width="11.71"/>
    <col customWidth="1" min="8" max="8" width="7.29"/>
    <col customWidth="1" min="9" max="9" width="10.14"/>
    <col customWidth="1" min="10" max="10" width="18.14"/>
    <col customWidth="1" min="11" max="11" width="20.0"/>
    <col customWidth="1" min="12" max="12" width="16.14"/>
    <col customWidth="1" min="13" max="13" width="10.43"/>
    <col customWidth="1" min="14" max="14" width="28.0"/>
    <col customWidth="1" min="15" max="15" width="13.71"/>
    <col customWidth="1" min="16" max="16" width="7.29"/>
    <col customWidth="1" min="17" max="17" width="9.43"/>
    <col customWidth="1" min="18" max="18" width="6.43"/>
    <col customWidth="1" min="19" max="19" width="9.29"/>
    <col customWidth="1" min="20" max="21" width="9.0"/>
    <col customWidth="1" min="22" max="22" width="14.0"/>
    <col customWidth="1" min="23" max="23" width="10.0"/>
    <col customWidth="1" min="24" max="24" width="9.43"/>
    <col customWidth="1" min="25" max="25" width="8.86"/>
    <col customWidth="1" min="26" max="26" width="11.43"/>
    <col customWidth="1" min="27" max="27" width="8.14"/>
    <col customWidth="1" min="28" max="28" width="7.71"/>
    <col customWidth="1" min="29" max="29" width="11.0"/>
    <col customWidth="1" min="30" max="30" width="12.0"/>
    <col customWidth="1" min="31" max="32" width="9.0"/>
    <col customWidth="1" min="33" max="33" width="11.0"/>
    <col customWidth="1" min="34" max="34" width="14.0"/>
    <col customWidth="1" min="35" max="35" width="11.0"/>
    <col customWidth="1" min="36" max="38" width="10.0"/>
    <col customWidth="1" min="39" max="39" width="20.14"/>
    <col customWidth="1" min="40" max="40" width="9.86"/>
    <col customWidth="1" min="41" max="41" width="16.14"/>
    <col customWidth="1" min="42" max="42" width="13.0"/>
    <col customWidth="1" min="43" max="43" width="15.71"/>
    <col customWidth="1" min="44" max="44" width="21.86"/>
    <col customWidth="1" min="45" max="45" width="22.0"/>
    <col customWidth="1" min="46" max="46" width="49.14"/>
    <col customWidth="1" min="47" max="47" width="22.43"/>
    <col customWidth="1" min="48" max="48" width="81.71"/>
    <col customWidth="1" min="49" max="52" width="8.71"/>
    <col customWidth="1" hidden="1" min="53" max="59" width="13.0"/>
  </cols>
  <sheetData>
    <row r="1" ht="32.25" customHeight="1">
      <c r="A1" s="32" t="str">
        <f>IFERROR(__xludf.DUMMYFUNCTION("IMPORTRANGE(""1lLxCx4uLeV52MazFQj_y9ZC_XRwXlzvugepEkP18yNc"",""'Master UGC Tracker'!A:AW"")"),"TIKTOK ORGANIC SCORE (0-100)  =  =  6-sec View % × 40%  +  Shares × 25%  +  (Likes + Comments) × 20%  +  Views × 15% ")</f>
        <v>TIKTOK ORGANIC SCORE (0-100)  =  =  6-sec View % × 40%  +  Shares × 25%  +  (Likes + Comments) × 20%  +  Views × 15% </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4"/>
      <c r="AW1" s="35"/>
      <c r="AX1" s="35"/>
      <c r="AY1" s="35"/>
      <c r="AZ1" s="35"/>
      <c r="BA1" s="36" t="s">
        <v>247</v>
      </c>
      <c r="BB1" s="36" t="s">
        <v>248</v>
      </c>
      <c r="BC1" s="36" t="s">
        <v>250</v>
      </c>
      <c r="BD1" s="36" t="s">
        <v>251</v>
      </c>
      <c r="BE1" s="36" t="s">
        <v>252</v>
      </c>
      <c r="BF1" s="36" t="s">
        <v>253</v>
      </c>
      <c r="BG1" s="36" t="s">
        <v>254</v>
      </c>
    </row>
    <row r="2" ht="32.25" customHeight="1">
      <c r="A2" s="40" t="str">
        <f>IFERROR(__xludf.DUMMYFUNCTION("""COMPUTED_VALUE"""),"INSTAGRAM ORGANIC SCORE (0-100)  =  Views × 40%  + Likes × 35%  +  Comments × 15% ")</f>
        <v>INSTAGRAM ORGANIC SCORE (0-100)  =  Views × 40%  + Likes × 35%  +  Comments × 15% </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4"/>
      <c r="AW2" s="35"/>
      <c r="AX2" s="35"/>
      <c r="AY2" s="35"/>
      <c r="AZ2" s="35"/>
      <c r="BA2" s="36" t="s">
        <v>260</v>
      </c>
      <c r="BB2" s="36" t="s">
        <v>262</v>
      </c>
      <c r="BC2" s="36" t="s">
        <v>263</v>
      </c>
      <c r="BD2" s="36" t="s">
        <v>265</v>
      </c>
      <c r="BE2" s="35"/>
      <c r="BF2" s="35"/>
      <c r="BG2" s="36" t="s">
        <v>266</v>
      </c>
    </row>
    <row r="3" ht="15.0" customHeight="1">
      <c r="A3" s="41" t="str">
        <f>IFERROR(__xludf.DUMMYFUNCTION("""COMPUTED_VALUE"""),"IDENTITY")</f>
        <v>IDENTITY</v>
      </c>
      <c r="B3" s="33"/>
      <c r="C3" s="33"/>
      <c r="D3" s="33"/>
      <c r="E3" s="33"/>
      <c r="F3" s="33"/>
      <c r="G3" s="33"/>
      <c r="H3" s="34"/>
      <c r="I3" s="42" t="str">
        <f>IFERROR(__xludf.DUMMYFUNCTION("""COMPUTED_VALUE"""),"SCORE")</f>
        <v>SCORE</v>
      </c>
      <c r="J3" s="41" t="str">
        <f>IFERROR(__xludf.DUMMYFUNCTION("""COMPUTED_VALUE"""),"AD RECOMMENDATION")</f>
        <v>AD RECOMMENDATION</v>
      </c>
      <c r="K3" s="33"/>
      <c r="L3" s="33"/>
      <c r="M3" s="33"/>
      <c r="N3" s="33"/>
      <c r="O3" s="34"/>
      <c r="P3" s="43" t="str">
        <f>IFERROR(__xludf.DUMMYFUNCTION("""COMPUTED_VALUE"""),"Organic Performance")</f>
        <v>Organic Performance</v>
      </c>
      <c r="Q3" s="33"/>
      <c r="R3" s="33"/>
      <c r="S3" s="33"/>
      <c r="T3" s="33"/>
      <c r="U3" s="33"/>
      <c r="V3" s="33"/>
      <c r="W3" s="34"/>
      <c r="X3" s="41" t="str">
        <f>IFERROR(__xludf.DUMMYFUNCTION("""COMPUTED_VALUE"""),"Current Performance (Infludes Ads)")</f>
        <v>Current Performance (Infludes Ads)</v>
      </c>
      <c r="Y3" s="33"/>
      <c r="Z3" s="33"/>
      <c r="AA3" s="33"/>
      <c r="AB3" s="33"/>
      <c r="AC3" s="33"/>
      <c r="AD3" s="33"/>
      <c r="AE3" s="34"/>
      <c r="AF3" s="41" t="str">
        <f>IFERROR(__xludf.DUMMYFUNCTION("""COMPUTED_VALUE"""),"AD DATA")</f>
        <v>AD DATA</v>
      </c>
      <c r="AG3" s="33"/>
      <c r="AH3" s="33"/>
      <c r="AI3" s="33"/>
      <c r="AJ3" s="33"/>
      <c r="AK3" s="33"/>
      <c r="AL3" s="33"/>
      <c r="AM3" s="33"/>
      <c r="AN3" s="34"/>
      <c r="AO3" s="41" t="str">
        <f>IFERROR(__xludf.DUMMYFUNCTION("""COMPUTED_VALUE"""),"MISC")</f>
        <v>MISC</v>
      </c>
      <c r="AP3" s="33"/>
      <c r="AQ3" s="34"/>
      <c r="AR3" s="41" t="str">
        <f>IFERROR(__xludf.DUMMYFUNCTION("""COMPUTED_VALUE"""),"SCRIPT ANALYSIS")</f>
        <v>SCRIPT ANALYSIS</v>
      </c>
      <c r="AS3" s="33"/>
      <c r="AT3" s="33"/>
      <c r="AU3" s="33"/>
      <c r="AV3" s="34"/>
      <c r="AW3" s="44"/>
      <c r="AX3" s="44"/>
      <c r="AY3" s="44"/>
      <c r="AZ3" s="44"/>
      <c r="BA3" s="45" t="s">
        <v>302</v>
      </c>
      <c r="BB3" s="45" t="s">
        <v>303</v>
      </c>
      <c r="BC3" s="44"/>
      <c r="BD3" s="45" t="s">
        <v>304</v>
      </c>
      <c r="BE3" s="44"/>
      <c r="BF3" s="44"/>
      <c r="BG3" s="45" t="s">
        <v>305</v>
      </c>
    </row>
    <row r="4" ht="37.5" customHeight="1">
      <c r="A4" s="46" t="str">
        <f>IFERROR(__xludf.DUMMYFUNCTION("""COMPUTED_VALUE"""),"Platform")</f>
        <v>Platform</v>
      </c>
      <c r="B4" s="46" t="str">
        <f>IFERROR(__xludf.DUMMYFUNCTION("""COMPUTED_VALUE"""),"Publish Date")</f>
        <v>Publish Date</v>
      </c>
      <c r="C4" s="46" t="str">
        <f>IFERROR(__xludf.DUMMYFUNCTION("""COMPUTED_VALUE"""),"Month")</f>
        <v>Month</v>
      </c>
      <c r="D4" s="46" t="str">
        <f>IFERROR(__xludf.DUMMYFUNCTION("""COMPUTED_VALUE"""),"URL")</f>
        <v>URL</v>
      </c>
      <c r="E4" s="46" t="str">
        <f>IFERROR(__xludf.DUMMYFUNCTION("""COMPUTED_VALUE"""),"Creator Username")</f>
        <v>Creator Username</v>
      </c>
      <c r="F4" s="46" t="str">
        <f>IFERROR(__xludf.DUMMYFUNCTION("""COMPUTED_VALUE"""),"Creator Name")</f>
        <v>Creator Name</v>
      </c>
      <c r="G4" s="46" t="str">
        <f>IFERROR(__xludf.DUMMYFUNCTION("""COMPUTED_VALUE"""),"Content Bucket")</f>
        <v>Content Bucket</v>
      </c>
      <c r="H4" s="46" t="str">
        <f>IFERROR(__xludf.DUMMYFUNCTION("""COMPUTED_VALUE"""),"Duration (sec)")</f>
        <v>Duration (sec)</v>
      </c>
      <c r="I4" s="47" t="str">
        <f>IFERROR(__xludf.DUMMYFUNCTION("""COMPUTED_VALUE"""),"Organic Score")</f>
        <v>Organic Score</v>
      </c>
      <c r="J4" s="46" t="str">
        <f>IFERROR(__xludf.DUMMYFUNCTION("""COMPUTED_VALUE"""),"Ad Recommended")</f>
        <v>Ad Recommended</v>
      </c>
      <c r="K4" s="46" t="str">
        <f>IFERROR(__xludf.DUMMYFUNCTION("""COMPUTED_VALUE"""),"Ads Activated")</f>
        <v>Ads Activated</v>
      </c>
      <c r="L4" s="46" t="str">
        <f>IFERROR(__xludf.DUMMYFUNCTION("""COMPUTED_VALUE"""),"Ad Logic")</f>
        <v>Ad Logic</v>
      </c>
      <c r="M4" s="46" t="str">
        <f>IFERROR(__xludf.DUMMYFUNCTION("""COMPUTED_VALUE"""),"Recommendation Logic Fit")</f>
        <v>Recommendation Logic Fit</v>
      </c>
      <c r="N4" s="46" t="str">
        <f>IFERROR(__xludf.DUMMYFUNCTION("""COMPUTED_VALUE"""),"Ad Name")</f>
        <v>Ad Name</v>
      </c>
      <c r="O4" s="46" t="str">
        <f>IFERROR(__xludf.DUMMYFUNCTION("""COMPUTED_VALUE"""),"URL")</f>
        <v>URL</v>
      </c>
      <c r="P4" s="49" t="str">
        <f>IFERROR(__xludf.DUMMYFUNCTION("""COMPUTED_VALUE"""),"Organic Views")</f>
        <v>Organic Views</v>
      </c>
      <c r="Q4" s="49" t="str">
        <f>IFERROR(__xludf.DUMMYFUNCTION("""COMPUTED_VALUE"""),"Organic Likes")</f>
        <v>Organic Likes</v>
      </c>
      <c r="R4" s="49" t="str">
        <f>IFERROR(__xludf.DUMMYFUNCTION("""COMPUTED_VALUE"""),"Organic Comments")</f>
        <v>Organic Comments</v>
      </c>
      <c r="S4" s="49" t="str">
        <f>IFERROR(__xludf.DUMMYFUNCTION("""COMPUTED_VALUE"""),"Organic 2-sec View %")</f>
        <v>Organic 2-sec View %</v>
      </c>
      <c r="T4" s="49" t="str">
        <f>IFERROR(__xludf.DUMMYFUNCTION("""COMPUTED_VALUE"""),"Organic 6-sec View %")</f>
        <v>Organic 6-sec View %</v>
      </c>
      <c r="U4" s="49" t="str">
        <f>IFERROR(__xludf.DUMMYFUNCTION("""COMPUTED_VALUE"""),"Organic Average View Time")</f>
        <v>Organic Average View Time</v>
      </c>
      <c r="V4" s="49" t="str">
        <f>IFERROR(__xludf.DUMMYFUNCTION("""COMPUTED_VALUE"""),"Organic Engagement Rate")</f>
        <v>Organic Engagement Rate</v>
      </c>
      <c r="W4" s="49" t="str">
        <f>IFERROR(__xludf.DUMMYFUNCTION("""COMPUTED_VALUE"""),"JB Cost")</f>
        <v>JB Cost</v>
      </c>
      <c r="X4" s="51" t="str">
        <f>IFERROR(__xludf.DUMMYFUNCTION("""COMPUTED_VALUE"""),"Current Views")</f>
        <v>Current Views</v>
      </c>
      <c r="Y4" s="51" t="str">
        <f>IFERROR(__xludf.DUMMYFUNCTION("""COMPUTED_VALUE"""),"Current Likes")</f>
        <v>Current Likes</v>
      </c>
      <c r="Z4" s="51" t="str">
        <f>IFERROR(__xludf.DUMMYFUNCTION("""COMPUTED_VALUE"""),"Current Comments")</f>
        <v>Current Comments</v>
      </c>
      <c r="AA4" s="51" t="str">
        <f>IFERROR(__xludf.DUMMYFUNCTION("""COMPUTED_VALUE"""),"Current Shares")</f>
        <v>Current Shares</v>
      </c>
      <c r="AB4" s="51" t="str">
        <f>IFERROR(__xludf.DUMMYFUNCTION("""COMPUTED_VALUE"""),"Avg View Time (s)")</f>
        <v>Avg View Time (s)</v>
      </c>
      <c r="AC4" s="51" t="str">
        <f>IFERROR(__xludf.DUMMYFUNCTION("""COMPUTED_VALUE"""),"Current ER%")</f>
        <v>Current ER%</v>
      </c>
      <c r="AD4" s="51" t="str">
        <f>IFERROR(__xludf.DUMMYFUNCTION("""COMPUTED_VALUE"""),"2-sec View %")</f>
        <v>2-sec View %</v>
      </c>
      <c r="AE4" s="51" t="str">
        <f>IFERROR(__xludf.DUMMYFUNCTION("""COMPUTED_VALUE"""),"6-sec View %")</f>
        <v>6-sec View %</v>
      </c>
      <c r="AF4" s="52" t="str">
        <f>IFERROR(__xludf.DUMMYFUNCTION("""COMPUTED_VALUE"""),"Ran Ads")</f>
        <v>Ran Ads</v>
      </c>
      <c r="AG4" s="52" t="str">
        <f>IFERROR(__xludf.DUMMYFUNCTION("""COMPUTED_VALUE"""),"Ad Cost ($)")</f>
        <v>Ad Cost ($)</v>
      </c>
      <c r="AH4" s="52" t="str">
        <f>IFERROR(__xludf.DUMMYFUNCTION("""COMPUTED_VALUE"""),"Ad Impressions")</f>
        <v>Ad Impressions</v>
      </c>
      <c r="AI4" s="52" t="str">
        <f>IFERROR(__xludf.DUMMYFUNCTION("""COMPUTED_VALUE"""),"Ad Reach")</f>
        <v>Ad Reach</v>
      </c>
      <c r="AJ4" s="52" t="str">
        <f>IFERROR(__xludf.DUMMYFUNCTION("""COMPUTED_VALUE"""),"Ad Clicks")</f>
        <v>Ad Clicks</v>
      </c>
      <c r="AK4" s="52" t="str">
        <f>IFERROR(__xludf.DUMMYFUNCTION("""COMPUTED_VALUE"""),"Ad CTR%")</f>
        <v>Ad CTR%</v>
      </c>
      <c r="AL4" s="52" t="str">
        <f>IFERROR(__xludf.DUMMYFUNCTION("""COMPUTED_VALUE"""),"Ad CPC ($)")</f>
        <v>Ad CPC ($)</v>
      </c>
      <c r="AM4" s="52" t="str">
        <f>IFERROR(__xludf.DUMMYFUNCTION("""COMPUTED_VALUE"""),"Ad/Spark Code")</f>
        <v>Ad/Spark Code</v>
      </c>
      <c r="AN4" s="52" t="str">
        <f>IFERROR(__xludf.DUMMYFUNCTION("""COMPUTED_VALUE"""),"Remark")</f>
        <v>Remark</v>
      </c>
      <c r="AO4" s="52" t="str">
        <f>IFERROR(__xludf.DUMMYFUNCTION("""COMPUTED_VALUE"""),"JB Job Link")</f>
        <v>JB Job Link</v>
      </c>
      <c r="AP4" s="53" t="str">
        <f>IFERROR(__xludf.DUMMYFUNCTION("""COMPUTED_VALUE"""),"Remark")</f>
        <v>Remark</v>
      </c>
      <c r="AQ4" s="53" t="str">
        <f>IFERROR(__xludf.DUMMYFUNCTION("""COMPUTED_VALUE"""),"Title / Caption")</f>
        <v>Title / Caption</v>
      </c>
      <c r="AR4" s="54" t="str">
        <f>IFERROR(__xludf.DUMMYFUNCTION("""COMPUTED_VALUE"""),"Hook")</f>
        <v>Hook</v>
      </c>
      <c r="AS4" s="54" t="str">
        <f>IFERROR(__xludf.DUMMYFUNCTION("""COMPUTED_VALUE"""),"Hook Type")</f>
        <v>Hook Type</v>
      </c>
      <c r="AT4" s="54" t="str">
        <f>IFERROR(__xludf.DUMMYFUNCTION("""COMPUTED_VALUE"""),"Content Summary")</f>
        <v>Content Summary</v>
      </c>
      <c r="AU4" s="54" t="str">
        <f>IFERROR(__xludf.DUMMYFUNCTION("""COMPUTED_VALUE"""),"CTA")</f>
        <v>CTA</v>
      </c>
      <c r="AV4" s="54" t="str">
        <f>IFERROR(__xludf.DUMMYFUNCTION("""COMPUTED_VALUE"""),"Original Script")</f>
        <v>Original Script</v>
      </c>
      <c r="AW4" s="35"/>
      <c r="AX4" s="35"/>
      <c r="AY4" s="35"/>
      <c r="AZ4" s="35"/>
      <c r="BA4" s="36" t="s">
        <v>337</v>
      </c>
      <c r="BB4" s="36" t="s">
        <v>338</v>
      </c>
      <c r="BC4" s="35"/>
      <c r="BD4" s="35"/>
      <c r="BE4" s="35"/>
      <c r="BF4" s="35"/>
      <c r="BG4" s="35"/>
    </row>
    <row r="5" ht="97.5" customHeight="1">
      <c r="A5" s="55" t="str">
        <f>IFERROR(__xludf.DUMMYFUNCTION("""COMPUTED_VALUE"""),"Tiktok")</f>
        <v>Tiktok</v>
      </c>
      <c r="B5" s="56">
        <f>IFERROR(__xludf.DUMMYFUNCTION("""COMPUTED_VALUE"""),46174.0)</f>
        <v>46174</v>
      </c>
      <c r="C5" s="55" t="str">
        <f>IFERROR(__xludf.DUMMYFUNCTION("""COMPUTED_VALUE"""),"June")</f>
        <v>June</v>
      </c>
      <c r="D5" s="58" t="str">
        <f>IFERROR(__xludf.DUMMYFUNCTION("""COMPUTED_VALUE"""),"https://www.tiktok.com/@jeorginaugc/video/7644934695515393294")</f>
        <v>https://www.tiktok.com/@jeorginaugc/video/7644934695515393294</v>
      </c>
      <c r="E5" s="55" t="str">
        <f>IFERROR(__xludf.DUMMYFUNCTION("""COMPUTED_VALUE"""),"@jeorginaugc")</f>
        <v>@jeorginaugc</v>
      </c>
      <c r="F5" s="55" t="str">
        <f>IFERROR(__xludf.DUMMYFUNCTION("""COMPUTED_VALUE"""),"Jeorgina Zerpa")</f>
        <v>Jeorgina Zerpa</v>
      </c>
      <c r="G5" s="55" t="str">
        <f>IFERROR(__xludf.DUMMYFUNCTION("""COMPUTED_VALUE"""),"Target In-Store Discovery")</f>
        <v>Target In-Store Discovery</v>
      </c>
      <c r="H5" s="55">
        <f>IFERROR(__xludf.DUMMYFUNCTION("""COMPUTED_VALUE"""),42.0)</f>
        <v>42</v>
      </c>
      <c r="I5" s="55">
        <f>IFERROR(__xludf.DUMMYFUNCTION("""COMPUTED_VALUE"""),57.3)</f>
        <v>57.3</v>
      </c>
      <c r="J5" s="55" t="str">
        <f>IFERROR(__xludf.DUMMYFUNCTION("""COMPUTED_VALUE"""),"Consider")</f>
        <v>Consider</v>
      </c>
      <c r="K5" s="55" t="str">
        <f>IFERROR(__xludf.DUMMYFUNCTION("""COMPUTED_VALUE"""),"Yes")</f>
        <v>Yes</v>
      </c>
      <c r="L5" s="55" t="str">
        <f>IFERROR(__xludf.DUMMYFUNCTION("""COMPUTED_VALUE"""),"Score 24.5 nearing 30 threshold; High ER 12.3% — quality signal, limited views yet")</f>
        <v>Score 24.5 nearing 30 threshold; High ER 12.3% — quality signal, limited views yet</v>
      </c>
      <c r="M5" s="59" t="str">
        <f>IFERROR(__xludf.DUMMYFUNCTION("""COMPUTED_VALUE"""),"Logic Fit ✓")</f>
        <v>Logic Fit ✓</v>
      </c>
      <c r="N5" s="55"/>
      <c r="O5" s="55"/>
      <c r="P5" s="59">
        <f>IFERROR(__xludf.DUMMYFUNCTION("""COMPUTED_VALUE"""),748.0)</f>
        <v>748</v>
      </c>
      <c r="Q5" s="59">
        <f>IFERROR(__xludf.DUMMYFUNCTION("""COMPUTED_VALUE"""),92.0)</f>
        <v>92</v>
      </c>
      <c r="R5" s="59">
        <f>IFERROR(__xludf.DUMMYFUNCTION("""COMPUTED_VALUE"""),0.0)</f>
        <v>0</v>
      </c>
      <c r="S5" s="55"/>
      <c r="T5" s="61">
        <f>IFERROR(__xludf.DUMMYFUNCTION("""COMPUTED_VALUE"""),0.25)</f>
        <v>0.25</v>
      </c>
      <c r="U5" s="55"/>
      <c r="V5" s="62">
        <f>IFERROR(__xludf.DUMMYFUNCTION("""COMPUTED_VALUE"""),0.168)</f>
        <v>0.168</v>
      </c>
      <c r="W5" s="63">
        <f>IFERROR(__xludf.DUMMYFUNCTION("""COMPUTED_VALUE"""),52.58)</f>
        <v>52.58</v>
      </c>
      <c r="X5" s="59">
        <f>IFERROR(__xludf.DUMMYFUNCTION("""COMPUTED_VALUE"""),87678.0)</f>
        <v>87678</v>
      </c>
      <c r="Y5" s="59">
        <f>IFERROR(__xludf.DUMMYFUNCTION("""COMPUTED_VALUE"""),763.0)</f>
        <v>763</v>
      </c>
      <c r="Z5" s="59">
        <f>IFERROR(__xludf.DUMMYFUNCTION("""COMPUTED_VALUE"""),30.0)</f>
        <v>30</v>
      </c>
      <c r="AA5" s="59">
        <f>IFERROR(__xludf.DUMMYFUNCTION("""COMPUTED_VALUE"""),146.0)</f>
        <v>146</v>
      </c>
      <c r="AB5" s="64">
        <f>IFERROR(__xludf.DUMMYFUNCTION("""COMPUTED_VALUE"""),8.0)</f>
        <v>8</v>
      </c>
      <c r="AC5" s="62">
        <f>IFERROR(__xludf.DUMMYFUNCTION("""COMPUTED_VALUE"""),1.0)</f>
        <v>1</v>
      </c>
      <c r="AD5" s="62">
        <f>IFERROR(__xludf.DUMMYFUNCTION("""COMPUTED_VALUE"""),53.1)</f>
        <v>53.1</v>
      </c>
      <c r="AE5" s="62">
        <f>IFERROR(__xludf.DUMMYFUNCTION("""COMPUTED_VALUE"""),29.4)</f>
        <v>29.4</v>
      </c>
      <c r="AF5" s="55" t="str">
        <f>IFERROR(__xludf.DUMMYFUNCTION("""COMPUTED_VALUE"""),"Yes")</f>
        <v>Yes</v>
      </c>
      <c r="AG5" s="63">
        <f>IFERROR(__xludf.DUMMYFUNCTION("""COMPUTED_VALUE"""),624.95)</f>
        <v>624.95</v>
      </c>
      <c r="AH5" s="59">
        <f>IFERROR(__xludf.DUMMYFUNCTION("""COMPUTED_VALUE"""),83742.0)</f>
        <v>83742</v>
      </c>
      <c r="AI5" s="55"/>
      <c r="AJ5" s="59">
        <f>IFERROR(__xludf.DUMMYFUNCTION("""COMPUTED_VALUE"""),685.0)</f>
        <v>685</v>
      </c>
      <c r="AK5" s="62">
        <f>IFERROR(__xludf.DUMMYFUNCTION("""COMPUTED_VALUE"""),0.818)</f>
        <v>0.818</v>
      </c>
      <c r="AL5" s="65">
        <f>IFERROR(__xludf.DUMMYFUNCTION("""COMPUTED_VALUE"""),0.912)</f>
        <v>0.912</v>
      </c>
      <c r="AM5" s="55" t="str">
        <f>IFERROR(__xludf.DUMMYFUNCTION("""COMPUTED_VALUE"""),"#Mh6M3eCl+rRd9SeVN+0xaYhKcC3en5DSIZN9A5ssTw+Vphj6tvHi0QExj+c0n20=")</f>
        <v>#Mh6M3eCl+rRd9SeVN+0xaYhKcC3en5DSIZN9A5ssTw+Vphj6tvHi0QExj+c0n20=</v>
      </c>
      <c r="AN5" s="55"/>
      <c r="AO5" s="58" t="str">
        <f>IFERROR(__xludf.DUMMYFUNCTION("""COMPUTED_VALUE"""),"https://us.brand.joinbrands.com/job/676332")</f>
        <v>https://us.brand.joinbrands.com/job/676332</v>
      </c>
      <c r="AP5" s="55" t="str">
        <f>IFERROR(__xludf.DUMMYFUNCTION("""COMPUTED_VALUE"""),"NA")</f>
        <v>NA</v>
      </c>
      <c r="AQ5" s="55" t="str">
        <f>IFERROR(__xludf.DUMMYFUNCTION("""COMPUTED_VALUE"""),"PensÃ© que este cafÃ© iba a saber saludable y yaâ€¦ pero terminÃ© tomÃ¡ndolo todos los dÃ­as â˜•ï¸ La energÃ­a se siente mucho mÃ¡s limpia, no me dejÃ³ acelerada y honestamente me ayudÃ³ demasiado con el...")</f>
        <v>PensÃ© que este cafÃ© iba a saber saludable y yaâ€¦ pero terminÃ© tomÃ¡ndolo todos los dÃ­as â˜•ï¸_x008f_ La energÃ­a se siente mucho mÃ¡s limpia, no me dejÃ³ acelerada y honestamente me ayudÃ³ demasiado con el...</v>
      </c>
      <c r="AR5" s="55" t="str">
        <f>IFERROR(__xludf.DUMMYFUNCTION("""COMPUTED_VALUE"""),"I came to target but this time I came with my little angel you know which one in the movie as is well, he came to accompany me because I saw a cup of ...")</f>
        <v>I came to target but this time I came with my little angel you know which one in the movie as is well, he came to accompany me because I saw a cup of ...</v>
      </c>
      <c r="AS5" s="55" t="str">
        <f>IFERROR(__xludf.DUMMYFUNCTION("""COMPUTED_VALUE"""),"In-Store / Target Discovery")</f>
        <v>In-Store / Target Discovery</v>
      </c>
      <c r="AT5" s="55" t="str">
        <f>IFERROR(__xludf.DUMMYFUNCTION("""COMPUTED_VALUE"""),"• I came to target but this time I came with my little angel you know which one in the movie as is well, he came to accompany me because I saw a cup of coffee. this one, which is very viral they say it helps a lot with the issue of calm and energy. and ab"&amp;"ove all helps a lot to stress and you know when you become a mom super stressed and a friend of mine was trying it out. and told me that it helps a lot for relaxation. so I came to try it out and of course I came to my house to enjoy a cup of coffee. look"&amp;" at the weather lends itself to enjoy this rich coffee and above all to relax a little take advantage of the weekend and if you also want to consume this coffee and enjoy its benefits run to target because it is now available in all its stores")</f>
        <v>• I came to target but this time I came with my little angel you know which one in the movie as is well, he came to accompany me because I saw a cup of coffee. this one, which is very viral they say it helps a lot with the issue of calm and energy. and above all helps a lot to stress and you know when you become a mom super stressed and a friend of mine was trying it out. and told me that it helps a lot for relaxation. so I came to try it out and of course I came to my house to enjoy a cup of coffee. look at the weather lends itself to enjoy this rich coffee and above all to relax a little take advantage of the weekend and if you also want to consume this coffee and enjoy its benefits run to target because it is now available in all its stores</v>
      </c>
      <c r="AU5" s="55" t="str">
        <f>IFERROR(__xludf.DUMMYFUNCTION("""COMPUTED_VALUE"""),"look at the weather lends itself to enjoy this rich coffee and above all to relax a little take advantage of the weekend and if you also want to consume this coffee and enjoy its benefits run to targe...")</f>
        <v>look at the weather lends itself to enjoy this rich coffee and above all to relax a little take advantage of the weekend and if you also want to consume this coffee and enjoy its benefits run to targe...</v>
      </c>
      <c r="AV5" s="55" t="str">
        <f>IFERROR(__xludf.DUMMYFUNCTION("""COMPUTED_VALUE"""),"I came to target but this time I came with my little angel you know which one in the movie as is well, he came to accompany me because I saw a cup of coffee. this one, which is very viral they say it helps a lot with the issue of calm and energy. and abov"&amp;"e all helps a lot to stress and you know when you become a mom super stressed and a friend of mine was trying it out. and told me that it helps a lot for relaxation. so I came to try it out and of course I came to my house to enjoy a cup of coffee. look a"&amp;"t the weather lends itself to enjoy this rich coffee and above all to relax a little take advantage of the weekend and if you also want to consume this coffee and enjoy its benefits run to target because it is now available in all its stores")</f>
        <v>I came to target but this time I came with my little angel you know which one in the movie as is well, he came to accompany me because I saw a cup of coffee. this one, which is very viral they say it helps a lot with the issue of calm and energy. and above all helps a lot to stress and you know when you become a mom super stressed and a friend of mine was trying it out. and told me that it helps a lot for relaxation. so I came to try it out and of course I came to my house to enjoy a cup of coffee. look at the weather lends itself to enjoy this rich coffee and above all to relax a little take advantage of the weekend and if you also want to consume this coffee and enjoy its benefits run to target because it is now available in all its stores</v>
      </c>
      <c r="AW5" s="35"/>
      <c r="AX5" s="35"/>
      <c r="AY5" s="35"/>
      <c r="AZ5" s="35"/>
      <c r="BA5" s="36" t="s">
        <v>391</v>
      </c>
      <c r="BB5" s="36" t="s">
        <v>392</v>
      </c>
      <c r="BC5" s="35"/>
      <c r="BD5" s="35"/>
      <c r="BE5" s="35"/>
      <c r="BF5" s="35"/>
      <c r="BG5" s="35"/>
    </row>
    <row r="6">
      <c r="A6" s="55" t="str">
        <f>IFERROR(__xludf.DUMMYFUNCTION("""COMPUTED_VALUE"""),"Instagram")</f>
        <v>Instagram</v>
      </c>
      <c r="B6" s="56">
        <f>IFERROR(__xludf.DUMMYFUNCTION("""COMPUTED_VALUE"""),46183.0)</f>
        <v>46183</v>
      </c>
      <c r="C6" s="55" t="str">
        <f>IFERROR(__xludf.DUMMYFUNCTION("""COMPUTED_VALUE"""),"June")</f>
        <v>June</v>
      </c>
      <c r="D6" s="58" t="str">
        <f>IFERROR(__xludf.DUMMYFUNCTION("""COMPUTED_VALUE"""),"https://www.instagram.com/p/DZaSfUDOn4H/")</f>
        <v>https://www.instagram.com/p/DZaSfUDOn4H/</v>
      </c>
      <c r="E6" s="55" t="str">
        <f>IFERROR(__xludf.DUMMYFUNCTION("""COMPUTED_VALUE"""),"@ingas")</f>
        <v>@ingas</v>
      </c>
      <c r="F6" s="55" t="str">
        <f>IFERROR(__xludf.DUMMYFUNCTION("""COMPUTED_VALUE"""),"NA")</f>
        <v>NA</v>
      </c>
      <c r="G6" s="55" t="str">
        <f>IFERROR(__xludf.DUMMYFUNCTION("""COMPUTED_VALUE"""),"Target Shelf Showdown")</f>
        <v>Target Shelf Showdown</v>
      </c>
      <c r="H6" s="55">
        <f>IFERROR(__xludf.DUMMYFUNCTION("""COMPUTED_VALUE"""),51.0)</f>
        <v>51</v>
      </c>
      <c r="I6" s="55">
        <f>IFERROR(__xludf.DUMMYFUNCTION("""COMPUTED_VALUE"""),18.6)</f>
        <v>18.6</v>
      </c>
      <c r="J6" s="55" t="str">
        <f>IFERROR(__xludf.DUMMYFUNCTION("""COMPUTED_VALUE"""),"Consider")</f>
        <v>Consider</v>
      </c>
      <c r="K6" s="55" t="str">
        <f>IFERROR(__xludf.DUMMYFUNCTION("""COMPUTED_VALUE"""),"Yes")</f>
        <v>Yes</v>
      </c>
      <c r="L6" s="55" t="str">
        <f>IFERROR(__xludf.DUMMYFUNCTION("""COMPUTED_VALUE"""),"Score 19.3 nearing 20 threshold")</f>
        <v>Score 19.3 nearing 20 threshold</v>
      </c>
      <c r="M6" s="59" t="str">
        <f>IFERROR(__xludf.DUMMYFUNCTION("""COMPUTED_VALUE"""),"Logic Fit ✓")</f>
        <v>Logic Fit ✓</v>
      </c>
      <c r="N6" s="59" t="str">
        <f>IFERROR(__xludf.DUMMYFUNCTION("""COMPUTED_VALUE"""),"JB-UGC-1-Ingas")</f>
        <v>JB-UGC-1-Ingas</v>
      </c>
      <c r="O6" s="55"/>
      <c r="P6" s="59">
        <f>IFERROR(__xludf.DUMMYFUNCTION("""COMPUTED_VALUE"""),170.0)</f>
        <v>170</v>
      </c>
      <c r="Q6" s="59">
        <f>IFERROR(__xludf.DUMMYFUNCTION("""COMPUTED_VALUE"""),3.0)</f>
        <v>3</v>
      </c>
      <c r="R6" s="59">
        <f>IFERROR(__xludf.DUMMYFUNCTION("""COMPUTED_VALUE"""),0.0)</f>
        <v>0</v>
      </c>
      <c r="S6" s="55"/>
      <c r="T6" s="68">
        <f>IFERROR(__xludf.DUMMYFUNCTION("""COMPUTED_VALUE"""),0.0)</f>
        <v>0</v>
      </c>
      <c r="U6" s="55"/>
      <c r="V6" s="62">
        <f>IFERROR(__xludf.DUMMYFUNCTION("""COMPUTED_VALUE"""),0.01764705882)</f>
        <v>0.01764705882</v>
      </c>
      <c r="W6" s="63">
        <f>IFERROR(__xludf.DUMMYFUNCTION("""COMPUTED_VALUE"""),67.58)</f>
        <v>67.58</v>
      </c>
      <c r="X6" s="59">
        <f>IFERROR(__xludf.DUMMYFUNCTION("""COMPUTED_VALUE"""),35100.0)</f>
        <v>35100</v>
      </c>
      <c r="Y6" s="59">
        <f>IFERROR(__xludf.DUMMYFUNCTION("""COMPUTED_VALUE"""),0.0)</f>
        <v>0</v>
      </c>
      <c r="Z6" s="59">
        <f>IFERROR(__xludf.DUMMYFUNCTION("""COMPUTED_VALUE"""),4.0)</f>
        <v>4</v>
      </c>
      <c r="AA6" s="59">
        <f>IFERROR(__xludf.DUMMYFUNCTION("""COMPUTED_VALUE"""),0.0)</f>
        <v>0</v>
      </c>
      <c r="AB6" s="64">
        <f>IFERROR(__xludf.DUMMYFUNCTION("""COMPUTED_VALUE"""),0.0)</f>
        <v>0</v>
      </c>
      <c r="AC6" s="62">
        <f>IFERROR(__xludf.DUMMYFUNCTION("""COMPUTED_VALUE"""),0.0)</f>
        <v>0</v>
      </c>
      <c r="AD6" s="62">
        <f>IFERROR(__xludf.DUMMYFUNCTION("""COMPUTED_VALUE"""),0.0)</f>
        <v>0</v>
      </c>
      <c r="AE6" s="62">
        <f>IFERROR(__xludf.DUMMYFUNCTION("""COMPUTED_VALUE"""),0.0)</f>
        <v>0</v>
      </c>
      <c r="AF6" s="55" t="str">
        <f>IFERROR(__xludf.DUMMYFUNCTION("""COMPUTED_VALUE"""),"Yes")</f>
        <v>Yes</v>
      </c>
      <c r="AG6" s="63">
        <f>IFERROR(__xludf.DUMMYFUNCTION("""COMPUTED_VALUE"""),508.78)</f>
        <v>508.78</v>
      </c>
      <c r="AH6" s="59">
        <f>IFERROR(__xludf.DUMMYFUNCTION("""COMPUTED_VALUE"""),55076.0)</f>
        <v>55076</v>
      </c>
      <c r="AI6" s="55"/>
      <c r="AJ6" s="59">
        <f>IFERROR(__xludf.DUMMYFUNCTION("""COMPUTED_VALUE"""),2984.0)</f>
        <v>2984</v>
      </c>
      <c r="AK6" s="62">
        <f>IFERROR(__xludf.DUMMYFUNCTION("""COMPUTED_VALUE"""),5.418)</f>
        <v>5.418</v>
      </c>
      <c r="AL6" s="65">
        <f>IFERROR(__xludf.DUMMYFUNCTION("""COMPUTED_VALUE"""),0.171)</f>
        <v>0.171</v>
      </c>
      <c r="AM6" s="55" t="str">
        <f>IFERROR(__xludf.DUMMYFUNCTION("""COMPUTED_VALUE"""),"Q9jTBBWamhtNxfXj8HFWWip22M1ItiVUYh2qR6UNjQvycQbZ2Wjc_9EoKO6gBAdW")</f>
        <v>Q9jTBBWamhtNxfXj8HFWWip22M1ItiVUYh2qR6UNjQvycQbZ2Wjc_9EoKO6gBAdW</v>
      </c>
      <c r="AN6" s="55"/>
      <c r="AO6" s="55" t="str">
        <f>IFERROR(__xludf.DUMMYFUNCTION("""COMPUTED_VALUE"""),"NA")</f>
        <v>NA</v>
      </c>
      <c r="AP6" s="55" t="str">
        <f>IFERROR(__xludf.DUMMYFUNCTION("""COMPUTED_VALUE"""),"Good")</f>
        <v>Good</v>
      </c>
      <c r="AQ6" s="55" t="str">
        <f>IFERROR(__xludf.DUMMYFUNCTION("""COMPUTED_VALUE"""),"NA")</f>
        <v>NA</v>
      </c>
      <c r="AR6" s="55" t="str">
        <f>IFERROR(__xludf.DUMMYFUNCTION("""COMPUTED_VALUE"""),"Why is nobody talking about this new ashwagandha coffee at Target?")</f>
        <v>Why is nobody talking about this new ashwagandha coffee at Target?</v>
      </c>
      <c r="AS6" s="55" t="str">
        <f>IFERROR(__xludf.DUMMYFUNCTION("""COMPUTED_VALUE"""),"Curiosity / Question")</f>
        <v>Curiosity / Question</v>
      </c>
      <c r="AT6" s="55" t="str">
        <f>IFERROR(__xludf.DUMMYFUNCTION("""COMPUTED_VALUE"""),"• Bottom ashwagandha coffee, the only ashwagandha coffee at Target.
• Mushroom coffee took over and I genuinely tried them all.
• I've been seeing rise ads for two years, mud water, everyday dose on every wellness creators page.
• None of them changed my "&amp;"stress.")</f>
        <v>• Bottom ashwagandha coffee, the only ashwagandha coffee at Target.
• Mushroom coffee took over and I genuinely tried them all.
• I've been seeing rise ads for two years, mud water, everyday dose on every wellness creators page.
• None of them changed my stress.</v>
      </c>
      <c r="AU6" s="55" t="str">
        <f>IFERROR(__xludf.DUMMYFUNCTION("""COMPUTED_VALUE"""),"Go get your bag now at the nearest Target or Target.com.")</f>
        <v>Go get your bag now at the nearest Target or Target.com.</v>
      </c>
      <c r="AV6" s="55" t="str">
        <f>IFERROR(__xludf.DUMMYFUNCTION("""COMPUTED_VALUE"""),"Why is nobody talking about this new ashwagandha coffee at Target? I've been seeing rise ads for two years, mud water, everyday dose on every wellness creators page. Mushroom coffee took over and I genuinely tried them all. None of them changed my stress."&amp;" None of them helped my cortisol. And then I found this at Target and I'm genuinely confused why not enough people know about it. Bottom ashwagandha coffee, the only ashwagandha coffee at Target. It has KSM 66, which is the most clinically studied form of"&amp;" ashwagandha. Peer-reviewed trials showed that it reduced cortisol by 28%. Two cups gives you 300 milligrams of ashwagandha. What's more, it's the number one best-selling coffee on TikTok shop UK. How is this not the biggest wellness story in the US right"&amp;" now? Go get your bag now at the nearest Target or Target.com.")</f>
        <v>Why is nobody talking about this new ashwagandha coffee at Target? I've been seeing rise ads for two years, mud water, everyday dose on every wellness creators page. Mushroom coffee took over and I genuinely tried them all. None of them changed my stress. None of them helped my cortisol. And then I found this at Target and I'm genuinely confused why not enough people know about it. Bottom ashwagandha coffee, the only ashwagandha coffee at Target. It has KSM 66, which is the most clinically studied form of ashwagandha. Peer-reviewed trials showed that it reduced cortisol by 28%. Two cups gives you 300 milligrams of ashwagandha. What's more, it's the number one best-selling coffee on TikTok shop UK. How is this not the biggest wellness story in the US right now? Go get your bag now at the nearest Target or Target.com.</v>
      </c>
      <c r="AW6" s="35"/>
      <c r="AX6" s="35"/>
      <c r="AY6" s="35"/>
      <c r="AZ6" s="35"/>
      <c r="BA6" s="36" t="s">
        <v>253</v>
      </c>
      <c r="BB6" s="36" t="s">
        <v>412</v>
      </c>
      <c r="BC6" s="35"/>
      <c r="BD6" s="35"/>
      <c r="BE6" s="35"/>
      <c r="BF6" s="35"/>
      <c r="BG6" s="35"/>
    </row>
    <row r="7">
      <c r="A7" s="55" t="str">
        <f>IFERROR(__xludf.DUMMYFUNCTION("""COMPUTED_VALUE"""),"Tiktok")</f>
        <v>Tiktok</v>
      </c>
      <c r="B7" s="56">
        <f>IFERROR(__xludf.DUMMYFUNCTION("""COMPUTED_VALUE"""),46188.0)</f>
        <v>46188</v>
      </c>
      <c r="C7" s="55" t="str">
        <f>IFERROR(__xludf.DUMMYFUNCTION("""COMPUTED_VALUE"""),"June")</f>
        <v>June</v>
      </c>
      <c r="D7" s="58" t="str">
        <f>IFERROR(__xludf.DUMMYFUNCTION("""COMPUTED_VALUE"""),"https://www.tiktok.com/@jenwinkel/video/7651609390692306190")</f>
        <v>https://www.tiktok.com/@jenwinkel/video/7651609390692306190</v>
      </c>
      <c r="E7" s="55" t="str">
        <f>IFERROR(__xludf.DUMMYFUNCTION("""COMPUTED_VALUE"""),"@jenwinkel")</f>
        <v>@jenwinkel</v>
      </c>
      <c r="F7" s="55" t="str">
        <f>IFERROR(__xludf.DUMMYFUNCTION("""COMPUTED_VALUE"""),"Jennifer Heuwinkel")</f>
        <v>Jennifer Heuwinkel</v>
      </c>
      <c r="G7" s="55" t="str">
        <f>IFERROR(__xludf.DUMMYFUNCTION("""COMPUTED_VALUE"""),"Over 40/ High Performer")</f>
        <v>Over 40/ High Performer</v>
      </c>
      <c r="H7" s="55">
        <f>IFERROR(__xludf.DUMMYFUNCTION("""COMPUTED_VALUE"""),59.0)</f>
        <v>59</v>
      </c>
      <c r="I7" s="55">
        <f>IFERROR(__xludf.DUMMYFUNCTION("""COMPUTED_VALUE"""),32.6)</f>
        <v>32.6</v>
      </c>
      <c r="J7" s="55" t="str">
        <f>IFERROR(__xludf.DUMMYFUNCTION("""COMPUTED_VALUE"""),"Consider")</f>
        <v>Consider</v>
      </c>
      <c r="K7" s="55" t="str">
        <f>IFERROR(__xludf.DUMMYFUNCTION("""COMPUTED_VALUE"""),"Yes")</f>
        <v>Yes</v>
      </c>
      <c r="L7" s="55" t="str">
        <f>IFERROR(__xludf.DUMMYFUNCTION("""COMPUTED_VALUE"""),"Score 25.5 nearing 30 threshold; High ER 27.0% — quality signal, limited views yet")</f>
        <v>Score 25.5 nearing 30 threshold; High ER 27.0% — quality signal, limited views yet</v>
      </c>
      <c r="M7" s="59" t="str">
        <f>IFERROR(__xludf.DUMMYFUNCTION("""COMPUTED_VALUE"""),"Logic Fit ✓")</f>
        <v>Logic Fit ✓</v>
      </c>
      <c r="N7" s="55"/>
      <c r="O7" s="55"/>
      <c r="P7" s="59">
        <f>IFERROR(__xludf.DUMMYFUNCTION("""COMPUTED_VALUE"""),452.0)</f>
        <v>452</v>
      </c>
      <c r="Q7" s="59">
        <f>IFERROR(__xludf.DUMMYFUNCTION("""COMPUTED_VALUE"""),118.0)</f>
        <v>118</v>
      </c>
      <c r="R7" s="59">
        <f>IFERROR(__xludf.DUMMYFUNCTION("""COMPUTED_VALUE"""),4.0)</f>
        <v>4</v>
      </c>
      <c r="S7" s="55"/>
      <c r="T7" s="68">
        <f>IFERROR(__xludf.DUMMYFUNCTION("""COMPUTED_VALUE"""),0.0)</f>
        <v>0</v>
      </c>
      <c r="U7" s="55"/>
      <c r="V7" s="62">
        <f>IFERROR(__xludf.DUMMYFUNCTION("""COMPUTED_VALUE"""),0.2610619469)</f>
        <v>0.2610619469</v>
      </c>
      <c r="W7" s="63">
        <f>IFERROR(__xludf.DUMMYFUNCTION("""COMPUTED_VALUE"""),117.58)</f>
        <v>117.58</v>
      </c>
      <c r="X7" s="59">
        <f>IFERROR(__xludf.DUMMYFUNCTION("""COMPUTED_VALUE"""),29303.0)</f>
        <v>29303</v>
      </c>
      <c r="Y7" s="59">
        <f>IFERROR(__xludf.DUMMYFUNCTION("""COMPUTED_VALUE"""),293.0)</f>
        <v>293</v>
      </c>
      <c r="Z7" s="59">
        <f>IFERROR(__xludf.DUMMYFUNCTION("""COMPUTED_VALUE"""),5.0)</f>
        <v>5</v>
      </c>
      <c r="AA7" s="59">
        <f>IFERROR(__xludf.DUMMYFUNCTION("""COMPUTED_VALUE"""),4.0)</f>
        <v>4</v>
      </c>
      <c r="AB7" s="64">
        <f>IFERROR(__xludf.DUMMYFUNCTION("""COMPUTED_VALUE"""),2.0)</f>
        <v>2</v>
      </c>
      <c r="AC7" s="62">
        <f>IFERROR(__xludf.DUMMYFUNCTION("""COMPUTED_VALUE"""),1.0)</f>
        <v>1</v>
      </c>
      <c r="AD7" s="62">
        <f>IFERROR(__xludf.DUMMYFUNCTION("""COMPUTED_VALUE"""),13.8)</f>
        <v>13.8</v>
      </c>
      <c r="AE7" s="62">
        <f>IFERROR(__xludf.DUMMYFUNCTION("""COMPUTED_VALUE"""),3.2)</f>
        <v>3.2</v>
      </c>
      <c r="AF7" s="55" t="str">
        <f>IFERROR(__xludf.DUMMYFUNCTION("""COMPUTED_VALUE"""),"Yes")</f>
        <v>Yes</v>
      </c>
      <c r="AG7" s="63">
        <f>IFERROR(__xludf.DUMMYFUNCTION("""COMPUTED_VALUE"""),93.54)</f>
        <v>93.54</v>
      </c>
      <c r="AH7" s="59">
        <f>IFERROR(__xludf.DUMMYFUNCTION("""COMPUTED_VALUE"""),21862.0)</f>
        <v>21862</v>
      </c>
      <c r="AI7" s="55"/>
      <c r="AJ7" s="59">
        <f>IFERROR(__xludf.DUMMYFUNCTION("""COMPUTED_VALUE"""),169.0)</f>
        <v>169</v>
      </c>
      <c r="AK7" s="62">
        <f>IFERROR(__xludf.DUMMYFUNCTION("""COMPUTED_VALUE"""),0.773)</f>
        <v>0.773</v>
      </c>
      <c r="AL7" s="65">
        <f>IFERROR(__xludf.DUMMYFUNCTION("""COMPUTED_VALUE"""),0.553)</f>
        <v>0.553</v>
      </c>
      <c r="AM7" s="55" t="str">
        <f>IFERROR(__xludf.DUMMYFUNCTION("""COMPUTED_VALUE"""),"#5SPWc0g9tW4rkxz6hqVqsdpAxf6tlSmFdYj9EKZyoWmcxoTXduKDHlwl0i6YVc8=")</f>
        <v>#5SPWc0g9tW4rkxz6hqVqsdpAxf6tlSmFdYj9EKZyoWmcxoTXduKDHlwl0i6YVc8=</v>
      </c>
      <c r="AN7" s="55"/>
      <c r="AO7" s="58" t="str">
        <f>IFERROR(__xludf.DUMMYFUNCTION("""COMPUTED_VALUE"""),"https://us.brand.joinbrands.com/job/690600")</f>
        <v>https://us.brand.joinbrands.com/job/690600</v>
      </c>
      <c r="AP7" s="55" t="str">
        <f>IFERROR(__xludf.DUMMYFUNCTION("""COMPUTED_VALUE"""),"NA | MISFIT: Strong organic signal (score 52.0, 3.2% 6-sec) but only $93.54 spent — content was under-invested in ads.")</f>
        <v>NA | MISFIT: Strong organic signal (score 52.0, 3.2% 6-sec) but only $93.54 spent — content was under-invested in ads.</v>
      </c>
      <c r="AQ7" s="55" t="str">
        <f>IFERROR(__xludf.DUMMYFUNCTION("""COMPUTED_VALUE"""),"If you're over 40, this coffee upgrade fits real life. It blends wellness with your morning ritual. @target @VAHDAM USA #over40 #ashwagandhacoffee #morningroutine #wellness")</f>
        <v>If you're over 40, this coffee upgrade fits real life. It blends wellness with your morning ritual. @target @VAHDAM USA #over40 #ashwagandhacoffee #morningroutine #wellness</v>
      </c>
      <c r="AR7" s="55" t="str">
        <f>IFERROR(__xludf.DUMMYFUNCTION("""COMPUTED_VALUE"""),"If you're over 40 trying to lose weight and dealing with perimenopause, which you know what that all entails, you need your coffee to work as hard as ...")</f>
        <v>If you're over 40 trying to lose weight and dealing with perimenopause, which you know what that all entails, you need your coffee to work as hard as ...</v>
      </c>
      <c r="AS7" s="55" t="str">
        <f>IFERROR(__xludf.DUMMYFUNCTION("""COMPUTED_VALUE"""),"Age / Life Stage")</f>
        <v>Age / Life Stage</v>
      </c>
      <c r="AT7" s="55" t="str">
        <f>IFERROR(__xludf.DUMMYFUNCTION("""COMPUTED_VALUE"""),"• It's coffee but with healthy ingredients like altheanine, turmeric, lions mane and chaga, all in one delicious cup.
• I still want that morning coffee, but I also wanna feel more balanced and set myself up for a good day.
• I've been trying to simplify "&amp;"my wellness routine instead of taking a million supplements.
• So when I found the Dharm Ashwagandha coffee, I had to try it.")</f>
        <v>• It's coffee but with healthy ingredients like altheanine, turmeric, lions mane and chaga, all in one delicious cup.
• I still want that morning coffee, but I also wanna feel more balanced and set myself up for a good day.
• I've been trying to simplify my wellness routine instead of taking a million supplements.
• So when I found the Dharm Ashwagandha coffee, I had to try it.</v>
      </c>
      <c r="AU7" s="55" t="str">
        <f>IFERROR(__xludf.DUMMYFUNCTION("""COMPUTED_VALUE"""),"If you're looking for a smarter coffee upgrade, you can find it at target or target.com.")</f>
        <v>If you're looking for a smarter coffee upgrade, you can find it at target or target.com.</v>
      </c>
      <c r="AV7" s="55" t="str">
        <f>IFERROR(__xludf.DUMMYFUNCTION("""COMPUTED_VALUE"""),"If you're over 40 trying to lose weight and dealing with perimenopause, which you know what that all entails, you need your coffee to work as hard as you. I've been trying to simplify my wellness routine instead of taking a million supplements. So when I "&amp;"found the Dharm Ashwagandha coffee, I had to try it. It's coffee but with healthy ingredients like altheanine, turmeric, lions mane and chaga, all in one delicious cup. As a woman over 40, I want little upgrades that fit into my real life. I still want th"&amp;"at morning coffee, but I also wanna feel more balanced and set myself up for a good day. What surprised me most about this coffee is how delicious it actually tastes. I thought it was gonna be really earthy with all those wellness ingredients in it, but n"&amp;"o, it's really good. Hmm. So good. Maybe even better than my regular coffee. Gotta go. This is become one of those simple little swaps that fit perfectly into my morning routine. If you're looking for a smarter coffee upgrade, you can find it at target or"&amp;" target.com.")</f>
        <v>If you're over 40 trying to lose weight and dealing with perimenopause, which you know what that all entails, you need your coffee to work as hard as you. I've been trying to simplify my wellness routine instead of taking a million supplements. So when I found the Dharm Ashwagandha coffee, I had to try it. It's coffee but with healthy ingredients like altheanine, turmeric, lions mane and chaga, all in one delicious cup. As a woman over 40, I want little upgrades that fit into my real life. I still want that morning coffee, but I also wanna feel more balanced and set myself up for a good day. What surprised me most about this coffee is how delicious it actually tastes. I thought it was gonna be really earthy with all those wellness ingredients in it, but no, it's really good. Hmm. So good. Maybe even better than my regular coffee. Gotta go. This is become one of those simple little swaps that fit perfectly into my morning routine. If you're looking for a smarter coffee upgrade, you can find it at target or target.com.</v>
      </c>
      <c r="AW7" s="35"/>
      <c r="AX7" s="35"/>
      <c r="AY7" s="35"/>
      <c r="AZ7" s="35"/>
      <c r="BA7" s="36" t="s">
        <v>421</v>
      </c>
      <c r="BB7" s="35"/>
      <c r="BC7" s="35"/>
      <c r="BD7" s="35"/>
      <c r="BE7" s="35"/>
      <c r="BF7" s="35"/>
      <c r="BG7" s="35"/>
    </row>
    <row r="8">
      <c r="A8" s="55" t="str">
        <f>IFERROR(__xludf.DUMMYFUNCTION("""COMPUTED_VALUE"""),"Tiktok")</f>
        <v>Tiktok</v>
      </c>
      <c r="B8" s="56">
        <f>IFERROR(__xludf.DUMMYFUNCTION("""COMPUTED_VALUE"""),46189.0)</f>
        <v>46189</v>
      </c>
      <c r="C8" s="55" t="str">
        <f>IFERROR(__xludf.DUMMYFUNCTION("""COMPUTED_VALUE"""),"June")</f>
        <v>June</v>
      </c>
      <c r="D8" s="58" t="str">
        <f>IFERROR(__xludf.DUMMYFUNCTION("""COMPUTED_VALUE"""),"https://www.tiktok.com/@anna_phylactic__shock/video/7651994987902553357")</f>
        <v>https://www.tiktok.com/@anna_phylactic__shock/video/7651994987902553357</v>
      </c>
      <c r="E8" s="55" t="str">
        <f>IFERROR(__xludf.DUMMYFUNCTION("""COMPUTED_VALUE"""),"@anna_phylactic__shock")</f>
        <v>@anna_phylactic__shock</v>
      </c>
      <c r="F8" s="55" t="str">
        <f>IFERROR(__xludf.DUMMYFUNCTION("""COMPUTED_VALUE"""),"Anna Shearer")</f>
        <v>Anna Shearer</v>
      </c>
      <c r="G8" s="55" t="str">
        <f>IFERROR(__xludf.DUMMYFUNCTION("""COMPUTED_VALUE"""),"Target In-Store Discovery")</f>
        <v>Target In-Store Discovery</v>
      </c>
      <c r="H8" s="55">
        <f>IFERROR(__xludf.DUMMYFUNCTION("""COMPUTED_VALUE"""),48.0)</f>
        <v>48</v>
      </c>
      <c r="I8" s="55">
        <f>IFERROR(__xludf.DUMMYFUNCTION("""COMPUTED_VALUE"""),17.9)</f>
        <v>17.9</v>
      </c>
      <c r="J8" s="55" t="str">
        <f>IFERROR(__xludf.DUMMYFUNCTION("""COMPUTED_VALUE"""),"Consider")</f>
        <v>Consider</v>
      </c>
      <c r="K8" s="55" t="str">
        <f>IFERROR(__xludf.DUMMYFUNCTION("""COMPUTED_VALUE"""),"Yes")</f>
        <v>Yes</v>
      </c>
      <c r="L8" s="55" t="str">
        <f>IFERROR(__xludf.DUMMYFUNCTION("""COMPUTED_VALUE"""),"High ER 18.3% — quality signal, limited views yet")</f>
        <v>High ER 18.3% — quality signal, limited views yet</v>
      </c>
      <c r="M8" s="59" t="str">
        <f>IFERROR(__xludf.DUMMYFUNCTION("""COMPUTED_VALUE"""),"Algorithm spent low")</f>
        <v>Algorithm spent low</v>
      </c>
      <c r="N8" s="55"/>
      <c r="O8" s="55"/>
      <c r="P8" s="59">
        <f>IFERROR(__xludf.DUMMYFUNCTION("""COMPUTED_VALUE"""),142.0)</f>
        <v>142</v>
      </c>
      <c r="Q8" s="59">
        <f>IFERROR(__xludf.DUMMYFUNCTION("""COMPUTED_VALUE"""),26.0)</f>
        <v>26</v>
      </c>
      <c r="R8" s="59">
        <f>IFERROR(__xludf.DUMMYFUNCTION("""COMPUTED_VALUE"""),0.0)</f>
        <v>0</v>
      </c>
      <c r="S8" s="55"/>
      <c r="T8" s="68">
        <f>IFERROR(__xludf.DUMMYFUNCTION("""COMPUTED_VALUE"""),0.0)</f>
        <v>0</v>
      </c>
      <c r="U8" s="55"/>
      <c r="V8" s="62">
        <f>IFERROR(__xludf.DUMMYFUNCTION("""COMPUTED_VALUE"""),0.211)</f>
        <v>0.211</v>
      </c>
      <c r="W8" s="63">
        <f>IFERROR(__xludf.DUMMYFUNCTION("""COMPUTED_VALUE"""),52.58)</f>
        <v>52.58</v>
      </c>
      <c r="X8" s="59">
        <f>IFERROR(__xludf.DUMMYFUNCTION("""COMPUTED_VALUE"""),9466.0)</f>
        <v>9466</v>
      </c>
      <c r="Y8" s="59">
        <f>IFERROR(__xludf.DUMMYFUNCTION("""COMPUTED_VALUE"""),52.0)</f>
        <v>52</v>
      </c>
      <c r="Z8" s="59">
        <f>IFERROR(__xludf.DUMMYFUNCTION("""COMPUTED_VALUE"""),7.0)</f>
        <v>7</v>
      </c>
      <c r="AA8" s="59">
        <f>IFERROR(__xludf.DUMMYFUNCTION("""COMPUTED_VALUE"""),1.0)</f>
        <v>1</v>
      </c>
      <c r="AB8" s="64">
        <f>IFERROR(__xludf.DUMMYFUNCTION("""COMPUTED_VALUE"""),3.0)</f>
        <v>3</v>
      </c>
      <c r="AC8" s="62">
        <f>IFERROR(__xludf.DUMMYFUNCTION("""COMPUTED_VALUE"""),0.63)</f>
        <v>0.63</v>
      </c>
      <c r="AD8" s="62">
        <f>IFERROR(__xludf.DUMMYFUNCTION("""COMPUTED_VALUE"""),27.8)</f>
        <v>27.8</v>
      </c>
      <c r="AE8" s="62">
        <f>IFERROR(__xludf.DUMMYFUNCTION("""COMPUTED_VALUE"""),6.0)</f>
        <v>6</v>
      </c>
      <c r="AF8" s="55" t="str">
        <f>IFERROR(__xludf.DUMMYFUNCTION("""COMPUTED_VALUE"""),"Yes")</f>
        <v>Yes</v>
      </c>
      <c r="AG8" s="63">
        <f>IFERROR(__xludf.DUMMYFUNCTION("""COMPUTED_VALUE"""),44.52)</f>
        <v>44.52</v>
      </c>
      <c r="AH8" s="59">
        <f>IFERROR(__xludf.DUMMYFUNCTION("""COMPUTED_VALUE"""),5900.0)</f>
        <v>5900</v>
      </c>
      <c r="AI8" s="55"/>
      <c r="AJ8" s="59">
        <f>IFERROR(__xludf.DUMMYFUNCTION("""COMPUTED_VALUE"""),121.0)</f>
        <v>121</v>
      </c>
      <c r="AK8" s="62">
        <f>IFERROR(__xludf.DUMMYFUNCTION("""COMPUTED_VALUE"""),2.0508)</f>
        <v>2.0508</v>
      </c>
      <c r="AL8" s="65">
        <f>IFERROR(__xludf.DUMMYFUNCTION("""COMPUTED_VALUE"""),0.368)</f>
        <v>0.368</v>
      </c>
      <c r="AM8" s="55" t="str">
        <f>IFERROR(__xludf.DUMMYFUNCTION("""COMPUTED_VALUE"""),"#0AAAVObW+5WTV+gWegtPgTarIyTMzamC46NcxzazqpP0iAvv8Pnyg0SFucTcNTk=")</f>
        <v>#0AAAVObW+5WTV+gWegtPgTarIyTMzamC46NcxzazqpP0iAvv8Pnyg0SFucTcNTk=</v>
      </c>
      <c r="AN8" s="55"/>
      <c r="AO8" s="58" t="str">
        <f>IFERROR(__xludf.DUMMYFUNCTION("""COMPUTED_VALUE"""),"https://us.brand.joinbrands.com/job/686140")</f>
        <v>https://us.brand.joinbrands.com/job/686140</v>
      </c>
      <c r="AP8" s="55" t="str">
        <f>IFERROR(__xludf.DUMMYFUNCTION("""COMPUTED_VALUE"""),"NA | MISFIT: Strong organic signal (score 40.4, 6.0% 6-sec) but only $44.52 spent — content was under-invested in ads.")</f>
        <v>NA | MISFIT: Strong organic signal (score 40.4, 6.0% 6-sec) but only $44.52 spent — content was under-invested in ads.</v>
      </c>
      <c r="AQ8" s="55" t="str">
        <f>IFERROR(__xludf.DUMMYFUNCTION("""COMPUTED_VALUE"""),"Run to target to get your Vahdam ashwagandha coffee! @Vahdam India @target")</f>
        <v>Run to target to get your Vahdam ashwagandha coffee! @Vahdam India @target</v>
      </c>
      <c r="AR8" s="55" t="str">
        <f>IFERROR(__xludf.DUMMYFUNCTION("""COMPUTED_VALUE"""),"for a little summer treat.")</f>
        <v>for a little summer treat.</v>
      </c>
      <c r="AS8" s="55" t="str">
        <f>IFERROR(__xludf.DUMMYFUNCTION("""COMPUTED_VALUE"""),"General / Lifestyle")</f>
        <v>General / Lifestyle</v>
      </c>
      <c r="AT8" s="55" t="str">
        <f>IFERROR(__xludf.DUMMYFUNCTION("""COMPUTED_VALUE"""),"• And I keep hearing about how amazing ashwagandha is for cortisol levels, improve sleep, cognitive function, and so many other things, so I decided to give it a try.
• I found this ashwagandha coffee by bottom.
• If you've been thinking about trying ashw"&amp;"agandha coffee, this is your sign to do it.
• Head to your local target and pick up a pack of Vatam Ashwagandha coffee.")</f>
        <v>• And I keep hearing about how amazing ashwagandha is for cortisol levels, improve sleep, cognitive function, and so many other things, so I decided to give it a try.
• I found this ashwagandha coffee by bottom.
• If you've been thinking about trying ashwagandha coffee, this is your sign to do it.
• Head to your local target and pick up a pack of Vatam Ashwagandha coffee.</v>
      </c>
      <c r="AU8" s="55" t="str">
        <f>IFERROR(__xludf.DUMMYFUNCTION("""COMPUTED_VALUE"""),"Head to your local target and pick up a pack of Vatam Ashwagandha coffee.")</f>
        <v>Head to your local target and pick up a pack of Vatam Ashwagandha coffee.</v>
      </c>
      <c r="AV8" s="55" t="str">
        <f>IFERROR(__xludf.DUMMYFUNCTION("""COMPUTED_VALUE"""),"Let's go shopping for a little summer treat. The days are getting longer and hotter, and I needed a little pick me up, so I went on a hunt to find a really good iced coffee that I can make at home. I found this ashwagandha coffee by bottom. And I keep hea"&amp;"ring about how amazing ashwagandha is for cortisol levels, improve sleep, cognitive function, and so many other things, so I decided to give it a try. It even comes with a little measuring spoon so you know exactly how much to use. I made a simple oat mil"&amp;"k iced latte, and it was so good. I expected some kind of weird aftertaste, but it really just tasted exactly like coffee, which was a huge plus. If you've been thinking about trying ashwagandha coffee, this is your sign to do it. Head to your local targe"&amp;"t and pick up a pack of Vatam Ashwagandha coffee. It really is the perfect summer treat. Cheers.")</f>
        <v>Let's go shopping for a little summer treat. The days are getting longer and hotter, and I needed a little pick me up, so I went on a hunt to find a really good iced coffee that I can make at home. I found this ashwagandha coffee by bottom. And I keep hearing about how amazing ashwagandha is for cortisol levels, improve sleep, cognitive function, and so many other things, so I decided to give it a try. It even comes with a little measuring spoon so you know exactly how much to use. I made a simple oat milk iced latte, and it was so good. I expected some kind of weird aftertaste, but it really just tasted exactly like coffee, which was a huge plus. If you've been thinking about trying ashwagandha coffee, this is your sign to do it. Head to your local target and pick up a pack of Vatam Ashwagandha coffee. It really is the perfect summer treat. Cheers.</v>
      </c>
      <c r="AW8" s="35"/>
      <c r="AX8" s="35"/>
      <c r="AY8" s="35"/>
      <c r="AZ8" s="35"/>
      <c r="BA8" s="36" t="s">
        <v>427</v>
      </c>
      <c r="BB8" s="35"/>
      <c r="BC8" s="35"/>
      <c r="BD8" s="35"/>
      <c r="BE8" s="35"/>
      <c r="BF8" s="35"/>
      <c r="BG8" s="35"/>
    </row>
    <row r="9">
      <c r="A9" s="55" t="str">
        <f>IFERROR(__xludf.DUMMYFUNCTION("""COMPUTED_VALUE"""),"Tiktok")</f>
        <v>Tiktok</v>
      </c>
      <c r="B9" s="56">
        <f>IFERROR(__xludf.DUMMYFUNCTION("""COMPUTED_VALUE"""),46193.0)</f>
        <v>46193</v>
      </c>
      <c r="C9" s="55" t="str">
        <f>IFERROR(__xludf.DUMMYFUNCTION("""COMPUTED_VALUE"""),"June")</f>
        <v>June</v>
      </c>
      <c r="D9" s="58" t="str">
        <f>IFERROR(__xludf.DUMMYFUNCTION("""COMPUTED_VALUE"""),"https://www.tiktok.com/@ali540294/video/7653327312104082718")</f>
        <v>https://www.tiktok.com/@ali540294/video/7653327312104082718</v>
      </c>
      <c r="E9" s="55" t="str">
        <f>IFERROR(__xludf.DUMMYFUNCTION("""COMPUTED_VALUE"""),"@ali540294")</f>
        <v>@ali540294</v>
      </c>
      <c r="F9" s="55" t="str">
        <f>IFERROR(__xludf.DUMMYFUNCTION("""COMPUTED_VALUE"""),"Aliona Kunashka")</f>
        <v>Aliona Kunashka</v>
      </c>
      <c r="G9" s="55" t="str">
        <f>IFERROR(__xludf.DUMMYFUNCTION("""COMPUTED_VALUE"""),"Target Shelf Showdown")</f>
        <v>Target Shelf Showdown</v>
      </c>
      <c r="H9" s="55">
        <f>IFERROR(__xludf.DUMMYFUNCTION("""COMPUTED_VALUE"""),75.0)</f>
        <v>75</v>
      </c>
      <c r="I9" s="55">
        <f>IFERROR(__xludf.DUMMYFUNCTION("""COMPUTED_VALUE"""),26.3)</f>
        <v>26.3</v>
      </c>
      <c r="J9" s="55" t="str">
        <f>IFERROR(__xludf.DUMMYFUNCTION("""COMPUTED_VALUE"""),"Consider")</f>
        <v>Consider</v>
      </c>
      <c r="K9" s="55" t="str">
        <f>IFERROR(__xludf.DUMMYFUNCTION("""COMPUTED_VALUE"""),"Yes")</f>
        <v>Yes</v>
      </c>
      <c r="L9" s="55" t="str">
        <f>IFERROR(__xludf.DUMMYFUNCTION("""COMPUTED_VALUE"""),"Score 24.5 nearing 30 threshold")</f>
        <v>Score 24.5 nearing 30 threshold</v>
      </c>
      <c r="M9" s="59" t="str">
        <f>IFERROR(__xludf.DUMMYFUNCTION("""COMPUTED_VALUE"""),"Algorithm spent low")</f>
        <v>Algorithm spent low</v>
      </c>
      <c r="N9" s="55"/>
      <c r="O9" s="55"/>
      <c r="P9" s="59">
        <f>IFERROR(__xludf.DUMMYFUNCTION("""COMPUTED_VALUE"""),75.0)</f>
        <v>75</v>
      </c>
      <c r="Q9" s="59">
        <f>IFERROR(__xludf.DUMMYFUNCTION("""COMPUTED_VALUE"""),4.0)</f>
        <v>4</v>
      </c>
      <c r="R9" s="59">
        <f>IFERROR(__xludf.DUMMYFUNCTION("""COMPUTED_VALUE"""),1.0)</f>
        <v>1</v>
      </c>
      <c r="S9" s="55"/>
      <c r="T9" s="68">
        <f>IFERROR(__xludf.DUMMYFUNCTION("""COMPUTED_VALUE"""),6.2)</f>
        <v>6.2</v>
      </c>
      <c r="U9" s="55"/>
      <c r="V9" s="62">
        <f>IFERROR(__xludf.DUMMYFUNCTION("""COMPUTED_VALUE"""),0.0666)</f>
        <v>0.0666</v>
      </c>
      <c r="W9" s="63">
        <f>IFERROR(__xludf.DUMMYFUNCTION("""COMPUTED_VALUE"""),67.58)</f>
        <v>67.58</v>
      </c>
      <c r="X9" s="59">
        <f>IFERROR(__xludf.DUMMYFUNCTION("""COMPUTED_VALUE"""),6843.0)</f>
        <v>6843</v>
      </c>
      <c r="Y9" s="59">
        <f>IFERROR(__xludf.DUMMYFUNCTION("""COMPUTED_VALUE"""),9.0)</f>
        <v>9</v>
      </c>
      <c r="Z9" s="59">
        <f>IFERROR(__xludf.DUMMYFUNCTION("""COMPUTED_VALUE"""),1.0)</f>
        <v>1</v>
      </c>
      <c r="AA9" s="59">
        <f>IFERROR(__xludf.DUMMYFUNCTION("""COMPUTED_VALUE"""),1.0)</f>
        <v>1</v>
      </c>
      <c r="AB9" s="64">
        <f>IFERROR(__xludf.DUMMYFUNCTION("""COMPUTED_VALUE"""),2.0)</f>
        <v>2</v>
      </c>
      <c r="AC9" s="62">
        <f>IFERROR(__xludf.DUMMYFUNCTION("""COMPUTED_VALUE"""),0.16)</f>
        <v>0.16</v>
      </c>
      <c r="AD9" s="62">
        <f>IFERROR(__xludf.DUMMYFUNCTION("""COMPUTED_VALUE"""),14.6)</f>
        <v>14.6</v>
      </c>
      <c r="AE9" s="62">
        <f>IFERROR(__xludf.DUMMYFUNCTION("""COMPUTED_VALUE"""),3.6)</f>
        <v>3.6</v>
      </c>
      <c r="AF9" s="55" t="str">
        <f>IFERROR(__xludf.DUMMYFUNCTION("""COMPUTED_VALUE"""),"Yes")</f>
        <v>Yes</v>
      </c>
      <c r="AG9" s="63">
        <f>IFERROR(__xludf.DUMMYFUNCTION("""COMPUTED_VALUE"""),14.22)</f>
        <v>14.22</v>
      </c>
      <c r="AH9" s="59">
        <f>IFERROR(__xludf.DUMMYFUNCTION("""COMPUTED_VALUE"""),4071.0)</f>
        <v>4071</v>
      </c>
      <c r="AI9" s="55"/>
      <c r="AJ9" s="59">
        <f>IFERROR(__xludf.DUMMYFUNCTION("""COMPUTED_VALUE"""),26.0)</f>
        <v>26</v>
      </c>
      <c r="AK9" s="62">
        <f>IFERROR(__xludf.DUMMYFUNCTION("""COMPUTED_VALUE"""),0.6387)</f>
        <v>0.6387</v>
      </c>
      <c r="AL9" s="65">
        <f>IFERROR(__xludf.DUMMYFUNCTION("""COMPUTED_VALUE"""),0.547)</f>
        <v>0.547</v>
      </c>
      <c r="AM9" s="55" t="str">
        <f>IFERROR(__xludf.DUMMYFUNCTION("""COMPUTED_VALUE"""),"#Et/zr0Zdvfq+9WO9wx9fT7RS+vI2hVe1ndiykz4Rqs3dhQjlWjtOy8tIpDgre6Y=")</f>
        <v>#Et/zr0Zdvfq+9WO9wx9fT7RS+vI2hVe1ndiykz4Rqs3dhQjlWjtOy8tIpDgre6Y=</v>
      </c>
      <c r="AN9" s="55"/>
      <c r="AO9" s="58" t="str">
        <f>IFERROR(__xludf.DUMMYFUNCTION("""COMPUTED_VALUE"""),"https://us.brand.joinbrands.com/job/687396")</f>
        <v>https://us.brand.joinbrands.com/job/687396</v>
      </c>
      <c r="AP9" s="55" t="str">
        <f>IFERROR(__xludf.DUMMYFUNCTION("""COMPUTED_VALUE"""),"NA | MISFIT: Strong organic signal (score 31.9, 6.2% 6-sec) but only $14.22 spent — content was under-invested in ads.")</f>
        <v>NA | MISFIT: Strong organic signal (score 31.9, 6.2% 6-sec) but only $14.22 spent — content was under-invested in ads.</v>
      </c>
      <c r="AQ9" s="55" t="str">
        <f>IFERROR(__xludf.DUMMYFUNCTION("""COMPUTED_VALUE"""),"Your next @VAHDAM USA morning cup can be found at @target now â˜•ï¸ #vahdam #coffee #morningcup #targetfinds #cortisol")</f>
        <v>Your next @VAHDAM USA morning cup can be found at @target now â˜•ï¸_x008f_ #vahdam #coffee #morningcup #targetfinds #cortisol</v>
      </c>
      <c r="AR9" s="55" t="str">
        <f>IFERROR(__xludf.DUMMYFUNCTION("""COMPUTED_VALUE"""),"Mushroom coffee had its moment.")</f>
        <v>Mushroom coffee had its moment.</v>
      </c>
      <c r="AS9" s="55" t="str">
        <f>IFERROR(__xludf.DUMMYFUNCTION("""COMPUTED_VALUE"""),"General / Lifestyle")</f>
        <v>General / Lifestyle</v>
      </c>
      <c r="AT9" s="55" t="str">
        <f>IFERROR(__xludf.DUMMYFUNCTION("""COMPUTED_VALUE"""),"• This is ashwagandha coffee, and this is actually the only coffee on target shelves that addresses your cortisol level.
• It is hundred percent Arabica coffee with KSM66 Ashwagandha, which is proven in clinical trials to reduce your cortisol by 28%.
• Pl"&amp;"us it has 200 mg of L-Theanine and it's got 100 mg of curcuminoids from turmeric and lion's mane.
• Sure, mushrooms support focus, but they don't touch your cortisol.")</f>
        <v>• This is ashwagandha coffee, and this is actually the only coffee on target shelves that addresses your cortisol level.
• It is hundred percent Arabica coffee with KSM66 Ashwagandha, which is proven in clinical trials to reduce your cortisol by 28%.
• Plus it has 200 mg of L-Theanine and it's got 100 mg of curcuminoids from turmeric and lion's mane.
• Sure, mushrooms support focus, but they don't touch your cortisol.</v>
      </c>
      <c r="AU9" s="55" t="str">
        <f>IFERROR(__xludf.DUMMYFUNCTION("""COMPUTED_VALUE"""),"And now it has launched in target stores nationwide and online.")</f>
        <v>And now it has launched in target stores nationwide and online.</v>
      </c>
      <c r="AV9" s="55" t="str">
        <f>IFERROR(__xludf.DUMMYFUNCTION("""COMPUTED_VALUE"""),"Mushroom coffee had its moment. It proved something, proved that people want more from their morning cup. Sure, mushrooms support focus, but they don't touch your cortisol. And chronically elevated cortisol is actually the thing that's wrecking most peopl"&amp;"e's mornings. Waking up tired, brain fog, bloating, aches, pains and the list goes on. This is ashwagandha coffee, and this is actually the only coffee on target shelves that addresses your cortisol level. It is hundred percent Arabica coffee with KSM66 A"&amp;"shwagandha, which is proven in clinical trials to reduce your cortisol by 28%. 2 cups delivers your daily dose. Plus it has 200 mg of L-Theanine and it's got 100 mg of curcuminoids from turmeric and lion's mane. Mushroom coffee was the warm up. Ashwagandh"&amp;"a is what's replacing it. This was the number one selling functional coffee in the U K. And now it has launched in target stores nationwide and online. So go do yourself a favour and get some of this.")</f>
        <v>Mushroom coffee had its moment. It proved something, proved that people want more from their morning cup. Sure, mushrooms support focus, but they don't touch your cortisol. And chronically elevated cortisol is actually the thing that's wrecking most people's mornings. Waking up tired, brain fog, bloating, aches, pains and the list goes on. This is ashwagandha coffee, and this is actually the only coffee on target shelves that addresses your cortisol level. It is hundred percent Arabica coffee with KSM66 Ashwagandha, which is proven in clinical trials to reduce your cortisol by 28%. 2 cups delivers your daily dose. Plus it has 200 mg of L-Theanine and it's got 100 mg of curcuminoids from turmeric and lion's mane. Mushroom coffee was the warm up. Ashwagandha is what's replacing it. This was the number one selling functional coffee in the U K. And now it has launched in target stores nationwide and online. So go do yourself a favour and get some of this.</v>
      </c>
      <c r="AW9" s="35"/>
      <c r="AX9" s="35"/>
      <c r="AY9" s="35"/>
      <c r="AZ9" s="35"/>
      <c r="BA9" s="36" t="s">
        <v>432</v>
      </c>
      <c r="BB9" s="35"/>
      <c r="BC9" s="35"/>
      <c r="BD9" s="35"/>
      <c r="BE9" s="35"/>
      <c r="BF9" s="35"/>
      <c r="BG9" s="35"/>
    </row>
    <row r="10">
      <c r="A10" s="55" t="str">
        <f>IFERROR(__xludf.DUMMYFUNCTION("""COMPUTED_VALUE"""),"Tiktok")</f>
        <v>Tiktok</v>
      </c>
      <c r="B10" s="56">
        <f>IFERROR(__xludf.DUMMYFUNCTION("""COMPUTED_VALUE"""),46191.0)</f>
        <v>46191</v>
      </c>
      <c r="C10" s="55" t="str">
        <f>IFERROR(__xludf.DUMMYFUNCTION("""COMPUTED_VALUE"""),"June")</f>
        <v>June</v>
      </c>
      <c r="D10" s="58" t="str">
        <f>IFERROR(__xludf.DUMMYFUNCTION("""COMPUTED_VALUE"""),"https://www.tiktok.com/@fernandalouise.ugc/video/7652707194248383774")</f>
        <v>https://www.tiktok.com/@fernandalouise.ugc/video/7652707194248383774</v>
      </c>
      <c r="E10" s="55" t="str">
        <f>IFERROR(__xludf.DUMMYFUNCTION("""COMPUTED_VALUE"""),"@fernandalouise.ugc")</f>
        <v>@fernandalouise.ugc</v>
      </c>
      <c r="F10" s="55" t="str">
        <f>IFERROR(__xludf.DUMMYFUNCTION("""COMPUTED_VALUE"""),"Fernanda Boone")</f>
        <v>Fernanda Boone</v>
      </c>
      <c r="G10" s="55" t="str">
        <f>IFERROR(__xludf.DUMMYFUNCTION("""COMPUTED_VALUE"""),"Target Shelf Showdown")</f>
        <v>Target Shelf Showdown</v>
      </c>
      <c r="H10" s="55">
        <f>IFERROR(__xludf.DUMMYFUNCTION("""COMPUTED_VALUE"""),54.0)</f>
        <v>54</v>
      </c>
      <c r="I10" s="55">
        <f>IFERROR(__xludf.DUMMYFUNCTION("""COMPUTED_VALUE"""),15.1)</f>
        <v>15.1</v>
      </c>
      <c r="J10" s="55" t="str">
        <f>IFERROR(__xludf.DUMMYFUNCTION("""COMPUTED_VALUE"""),"Consider")</f>
        <v>Consider</v>
      </c>
      <c r="K10" s="55" t="str">
        <f>IFERROR(__xludf.DUMMYFUNCTION("""COMPUTED_VALUE"""),"Yes")</f>
        <v>Yes</v>
      </c>
      <c r="L10" s="55" t="str">
        <f>IFERROR(__xludf.DUMMYFUNCTION("""COMPUTED_VALUE"""),"High ER 9.0% — quality signal, limited views yet")</f>
        <v>High ER 9.0% — quality signal, limited views yet</v>
      </c>
      <c r="M10" s="59" t="str">
        <f>IFERROR(__xludf.DUMMYFUNCTION("""COMPUTED_VALUE"""),"Algorithm spent low")</f>
        <v>Algorithm spent low</v>
      </c>
      <c r="N10" s="55"/>
      <c r="O10" s="55"/>
      <c r="P10" s="59">
        <f>IFERROR(__xludf.DUMMYFUNCTION("""COMPUTED_VALUE"""),78.0)</f>
        <v>78</v>
      </c>
      <c r="Q10" s="59">
        <f>IFERROR(__xludf.DUMMYFUNCTION("""COMPUTED_VALUE"""),4.0)</f>
        <v>4</v>
      </c>
      <c r="R10" s="59">
        <f>IFERROR(__xludf.DUMMYFUNCTION("""COMPUTED_VALUE"""),3.0)</f>
        <v>3</v>
      </c>
      <c r="S10" s="55"/>
      <c r="T10" s="68">
        <f>IFERROR(__xludf.DUMMYFUNCTION("""COMPUTED_VALUE"""),0.0)</f>
        <v>0</v>
      </c>
      <c r="U10" s="55"/>
      <c r="V10" s="62">
        <f>IFERROR(__xludf.DUMMYFUNCTION("""COMPUTED_VALUE"""),0.115)</f>
        <v>0.115</v>
      </c>
      <c r="W10" s="63">
        <f>IFERROR(__xludf.DUMMYFUNCTION("""COMPUTED_VALUE"""),72.99)</f>
        <v>72.99</v>
      </c>
      <c r="X10" s="59">
        <f>IFERROR(__xludf.DUMMYFUNCTION("""COMPUTED_VALUE"""),6609.0)</f>
        <v>6609</v>
      </c>
      <c r="Y10" s="59">
        <f>IFERROR(__xludf.DUMMYFUNCTION("""COMPUTED_VALUE"""),11.0)</f>
        <v>11</v>
      </c>
      <c r="Z10" s="59">
        <f>IFERROR(__xludf.DUMMYFUNCTION("""COMPUTED_VALUE"""),3.0)</f>
        <v>3</v>
      </c>
      <c r="AA10" s="59">
        <f>IFERROR(__xludf.DUMMYFUNCTION("""COMPUTED_VALUE"""),2.0)</f>
        <v>2</v>
      </c>
      <c r="AB10" s="64">
        <f>IFERROR(__xludf.DUMMYFUNCTION("""COMPUTED_VALUE"""),2.0)</f>
        <v>2</v>
      </c>
      <c r="AC10" s="62">
        <f>IFERROR(__xludf.DUMMYFUNCTION("""COMPUTED_VALUE"""),0.24)</f>
        <v>0.24</v>
      </c>
      <c r="AD10" s="62">
        <f>IFERROR(__xludf.DUMMYFUNCTION("""COMPUTED_VALUE"""),11.4)</f>
        <v>11.4</v>
      </c>
      <c r="AE10" s="62">
        <f>IFERROR(__xludf.DUMMYFUNCTION("""COMPUTED_VALUE"""),3.4)</f>
        <v>3.4</v>
      </c>
      <c r="AF10" s="55" t="str">
        <f>IFERROR(__xludf.DUMMYFUNCTION("""COMPUTED_VALUE"""),"Yes")</f>
        <v>Yes</v>
      </c>
      <c r="AG10" s="63">
        <f>IFERROR(__xludf.DUMMYFUNCTION("""COMPUTED_VALUE"""),8.42)</f>
        <v>8.42</v>
      </c>
      <c r="AH10" s="59">
        <f>IFERROR(__xludf.DUMMYFUNCTION("""COMPUTED_VALUE"""),3478.0)</f>
        <v>3478</v>
      </c>
      <c r="AI10" s="55"/>
      <c r="AJ10" s="59">
        <f>IFERROR(__xludf.DUMMYFUNCTION("""COMPUTED_VALUE"""),18.0)</f>
        <v>18</v>
      </c>
      <c r="AK10" s="62">
        <f>IFERROR(__xludf.DUMMYFUNCTION("""COMPUTED_VALUE"""),0.5175)</f>
        <v>0.5175</v>
      </c>
      <c r="AL10" s="65">
        <f>IFERROR(__xludf.DUMMYFUNCTION("""COMPUTED_VALUE"""),0.468)</f>
        <v>0.468</v>
      </c>
      <c r="AM10" s="55" t="str">
        <f>IFERROR(__xludf.DUMMYFUNCTION("""COMPUTED_VALUE"""),"#NDT0MxOCm/BjYzXw4ey1Fo5f5WsL632a/SMwpXbx3Lgc55bbi3+3vPmxe/CFMAk=")</f>
        <v>#NDT0MxOCm/BjYzXw4ey1Fo5f5WsL632a/SMwpXbx3Lgc55bbi3+3vPmxe/CFMAk=</v>
      </c>
      <c r="AN10" s="55"/>
      <c r="AO10" s="58" t="str">
        <f>IFERROR(__xludf.DUMMYFUNCTION("""COMPUTED_VALUE"""),"https://us.brand.joinbrands.com/job/687397")</f>
        <v>https://us.brand.joinbrands.com/job/687397</v>
      </c>
      <c r="AP10" s="55" t="str">
        <f>IFERROR(__xludf.DUMMYFUNCTION("""COMPUTED_VALUE"""),"NA | MISFIT: Strong organic signal (score 30.7, 3.4% 6-sec) but only $8.42 spent — content was under-invested in ads.")</f>
        <v>NA | MISFIT: Strong organic signal (score 30.7, 3.4% 6-sec) but only $8.42 spent — content was under-invested in ads.</v>
      </c>
      <c r="AQ10" s="55" t="str">
        <f>IFERROR(__xludf.DUMMYFUNCTION("""COMPUTED_VALUE"""),"Went on a @target run and came back with a new coffee obsession â˜•ðŸ›’ The @VAHDAM USA functional coffee has ashwagandha in it and honestlyâ€¦ itâ€™s not just another mushroom coffee situation Love this...")</f>
        <v>Went on a @target run and came back with a new coffee obsession â˜•ðŸ›’ The @VAHDAM USA functional coffee has ashwagandha in it and honestlyâ€¦ itâ€™s not just another mushroom coffee situation Love this...</v>
      </c>
      <c r="AR10" s="55" t="str">
        <f>IFERROR(__xludf.DUMMYFUNCTION("""COMPUTED_VALUE"""),"I tried every functional coffee available at target.")</f>
        <v>I tried every functional coffee available at target.</v>
      </c>
      <c r="AS10" s="55" t="str">
        <f>IFERROR(__xludf.DUMMYFUNCTION("""COMPUTED_VALUE"""),"Personal Discovery")</f>
        <v>Personal Discovery</v>
      </c>
      <c r="AT10" s="55" t="str">
        <f>IFERROR(__xludf.DUMMYFUNCTION("""COMPUTED_VALUE"""),"• Mushroom coffee, lionâ€™s mane, chaga, reishi, no ashwagandha.
• Okay, So I literally walked the target coffee aisle and bought one of everything labelled functional.
• All of these are mushroom coffee except one of them.
• This is the only one that is "&amp;"more than just mushrooms blended with coffee.")</f>
        <v>• Mushroom coffee, lionâ€™s mane, chaga, reishi, no ashwagandha.
• Okay, So I literally walked the target coffee aisle and bought one of everything labelled functional.
• All of these are mushroom coffee except one of them.
• This is the only one that is more than just mushrooms blended with coffee.</v>
      </c>
      <c r="AU10" s="55" t="str">
        <f>IFERROR(__xludf.DUMMYFUNCTION("""COMPUTED_VALUE"""),"Run to your local target or get it at target.com and come back to thank me later.")</f>
        <v>Run to your local target or get it at target.com and come back to thank me later.</v>
      </c>
      <c r="AV10" s="55" t="str">
        <f>IFERROR(__xludf.DUMMYFUNCTION("""COMPUTED_VALUE"""),"I tried every functional coffee available at target. So you don't have to! spoil alert! Only one of them actually does anything. Okay, So I literally walked the target coffee aisle and bought one of everything labelled functional. Here's the breakdown. Mu"&amp;"shroom coffee, lionâ€™s mane, chaga, reishi, no ashwagandha. Anywhere on this label. This one right here is a different brand, but it's the same story. I went through every single one of these, and this is what I found. All of these are mushroom coffee ex"&amp;"cept one of them. This one right here. Vahdam coffee. This is the only one that is more than just mushrooms blended with coffee. It has 300 mg of K S M66 washoganda per serving. That is a clinically studied form shown to reduce cortisol by 28%. If you nee"&amp;"d coffee that actually does something, then this is the one. Run to your local target or get it at target.com and come back to thank me later.")</f>
        <v>I tried every functional coffee available at target. So you don't have to! spoil alert! Only one of them actually does anything. Okay, So I literally walked the target coffee aisle and bought one of everything labelled functional. Here's the breakdown. Mushroom coffee, lionâ€™s mane, chaga, reishi, no ashwagandha. Anywhere on this label. This one right here is a different brand, but it's the same story. I went through every single one of these, and this is what I found. All of these are mushroom coffee except one of them. This one right here. Vahdam coffee. This is the only one that is more than just mushrooms blended with coffee. It has 300 mg of K S M66 washoganda per serving. That is a clinically studied form shown to reduce cortisol by 28%. If you need coffee that actually does something, then this is the one. Run to your local target or get it at target.com and come back to thank me later.</v>
      </c>
      <c r="AW10" s="35"/>
      <c r="AX10" s="35"/>
      <c r="AY10" s="35"/>
      <c r="AZ10" s="35"/>
      <c r="BA10" s="36" t="s">
        <v>438</v>
      </c>
      <c r="BB10" s="35"/>
      <c r="BC10" s="35"/>
      <c r="BD10" s="35"/>
      <c r="BE10" s="35"/>
      <c r="BF10" s="35"/>
      <c r="BG10" s="35"/>
    </row>
    <row r="11">
      <c r="A11" s="55" t="str">
        <f>IFERROR(__xludf.DUMMYFUNCTION("""COMPUTED_VALUE"""),"Tiktok")</f>
        <v>Tiktok</v>
      </c>
      <c r="B11" s="56">
        <f>IFERROR(__xludf.DUMMYFUNCTION("""COMPUTED_VALUE"""),46191.0)</f>
        <v>46191</v>
      </c>
      <c r="C11" s="55" t="str">
        <f>IFERROR(__xludf.DUMMYFUNCTION("""COMPUTED_VALUE"""),"June")</f>
        <v>June</v>
      </c>
      <c r="D11" s="58" t="str">
        <f>IFERROR(__xludf.DUMMYFUNCTION("""COMPUTED_VALUE"""),"https://www.tiktok.com/@cece_marie503/video/7652774509883231502")</f>
        <v>https://www.tiktok.com/@cece_marie503/video/7652774509883231502</v>
      </c>
      <c r="E11" s="55" t="str">
        <f>IFERROR(__xludf.DUMMYFUNCTION("""COMPUTED_VALUE"""),"@cece_marie503")</f>
        <v>@cece_marie503</v>
      </c>
      <c r="F11" s="55" t="str">
        <f>IFERROR(__xludf.DUMMYFUNCTION("""COMPUTED_VALUE"""),"Crystal Campbell")</f>
        <v>Crystal Campbell</v>
      </c>
      <c r="G11" s="55" t="str">
        <f>IFERROR(__xludf.DUMMYFUNCTION("""COMPUTED_VALUE"""),"Cortisol")</f>
        <v>Cortisol</v>
      </c>
      <c r="H11" s="55">
        <f>IFERROR(__xludf.DUMMYFUNCTION("""COMPUTED_VALUE"""),83.0)</f>
        <v>83</v>
      </c>
      <c r="I11" s="55">
        <f>IFERROR(__xludf.DUMMYFUNCTION("""COMPUTED_VALUE"""),6.0)</f>
        <v>6</v>
      </c>
      <c r="J11" s="55" t="str">
        <f>IFERROR(__xludf.DUMMYFUNCTION("""COMPUTED_VALUE"""),"Consider")</f>
        <v>Consider</v>
      </c>
      <c r="K11" s="55" t="str">
        <f>IFERROR(__xludf.DUMMYFUNCTION("""COMPUTED_VALUE"""),"Yes")</f>
        <v>Yes</v>
      </c>
      <c r="L11" s="55" t="str">
        <f>IFERROR(__xludf.DUMMYFUNCTION("""COMPUTED_VALUE"""),"High ER 16.1% — quality signal, limited views yet")</f>
        <v>High ER 16.1% — quality signal, limited views yet</v>
      </c>
      <c r="M11" s="59" t="str">
        <f>IFERROR(__xludf.DUMMYFUNCTION("""COMPUTED_VALUE"""),"Logic Fit ✓")</f>
        <v>Logic Fit ✓</v>
      </c>
      <c r="N11" s="55"/>
      <c r="O11" s="55"/>
      <c r="P11" s="59">
        <f>IFERROR(__xludf.DUMMYFUNCTION("""COMPUTED_VALUE"""),31.0)</f>
        <v>31</v>
      </c>
      <c r="Q11" s="59">
        <f>IFERROR(__xludf.DUMMYFUNCTION("""COMPUTED_VALUE"""),3.0)</f>
        <v>3</v>
      </c>
      <c r="R11" s="59">
        <f>IFERROR(__xludf.DUMMYFUNCTION("""COMPUTED_VALUE"""),2.0)</f>
        <v>2</v>
      </c>
      <c r="S11" s="55"/>
      <c r="T11" s="68">
        <f>IFERROR(__xludf.DUMMYFUNCTION("""COMPUTED_VALUE"""),0.0)</f>
        <v>0</v>
      </c>
      <c r="U11" s="55"/>
      <c r="V11" s="62">
        <f>IFERROR(__xludf.DUMMYFUNCTION("""COMPUTED_VALUE"""),0.1612)</f>
        <v>0.1612</v>
      </c>
      <c r="W11" s="63">
        <f>IFERROR(__xludf.DUMMYFUNCTION("""COMPUTED_VALUE"""),117.58)</f>
        <v>117.58</v>
      </c>
      <c r="X11" s="59">
        <f>IFERROR(__xludf.DUMMYFUNCTION("""COMPUTED_VALUE"""),1169.0)</f>
        <v>1169</v>
      </c>
      <c r="Y11" s="59">
        <f>IFERROR(__xludf.DUMMYFUNCTION("""COMPUTED_VALUE"""),9.0)</f>
        <v>9</v>
      </c>
      <c r="Z11" s="59">
        <f>IFERROR(__xludf.DUMMYFUNCTION("""COMPUTED_VALUE"""),2.0)</f>
        <v>2</v>
      </c>
      <c r="AA11" s="59">
        <f>IFERROR(__xludf.DUMMYFUNCTION("""COMPUTED_VALUE"""),0.0)</f>
        <v>0</v>
      </c>
      <c r="AB11" s="64">
        <f>IFERROR(__xludf.DUMMYFUNCTION("""COMPUTED_VALUE"""),2.0)</f>
        <v>2</v>
      </c>
      <c r="AC11" s="62">
        <f>IFERROR(__xludf.DUMMYFUNCTION("""COMPUTED_VALUE"""),0.94)</f>
        <v>0.94</v>
      </c>
      <c r="AD11" s="62">
        <f>IFERROR(__xludf.DUMMYFUNCTION("""COMPUTED_VALUE"""),15.1)</f>
        <v>15.1</v>
      </c>
      <c r="AE11" s="62">
        <f>IFERROR(__xludf.DUMMYFUNCTION("""COMPUTED_VALUE"""),4.6)</f>
        <v>4.6</v>
      </c>
      <c r="AF11" s="55" t="str">
        <f>IFERROR(__xludf.DUMMYFUNCTION("""COMPUTED_VALUE"""),"Yes")</f>
        <v>Yes</v>
      </c>
      <c r="AG11" s="63">
        <f>IFERROR(__xludf.DUMMYFUNCTION("""COMPUTED_VALUE"""),5.82)</f>
        <v>5.82</v>
      </c>
      <c r="AH11" s="59">
        <f>IFERROR(__xludf.DUMMYFUNCTION("""COMPUTED_VALUE"""),943.0)</f>
        <v>943</v>
      </c>
      <c r="AI11" s="55"/>
      <c r="AJ11" s="59">
        <f>IFERROR(__xludf.DUMMYFUNCTION("""COMPUTED_VALUE"""),14.0)</f>
        <v>14</v>
      </c>
      <c r="AK11" s="62">
        <f>IFERROR(__xludf.DUMMYFUNCTION("""COMPUTED_VALUE"""),1.4846)</f>
        <v>1.4846</v>
      </c>
      <c r="AL11" s="65">
        <f>IFERROR(__xludf.DUMMYFUNCTION("""COMPUTED_VALUE"""),0.416)</f>
        <v>0.416</v>
      </c>
      <c r="AM11" s="55" t="str">
        <f>IFERROR(__xludf.DUMMYFUNCTION("""COMPUTED_VALUE"""),"#jSSL8wSYSSzTTwjmD73ohKXCPDWxHTwr3u+yGSdt//TI+hM8EDXuhZARpmhoqR8=")</f>
        <v>#jSSL8wSYSSzTTwjmD73ohKXCPDWxHTwr3u+yGSdt//TI+hM8EDXuhZARpmhoqR8=</v>
      </c>
      <c r="AN11" s="55"/>
      <c r="AO11" s="58" t="str">
        <f>IFERROR(__xludf.DUMMYFUNCTION("""COMPUTED_VALUE"""),"https://us.brand.joinbrands.com/job/689995")</f>
        <v>https://us.brand.joinbrands.com/job/689995</v>
      </c>
      <c r="AP11" s="55" t="str">
        <f>IFERROR(__xludf.DUMMYFUNCTION("""COMPUTED_VALUE"""),"Good | MISFIT: Strong organic signal (score 20.5, 4.6% 6-sec) but only $5.82 spent — content was under-invested in ads.")</f>
        <v>Good | MISFIT: Strong organic signal (score 20.5, 4.6% 6-sec) but only $5.82 spent — content was under-invested in ads.</v>
      </c>
      <c r="AQ11" s="55" t="str">
        <f>IFERROR(__xludf.DUMMYFUNCTION("""COMPUTED_VALUE"""),"Feeling bloated or struggling to lose weight? High cortisol might be an issue. Switching your morning coffee to VAHDAM can help lower cortisol, and it really does taste like delicious regular...")</f>
        <v>Feeling bloated or struggling to lose weight? High cortisol might be an issue. Switching your morning coffee to VAHDAM can help lower cortisol, and it really does taste like delicious regular...</v>
      </c>
      <c r="AR11" s="55" t="str">
        <f>IFERROR(__xludf.DUMMYFUNCTION("""COMPUTED_VALUE"""),"Your morning coffee might be the reason you are feeling bloated or struggling to lose weight.")</f>
        <v>Your morning coffee might be the reason you are feeling bloated or struggling to lose weight.</v>
      </c>
      <c r="AS11" s="55" t="str">
        <f>IFERROR(__xludf.DUMMYFUNCTION("""COMPUTED_VALUE"""),"Problem / Pain Point")</f>
        <v>Problem / Pain Point</v>
      </c>
      <c r="AT11" s="55" t="str">
        <f>IFERROR(__xludf.DUMMYFUNCTION("""COMPUTED_VALUE"""),"• This coffee right here has 30 mg of KSM66 Ashwagandha, which has been clinically shown to reduce cortisol by 28% in eight weeks.
• Coffee can spike cortisol because caffeine stimulates the central nervous system, prompting the body to release cortisol.
"&amp;"• You are getting a functional, supportive coffee that helps you cognitively, helps you with sleep, helps with inflammation.
• I tried it for the first time a few days ago, and I've been having it every morning since.")</f>
        <v>• This coffee right here has 30 mg of KSM66 Ashwagandha, which has been clinically shown to reduce cortisol by 28% in eight weeks.
• Coffee can spike cortisol because caffeine stimulates the central nervous system, prompting the body to release cortisol.
• You are getting a functional, supportive coffee that helps you cognitively, helps you with sleep, helps with inflammation.
• I tried it for the first time a few days ago, and I've been having it every morning since.</v>
      </c>
      <c r="AU11" s="55" t="str">
        <f>IFERROR(__xludf.DUMMYFUNCTION("""COMPUTED_VALUE"""),"Find it at target stores across the US or at target com.")</f>
        <v>Find it at target stores across the US or at target com.</v>
      </c>
      <c r="AV11" s="55" t="str">
        <f>IFERROR(__xludf.DUMMYFUNCTION("""COMPUTED_VALUE"""),"Your morning coffee might be the reason you are feeling bloated or struggling to lose weight. This coffee right here has 30 mg of KSM66 Ashwagandha, which has been clinically shown to reduce cortisol by 28% in eight weeks. Coffee can spike cortisol becaus"&amp;"e caffeine stimulates the central nervous system, prompting the body to release cortisol. Chronic elevation of cortisol can lead to more visceral fat, which is that really bad fat that surrounds your internal organs in your belly, and it's really, really "&amp;"hard to get rid of. I tried it for the first time a few days ago, and I've been having it every morning since. It tastes just like regular coffee. You're getting more than just your regular cup of coffee. You are getting a functional, supportive coffee th"&amp;"at helps you cognitively, helps you with sleep, helps with inflammation. That is so good. And you can use your regular milk creamer sweetener with it. I actually just really like it on its own, and I'm not even a black coffee drinker. So if you're struggl"&amp;"ing to lose weight or you're just feeling bloated throughout the day, high cortisol might be the issue. So switching to bottom might be a good choice. Find it at target stores across the US or at target com.")</f>
        <v>Your morning coffee might be the reason you are feeling bloated or struggling to lose weight. This coffee right here has 30 mg of KSM66 Ashwagandha, which has been clinically shown to reduce cortisol by 28% in eight weeks. Coffee can spike cortisol because caffeine stimulates the central nervous system, prompting the body to release cortisol. Chronic elevation of cortisol can lead to more visceral fat, which is that really bad fat that surrounds your internal organs in your belly, and it's really, really hard to get rid of. I tried it for the first time a few days ago, and I've been having it every morning since. It tastes just like regular coffee. You're getting more than just your regular cup of coffee. You are getting a functional, supportive coffee that helps you cognitively, helps you with sleep, helps with inflammation. That is so good. And you can use your regular milk creamer sweetener with it. I actually just really like it on its own, and I'm not even a black coffee drinker. So if you're struggling to lose weight or you're just feeling bloated throughout the day, high cortisol might be the issue. So switching to bottom might be a good choice. Find it at target stores across the US or at target com.</v>
      </c>
      <c r="AW11" s="35"/>
      <c r="AX11" s="35"/>
      <c r="AY11" s="35"/>
      <c r="AZ11" s="35"/>
      <c r="BA11" s="36" t="s">
        <v>442</v>
      </c>
      <c r="BB11" s="35"/>
      <c r="BC11" s="35"/>
      <c r="BD11" s="35"/>
      <c r="BE11" s="35"/>
      <c r="BF11" s="35"/>
      <c r="BG11" s="35"/>
    </row>
    <row r="12">
      <c r="A12" s="55" t="str">
        <f>IFERROR(__xludf.DUMMYFUNCTION("""COMPUTED_VALUE"""),"Instagram")</f>
        <v>Instagram</v>
      </c>
      <c r="B12" s="56">
        <f>IFERROR(__xludf.DUMMYFUNCTION("""COMPUTED_VALUE"""),46199.0)</f>
        <v>46199</v>
      </c>
      <c r="C12" s="55" t="str">
        <f>IFERROR(__xludf.DUMMYFUNCTION("""COMPUTED_VALUE"""),"June")</f>
        <v>June</v>
      </c>
      <c r="D12" s="58" t="str">
        <f>IFERROR(__xludf.DUMMYFUNCTION("""COMPUTED_VALUE"""),"https://www.instagram.com/reel/DZnYbzAp0QZ/")</f>
        <v>https://www.instagram.com/reel/DZnYbzAp0QZ/</v>
      </c>
      <c r="E12" s="55" t="str">
        <f>IFERROR(__xludf.DUMMYFUNCTION("""COMPUTED_VALUE"""),"@luciana")</f>
        <v>@luciana</v>
      </c>
      <c r="F12" s="55" t="str">
        <f>IFERROR(__xludf.DUMMYFUNCTION("""COMPUTED_VALUE"""),"NA")</f>
        <v>NA</v>
      </c>
      <c r="G12" s="55" t="str">
        <f>IFERROR(__xludf.DUMMYFUNCTION("""COMPUTED_VALUE"""),"Cortisol")</f>
        <v>Cortisol</v>
      </c>
      <c r="H12" s="55">
        <f>IFERROR(__xludf.DUMMYFUNCTION("""COMPUTED_VALUE"""),41.0)</f>
        <v>41</v>
      </c>
      <c r="I12" s="55">
        <f>IFERROR(__xludf.DUMMYFUNCTION("""COMPUTED_VALUE"""),15.2)</f>
        <v>15.2</v>
      </c>
      <c r="J12" s="55" t="str">
        <f>IFERROR(__xludf.DUMMYFUNCTION("""COMPUTED_VALUE"""),"Consider")</f>
        <v>Consider</v>
      </c>
      <c r="K12" s="55" t="str">
        <f>IFERROR(__xludf.DUMMYFUNCTION("""COMPUTED_VALUE"""),"Yes")</f>
        <v>Yes</v>
      </c>
      <c r="L12" s="55" t="str">
        <f>IFERROR(__xludf.DUMMYFUNCTION("""COMPUTED_VALUE"""),"Score 16.1 nearing 20 threshold; Like rate 13.1% — strong engagement signal")</f>
        <v>Score 16.1 nearing 20 threshold; Like rate 13.1% — strong engagement signal</v>
      </c>
      <c r="M12" s="59" t="str">
        <f>IFERROR(__xludf.DUMMYFUNCTION("""COMPUTED_VALUE"""),"Algorithm spent low")</f>
        <v>Algorithm spent low</v>
      </c>
      <c r="N12" s="55"/>
      <c r="O12" s="55"/>
      <c r="P12" s="59">
        <f>IFERROR(__xludf.DUMMYFUNCTION("""COMPUTED_VALUE"""),99.0)</f>
        <v>99</v>
      </c>
      <c r="Q12" s="59">
        <f>IFERROR(__xludf.DUMMYFUNCTION("""COMPUTED_VALUE"""),13.0)</f>
        <v>13</v>
      </c>
      <c r="R12" s="59">
        <f>IFERROR(__xludf.DUMMYFUNCTION("""COMPUTED_VALUE"""),0.0)</f>
        <v>0</v>
      </c>
      <c r="S12" s="55"/>
      <c r="T12" s="68">
        <f>IFERROR(__xludf.DUMMYFUNCTION("""COMPUTED_VALUE"""),0.0)</f>
        <v>0</v>
      </c>
      <c r="U12" s="55"/>
      <c r="V12" s="62">
        <f>IFERROR(__xludf.DUMMYFUNCTION("""COMPUTED_VALUE"""),0.1313131313)</f>
        <v>0.1313131313</v>
      </c>
      <c r="W12" s="63">
        <f>IFERROR(__xludf.DUMMYFUNCTION("""COMPUTED_VALUE"""),117.58)</f>
        <v>117.58</v>
      </c>
      <c r="X12" s="59">
        <f>IFERROR(__xludf.DUMMYFUNCTION("""COMPUTED_VALUE"""),400.0)</f>
        <v>400</v>
      </c>
      <c r="Y12" s="59">
        <f>IFERROR(__xludf.DUMMYFUNCTION("""COMPUTED_VALUE"""),0.0)</f>
        <v>0</v>
      </c>
      <c r="Z12" s="59">
        <f>IFERROR(__xludf.DUMMYFUNCTION("""COMPUTED_VALUE"""),0.0)</f>
        <v>0</v>
      </c>
      <c r="AA12" s="59">
        <f>IFERROR(__xludf.DUMMYFUNCTION("""COMPUTED_VALUE"""),0.0)</f>
        <v>0</v>
      </c>
      <c r="AB12" s="64">
        <f>IFERROR(__xludf.DUMMYFUNCTION("""COMPUTED_VALUE"""),0.0)</f>
        <v>0</v>
      </c>
      <c r="AC12" s="62">
        <f>IFERROR(__xludf.DUMMYFUNCTION("""COMPUTED_VALUE"""),0.0)</f>
        <v>0</v>
      </c>
      <c r="AD12" s="62">
        <f>IFERROR(__xludf.DUMMYFUNCTION("""COMPUTED_VALUE"""),0.0)</f>
        <v>0</v>
      </c>
      <c r="AE12" s="62">
        <f>IFERROR(__xludf.DUMMYFUNCTION("""COMPUTED_VALUE"""),0.0)</f>
        <v>0</v>
      </c>
      <c r="AF12" s="55" t="str">
        <f>IFERROR(__xludf.DUMMYFUNCTION("""COMPUTED_VALUE"""),"Yes")</f>
        <v>Yes</v>
      </c>
      <c r="AG12" s="63">
        <f>IFERROR(__xludf.DUMMYFUNCTION("""COMPUTED_VALUE"""),3.37)</f>
        <v>3.37</v>
      </c>
      <c r="AH12" s="59">
        <f>IFERROR(__xludf.DUMMYFUNCTION("""COMPUTED_VALUE"""),532.0)</f>
        <v>532</v>
      </c>
      <c r="AI12" s="55"/>
      <c r="AJ12" s="59">
        <f>IFERROR(__xludf.DUMMYFUNCTION("""COMPUTED_VALUE"""),10.0)</f>
        <v>10</v>
      </c>
      <c r="AK12" s="62">
        <f>IFERROR(__xludf.DUMMYFUNCTION("""COMPUTED_VALUE"""),1.8797)</f>
        <v>1.8797</v>
      </c>
      <c r="AL12" s="65">
        <f>IFERROR(__xludf.DUMMYFUNCTION("""COMPUTED_VALUE"""),0.337)</f>
        <v>0.337</v>
      </c>
      <c r="AM12" s="55" t="str">
        <f>IFERROR(__xludf.DUMMYFUNCTION("""COMPUTED_VALUE"""),"Q9jTBBXOEiML930szYJ6JXZzhz0DX63dQzV0zPQTICZPf6ZzM8rVCchmtW8pk0nVDpk")</f>
        <v>Q9jTBBXOEiML930szYJ6JXZzhz0DX63dQzV0zPQTICZPf6ZzM8rVCchmtW8pk0nVDpk</v>
      </c>
      <c r="AN12" s="55"/>
      <c r="AO12" s="55" t="str">
        <f>IFERROR(__xludf.DUMMYFUNCTION("""COMPUTED_VALUE"""),"NA")</f>
        <v>NA</v>
      </c>
      <c r="AP12" s="55" t="str">
        <f>IFERROR(__xludf.DUMMYFUNCTION("""COMPUTED_VALUE"""),"NA")</f>
        <v>NA</v>
      </c>
      <c r="AQ12" s="55" t="str">
        <f>IFERROR(__xludf.DUMMYFUNCTION("""COMPUTED_VALUE"""),"NA")</f>
        <v>NA</v>
      </c>
      <c r="AR12" s="55" t="str">
        <f>IFERROR(__xludf.DUMMYFUNCTION("""COMPUTED_VALUE"""),"You don't need to quit coffee.")</f>
        <v>You don't need to quit coffee.</v>
      </c>
      <c r="AS12" s="55" t="str">
        <f>IFERROR(__xludf.DUMMYFUNCTION("""COMPUTED_VALUE"""),"General / Lifestyle")</f>
        <v>General / Lifestyle</v>
      </c>
      <c r="AT12" s="55" t="str">
        <f>IFERROR(__xludf.DUMMYFUNCTION("""COMPUTED_VALUE"""),"• You'd never guess it's packed with 300mg of KSM 66 ashwagandha plus L-theanine, lion's mane and chaga mushrooms.
• I've seen so many people trying to cut back on coffee because of jitters, energy crashes or stress.
• And what I love is that I still get "&amp;"my coffee ritual but with wellness ingredients already built in.
• Then I found Varan Ashwagandha Coffee at Target.")</f>
        <v>• You'd never guess it's packed with 300mg of KSM 66 ashwagandha plus L-theanine, lion's mane and chaga mushrooms.
• I've seen so many people trying to cut back on coffee because of jitters, energy crashes or stress.
• And what I love is that I still get my coffee ritual but with wellness ingredients already built in.
• Then I found Varan Ashwagandha Coffee at Target.</v>
      </c>
      <c r="AU12" s="55" t="str">
        <f>IFERROR(__xludf.DUMMYFUNCTION("""COMPUTED_VALUE"""),"You can find Bedan ashwagandha coffee at Target stores nationwide or on Target.com.")</f>
        <v>You can find Bedan ashwagandha coffee at Target stores nationwide or on Target.com.</v>
      </c>
      <c r="AV12" s="55" t="str">
        <f>IFERROR(__xludf.DUMMYFUNCTION("""COMPUTED_VALUE"""),"You don't need to quit coffee. Wait until you hear this. I've seen so many people trying to cut back on coffee because of jitters, energy crashes or stress. Then I found Varan Ashwagandha Coffee at Target. And what I love is that I still get my coffee rit"&amp;"ual but with wellness ingredients already built in. And honestly, it tastes like a delicious regular coffee. And honestly, it tastes like a delicious regular coffee. You'd never guess it's packed with 300mg of KSM 66 ashwagandha plus L-theanine, lion's ma"&amp;"ne and chaga mushrooms. You can find Bedan ashwagandha coffee at Target stores nationwide or on Target.com.")</f>
        <v>You don't need to quit coffee. Wait until you hear this. I've seen so many people trying to cut back on coffee because of jitters, energy crashes or stress. Then I found Varan Ashwagandha Coffee at Target. And what I love is that I still get my coffee ritual but with wellness ingredients already built in. And honestly, it tastes like a delicious regular coffee. And honestly, it tastes like a delicious regular coffee. You'd never guess it's packed with 300mg of KSM 66 ashwagandha plus L-theanine, lion's mane and chaga mushrooms. You can find Bedan ashwagandha coffee at Target stores nationwide or on Target.com.</v>
      </c>
      <c r="AW12" s="35"/>
      <c r="AX12" s="35"/>
      <c r="AY12" s="35"/>
      <c r="AZ12" s="35"/>
      <c r="BA12" s="36" t="s">
        <v>443</v>
      </c>
      <c r="BB12" s="35"/>
      <c r="BC12" s="35"/>
      <c r="BD12" s="35"/>
      <c r="BE12" s="35"/>
      <c r="BF12" s="35"/>
      <c r="BG12" s="35"/>
    </row>
    <row r="13">
      <c r="A13" s="55" t="str">
        <f>IFERROR(__xludf.DUMMYFUNCTION("""COMPUTED_VALUE"""),"Instagram")</f>
        <v>Instagram</v>
      </c>
      <c r="B13" s="56">
        <f>IFERROR(__xludf.DUMMYFUNCTION("""COMPUTED_VALUE"""),46195.0)</f>
        <v>46195</v>
      </c>
      <c r="C13" s="55" t="str">
        <f>IFERROR(__xludf.DUMMYFUNCTION("""COMPUTED_VALUE"""),"June")</f>
        <v>June</v>
      </c>
      <c r="D13" s="58" t="str">
        <f>IFERROR(__xludf.DUMMYFUNCTION("""COMPUTED_VALUE"""),"https://www.instagram.com/reel/DZxb2AovNKQ/")</f>
        <v>https://www.instagram.com/reel/DZxb2AovNKQ/</v>
      </c>
      <c r="E13" s="55" t="str">
        <f>IFERROR(__xludf.DUMMYFUNCTION("""COMPUTED_VALUE"""),"@na")</f>
        <v>@na</v>
      </c>
      <c r="F13" s="55" t="str">
        <f>IFERROR(__xludf.DUMMYFUNCTION("""COMPUTED_VALUE"""),"NA")</f>
        <v>NA</v>
      </c>
      <c r="G13" s="55" t="str">
        <f>IFERROR(__xludf.DUMMYFUNCTION("""COMPUTED_VALUE"""),"Target Shelf Showdown")</f>
        <v>Target Shelf Showdown</v>
      </c>
      <c r="H13" s="55">
        <f>IFERROR(__xludf.DUMMYFUNCTION("""COMPUTED_VALUE"""),54.0)</f>
        <v>54</v>
      </c>
      <c r="I13" s="55">
        <f>IFERROR(__xludf.DUMMYFUNCTION("""COMPUTED_VALUE"""),14.3)</f>
        <v>14.3</v>
      </c>
      <c r="J13" s="55" t="str">
        <f>IFERROR(__xludf.DUMMYFUNCTION("""COMPUTED_VALUE"""),"Consider")</f>
        <v>Consider</v>
      </c>
      <c r="K13" s="55" t="str">
        <f>IFERROR(__xludf.DUMMYFUNCTION("""COMPUTED_VALUE"""),"No")</f>
        <v>No</v>
      </c>
      <c r="L13" s="55" t="str">
        <f>IFERROR(__xludf.DUMMYFUNCTION("""COMPUTED_VALUE"""),"Score 14.3 nearing 20 threshold")</f>
        <v>Score 14.3 nearing 20 threshold</v>
      </c>
      <c r="M13" s="59" t="str">
        <f>IFERROR(__xludf.DUMMYFUNCTION("""COMPUTED_VALUE"""),"No Ad Data")</f>
        <v>No Ad Data</v>
      </c>
      <c r="N13" s="55"/>
      <c r="O13" s="55"/>
      <c r="P13" s="59">
        <f>IFERROR(__xludf.DUMMYFUNCTION("""COMPUTED_VALUE"""),346.0)</f>
        <v>346</v>
      </c>
      <c r="Q13" s="59">
        <f>IFERROR(__xludf.DUMMYFUNCTION("""COMPUTED_VALUE"""),0.0)</f>
        <v>0</v>
      </c>
      <c r="R13" s="59">
        <f>IFERROR(__xludf.DUMMYFUNCTION("""COMPUTED_VALUE"""),0.0)</f>
        <v>0</v>
      </c>
      <c r="S13" s="55"/>
      <c r="T13" s="68">
        <f>IFERROR(__xludf.DUMMYFUNCTION("""COMPUTED_VALUE"""),0.0)</f>
        <v>0</v>
      </c>
      <c r="U13" s="55"/>
      <c r="V13" s="62">
        <f>IFERROR(__xludf.DUMMYFUNCTION("""COMPUTED_VALUE"""),0.0)</f>
        <v>0</v>
      </c>
      <c r="W13" s="63">
        <f>IFERROR(__xludf.DUMMYFUNCTION("""COMPUTED_VALUE"""),67.58)</f>
        <v>67.58</v>
      </c>
      <c r="X13" s="59">
        <f>IFERROR(__xludf.DUMMYFUNCTION("""COMPUTED_VALUE"""),346.0)</f>
        <v>346</v>
      </c>
      <c r="Y13" s="59">
        <f>IFERROR(__xludf.DUMMYFUNCTION("""COMPUTED_VALUE"""),0.0)</f>
        <v>0</v>
      </c>
      <c r="Z13" s="59">
        <f>IFERROR(__xludf.DUMMYFUNCTION("""COMPUTED_VALUE"""),0.0)</f>
        <v>0</v>
      </c>
      <c r="AA13" s="59">
        <f>IFERROR(__xludf.DUMMYFUNCTION("""COMPUTED_VALUE"""),0.0)</f>
        <v>0</v>
      </c>
      <c r="AB13" s="64">
        <f>IFERROR(__xludf.DUMMYFUNCTION("""COMPUTED_VALUE"""),0.0)</f>
        <v>0</v>
      </c>
      <c r="AC13" s="62">
        <f>IFERROR(__xludf.DUMMYFUNCTION("""COMPUTED_VALUE"""),0.0)</f>
        <v>0</v>
      </c>
      <c r="AD13" s="62">
        <f>IFERROR(__xludf.DUMMYFUNCTION("""COMPUTED_VALUE"""),0.0)</f>
        <v>0</v>
      </c>
      <c r="AE13" s="62">
        <f>IFERROR(__xludf.DUMMYFUNCTION("""COMPUTED_VALUE"""),0.0)</f>
        <v>0</v>
      </c>
      <c r="AF13" s="55"/>
      <c r="AG13" s="55"/>
      <c r="AH13" s="55"/>
      <c r="AI13" s="55"/>
      <c r="AJ13" s="55"/>
      <c r="AK13" s="55"/>
      <c r="AL13" s="55"/>
      <c r="AM13" s="55" t="str">
        <f>IFERROR(__xludf.DUMMYFUNCTION("""COMPUTED_VALUE"""),"Q9jTBBWYFHOq5yaLfGTa6uc9juWHsaa2z5rxWHVmi1fOPhYb-kGyDVV_rjcKtqwKBQ")</f>
        <v>Q9jTBBWYFHOq5yaLfGTa6uc9juWHsaa2z5rxWHVmi1fOPhYb-kGyDVV_rjcKtqwKBQ</v>
      </c>
      <c r="AN13" s="55"/>
      <c r="AO13" s="55" t="str">
        <f>IFERROR(__xludf.DUMMYFUNCTION("""COMPUTED_VALUE"""),"NA")</f>
        <v>NA</v>
      </c>
      <c r="AP13" s="55" t="str">
        <f>IFERROR(__xludf.DUMMYFUNCTION("""COMPUTED_VALUE"""),"NA")</f>
        <v>NA</v>
      </c>
      <c r="AQ13" s="55" t="str">
        <f>IFERROR(__xludf.DUMMYFUNCTION("""COMPUTED_VALUE"""),"NA")</f>
        <v>NA</v>
      </c>
      <c r="AR13" s="55" t="str">
        <f>IFERROR(__xludf.DUMMYFUNCTION("""COMPUTED_VALUE"""),"If you have little kids, especially twins, you'll know this cause every morning.")</f>
        <v>If you have little kids, especially twins, you'll know this cause every morning.</v>
      </c>
      <c r="AS13" s="55" t="str">
        <f>IFERROR(__xludf.DUMMYFUNCTION("""COMPUTED_VALUE"""),"Call-Out / If You")</f>
        <v>Call-Out / If You</v>
      </c>
      <c r="AT13" s="55" t="str">
        <f>IFERROR(__xludf.DUMMYFUNCTION("""COMPUTED_VALUE"""),"• This one has ashwagandha for stress, L-theanamine for calm, mushroom for focus, and turmeric all in one cup.
• With twins, I need calm energy, no more dessert and crash.
• It's VADAM ashwagandha coffee.
• It actually tastes like a real delicious coffee.")</f>
        <v>• This one has ashwagandha for stress, L-theanamine for calm, mushroom for focus, and turmeric all in one cup.
• With twins, I need calm energy, no more dessert and crash.
• It's VADAM ashwagandha coffee.
• It actually tastes like a real delicious coffee.</v>
      </c>
      <c r="AU13" s="55" t="str">
        <f>IFERROR(__xludf.DUMMYFUNCTION("""COMPUTED_VALUE"""),"If you are a stressed mom who loves coffee, try Vada Ashwagandha Coffee, available now at the Target.")</f>
        <v>If you are a stressed mom who loves coffee, try Vada Ashwagandha Coffee, available now at the Target.</v>
      </c>
      <c r="AV13" s="55" t="str">
        <f>IFERROR(__xludf.DUMMYFUNCTION("""COMPUTED_VALUE"""),"If you have little kids, especially twins, you'll know this cause every morning. So I went to the Target with my twins and found my new morning essential. It's VADAM ashwagandha coffee. Regular coffee was not enough anymore. With twins, I need calm energy"&amp;", no more dessert and crash. This one has ashwagandha for stress, L-theanamine for calm, mushroom for focus, and turmeric all in one cup. It actually tastes like a real delicious coffee. Now I can keep up with my growth without feeling overwhelmed. If you"&amp;" are a stressed mom who loves coffee, try Vada Ashwagandha Coffee, available now at the Target.")</f>
        <v>If you have little kids, especially twins, you'll know this cause every morning. So I went to the Target with my twins and found my new morning essential. It's VADAM ashwagandha coffee. Regular coffee was not enough anymore. With twins, I need calm energy, no more dessert and crash. This one has ashwagandha for stress, L-theanamine for calm, mushroom for focus, and turmeric all in one cup. It actually tastes like a real delicious coffee. Now I can keep up with my growth without feeling overwhelmed. If you are a stressed mom who loves coffee, try Vada Ashwagandha Coffee, available now at the Target.</v>
      </c>
      <c r="AW13" s="35"/>
      <c r="AX13" s="35"/>
      <c r="AY13" s="35"/>
      <c r="AZ13" s="35"/>
      <c r="BA13" s="36" t="s">
        <v>444</v>
      </c>
      <c r="BB13" s="35"/>
      <c r="BC13" s="35"/>
      <c r="BD13" s="35"/>
      <c r="BE13" s="35"/>
      <c r="BF13" s="35"/>
      <c r="BG13" s="35"/>
    </row>
    <row r="14">
      <c r="A14" s="55" t="str">
        <f>IFERROR(__xludf.DUMMYFUNCTION("""COMPUTED_VALUE"""),"Tiktok")</f>
        <v>Tiktok</v>
      </c>
      <c r="B14" s="56">
        <f>IFERROR(__xludf.DUMMYFUNCTION("""COMPUTED_VALUE"""),46192.0)</f>
        <v>46192</v>
      </c>
      <c r="C14" s="55" t="str">
        <f>IFERROR(__xludf.DUMMYFUNCTION("""COMPUTED_VALUE"""),"June")</f>
        <v>June</v>
      </c>
      <c r="D14" s="58" t="str">
        <f>IFERROR(__xludf.DUMMYFUNCTION("""COMPUTED_VALUE"""),"https://www.tiktok.com/@momtosophieandbella/video/7653136674838416654")</f>
        <v>https://www.tiktok.com/@momtosophieandbella/video/7653136674838416654</v>
      </c>
      <c r="E14" s="55" t="str">
        <f>IFERROR(__xludf.DUMMYFUNCTION("""COMPUTED_VALUE"""),"@momtosophieandbella")</f>
        <v>@momtosophieandbella</v>
      </c>
      <c r="F14" s="55" t="str">
        <f>IFERROR(__xludf.DUMMYFUNCTION("""COMPUTED_VALUE"""),"Monica Consolmagno")</f>
        <v>Monica Consolmagno</v>
      </c>
      <c r="G14" s="55" t="str">
        <f>IFERROR(__xludf.DUMMYFUNCTION("""COMPUTED_VALUE"""),"Target Shelf Showdown")</f>
        <v>Target Shelf Showdown</v>
      </c>
      <c r="H14" s="55">
        <f>IFERROR(__xludf.DUMMYFUNCTION("""COMPUTED_VALUE"""),53.0)</f>
        <v>53</v>
      </c>
      <c r="I14" s="55">
        <f>IFERROR(__xludf.DUMMYFUNCTION("""COMPUTED_VALUE"""),27.9)</f>
        <v>27.9</v>
      </c>
      <c r="J14" s="55" t="str">
        <f>IFERROR(__xludf.DUMMYFUNCTION("""COMPUTED_VALUE"""),"Consider")</f>
        <v>Consider</v>
      </c>
      <c r="K14" s="55" t="str">
        <f>IFERROR(__xludf.DUMMYFUNCTION("""COMPUTED_VALUE"""),"No")</f>
        <v>No</v>
      </c>
      <c r="L14" s="55" t="str">
        <f>IFERROR(__xludf.DUMMYFUNCTION("""COMPUTED_VALUE"""),"Score 29.3 nearing 30 threshold")</f>
        <v>Score 29.3 nearing 30 threshold</v>
      </c>
      <c r="M14" s="59" t="str">
        <f>IFERROR(__xludf.DUMMYFUNCTION("""COMPUTED_VALUE"""),"No Ad Data")</f>
        <v>No Ad Data</v>
      </c>
      <c r="N14" s="55"/>
      <c r="O14" s="55"/>
      <c r="P14" s="59">
        <f>IFERROR(__xludf.DUMMYFUNCTION("""COMPUTED_VALUE"""),326.0)</f>
        <v>326</v>
      </c>
      <c r="Q14" s="59">
        <f>IFERROR(__xludf.DUMMYFUNCTION("""COMPUTED_VALUE"""),1.0)</f>
        <v>1</v>
      </c>
      <c r="R14" s="59">
        <f>IFERROR(__xludf.DUMMYFUNCTION("""COMPUTED_VALUE"""),0.0)</f>
        <v>0</v>
      </c>
      <c r="S14" s="62">
        <f>IFERROR(__xludf.DUMMYFUNCTION("""COMPUTED_VALUE"""),19.7)</f>
        <v>19.7</v>
      </c>
      <c r="T14" s="62">
        <f>IFERROR(__xludf.DUMMYFUNCTION("""COMPUTED_VALUE"""),6.7)</f>
        <v>6.7</v>
      </c>
      <c r="U14" s="64">
        <f>IFERROR(__xludf.DUMMYFUNCTION("""COMPUTED_VALUE"""),2.0)</f>
        <v>2</v>
      </c>
      <c r="V14" s="62">
        <f>IFERROR(__xludf.DUMMYFUNCTION("""COMPUTED_VALUE"""),0.3)</f>
        <v>0.3</v>
      </c>
      <c r="W14" s="63">
        <f>IFERROR(__xludf.DUMMYFUNCTION("""COMPUTED_VALUE"""),67.58)</f>
        <v>67.58</v>
      </c>
      <c r="X14" s="59">
        <f>IFERROR(__xludf.DUMMYFUNCTION("""COMPUTED_VALUE"""),326.0)</f>
        <v>326</v>
      </c>
      <c r="Y14" s="59">
        <f>IFERROR(__xludf.DUMMYFUNCTION("""COMPUTED_VALUE"""),1.0)</f>
        <v>1</v>
      </c>
      <c r="Z14" s="59">
        <f>IFERROR(__xludf.DUMMYFUNCTION("""COMPUTED_VALUE"""),0.0)</f>
        <v>0</v>
      </c>
      <c r="AA14" s="59">
        <f>IFERROR(__xludf.DUMMYFUNCTION("""COMPUTED_VALUE"""),0.0)</f>
        <v>0</v>
      </c>
      <c r="AB14" s="64">
        <f>IFERROR(__xludf.DUMMYFUNCTION("""COMPUTED_VALUE"""),2.0)</f>
        <v>2</v>
      </c>
      <c r="AC14" s="62">
        <f>IFERROR(__xludf.DUMMYFUNCTION("""COMPUTED_VALUE"""),0.3)</f>
        <v>0.3</v>
      </c>
      <c r="AD14" s="62">
        <f>IFERROR(__xludf.DUMMYFUNCTION("""COMPUTED_VALUE"""),19.7)</f>
        <v>19.7</v>
      </c>
      <c r="AE14" s="62">
        <f>IFERROR(__xludf.DUMMYFUNCTION("""COMPUTED_VALUE"""),6.7)</f>
        <v>6.7</v>
      </c>
      <c r="AF14" s="55"/>
      <c r="AG14" s="55"/>
      <c r="AH14" s="55"/>
      <c r="AI14" s="55"/>
      <c r="AJ14" s="55"/>
      <c r="AK14" s="55"/>
      <c r="AL14" s="55"/>
      <c r="AM14" s="55" t="str">
        <f>IFERROR(__xludf.DUMMYFUNCTION("""COMPUTED_VALUE"""),"#aMoJa4vXwX5XwoxHrlWW6Dj/1H24ecehNsQ5UCzgSSLnIlUFcjOUr1NVPS1EThM=")</f>
        <v>#aMoJa4vXwX5XwoxHrlWW6Dj/1H24ecehNsQ5UCzgSSLnIlUFcjOUr1NVPS1EThM=</v>
      </c>
      <c r="AN14" s="55"/>
      <c r="AO14" s="58" t="str">
        <f>IFERROR(__xludf.DUMMYFUNCTION("""COMPUTED_VALUE"""),"https://us.brand.joinbrands.com/job/687584")</f>
        <v>https://us.brand.joinbrands.com/job/687584</v>
      </c>
      <c r="AP14" s="55" t="str">
        <f>IFERROR(__xludf.DUMMYFUNCTION("""COMPUTED_VALUE"""),"product tagged cant take live")</f>
        <v>product tagged cant take live</v>
      </c>
      <c r="AQ14" s="55" t="str">
        <f>IFERROR(__xludf.DUMMYFUNCTION("""COMPUTED_VALUE"""),"Morning coffee just got a wellness upgrade â˜•ï¸ ðŸ¤Ž I swapped my regular coffee for VAHDAMÂ® Ashwagandha Coffee and Iâ€™m obsessed. Calm energy, no jitters, no crash â€” and it actually tastes like real...")</f>
        <v>Morning coffee just got a wellness upgrade â˜•ï¸_x008f_ ðŸ¤Ž I swapped my regular coffee for VAHDAMÂ® Ashwagandha Coffee and Iâ€™m obsessed. Calm energy, no jitters, no crash â€” and it actually tastes like real...</v>
      </c>
      <c r="AR14" s="55" t="str">
        <f>IFERROR(__xludf.DUMMYFUNCTION("""COMPUTED_VALUE"""),"you know that tired, stressful in the morning?")</f>
        <v>you know that tired, stressful in the morning?</v>
      </c>
      <c r="AS14" s="55" t="str">
        <f>IFERROR(__xludf.DUMMYFUNCTION("""COMPUTED_VALUE"""),"Problem / Pain Point")</f>
        <v>Problem / Pain Point</v>
      </c>
      <c r="AT14" s="55" t="str">
        <f>IFERROR(__xludf.DUMMYFUNCTION("""COMPUTED_VALUE"""),"• It has KSM66 ashwagandha for stress, LTA min for calm, Lion Maness and Chaga for focus, and turmeric for inflammation.
• It's coffee upgraded with five power wellness ingredients in one cup.
• It's Vada, ashwagandha coffee.
• It gives me calm energy.")</f>
        <v>• It has KSM66 ashwagandha for stress, LTA min for calm, Lion Maness and Chaga for focus, and turmeric for inflammation.
• It's coffee upgraded with five power wellness ingredients in one cup.
• It's Vada, ashwagandha coffee.
• It gives me calm energy.</v>
      </c>
      <c r="AU14" s="55" t="str">
        <f>IFERROR(__xludf.DUMMYFUNCTION("""COMPUTED_VALUE"""),"If you drink coffee every day, try this one.")</f>
        <v>If you drink coffee every day, try this one.</v>
      </c>
      <c r="AV14" s="55" t="str">
        <f>IFERROR(__xludf.DUMMYFUNCTION("""COMPUTED_VALUE"""),"Hey, you know that tired, stressful in the morning? I found this at the Target. It's Vada, ashwagandha coffee. It's not a regular coffee. It's coffee upgraded with five power wellness ingredients in one cup. It has KSM66 ashwagandha for stress, LTA min fo"&amp;"r calm, Lion Maness and Chaga for focus, and turmeric for inflammation. I drink it every morning. It gives me calm energy. No jitters, no crush. And it actually tastes like delicious regular coffee. It's available now at the Target store. If you drink cof"&amp;"fee every day, try this one.")</f>
        <v>Hey, you know that tired, stressful in the morning? I found this at the Target. It's Vada, ashwagandha coffee. It's not a regular coffee. It's coffee upgraded with five power wellness ingredients in one cup. It has KSM66 ashwagandha for stress, LTA min for calm, Lion Maness and Chaga for focus, and turmeric for inflammation. I drink it every morning. It gives me calm energy. No jitters, no crush. And it actually tastes like delicious regular coffee. It's available now at the Target store. If you drink coffee every day, try this one.</v>
      </c>
      <c r="AW14" s="35"/>
      <c r="AX14" s="35"/>
      <c r="AY14" s="35"/>
      <c r="AZ14" s="35"/>
      <c r="BA14" s="36" t="s">
        <v>445</v>
      </c>
      <c r="BB14" s="35"/>
      <c r="BC14" s="35"/>
      <c r="BD14" s="35"/>
      <c r="BE14" s="35"/>
      <c r="BF14" s="35"/>
      <c r="BG14" s="35"/>
    </row>
    <row r="15">
      <c r="A15" s="55" t="str">
        <f>IFERROR(__xludf.DUMMYFUNCTION("""COMPUTED_VALUE"""),"Instagram")</f>
        <v>Instagram</v>
      </c>
      <c r="B15" s="56">
        <f>IFERROR(__xludf.DUMMYFUNCTION("""COMPUTED_VALUE"""),46201.0)</f>
        <v>46201</v>
      </c>
      <c r="C15" s="55" t="str">
        <f>IFERROR(__xludf.DUMMYFUNCTION("""COMPUTED_VALUE"""),"June")</f>
        <v>June</v>
      </c>
      <c r="D15" s="58" t="str">
        <f>IFERROR(__xludf.DUMMYFUNCTION("""COMPUTED_VALUE"""),"https://www.instagram.com/reel/DZ-bT-uAIXI/")</f>
        <v>https://www.instagram.com/reel/DZ-bT-uAIXI/</v>
      </c>
      <c r="E15" s="55" t="str">
        <f>IFERROR(__xludf.DUMMYFUNCTION("""COMPUTED_VALUE"""),"@onikai")</f>
        <v>@onikai</v>
      </c>
      <c r="F15" s="55" t="str">
        <f>IFERROR(__xludf.DUMMYFUNCTION("""COMPUTED_VALUE"""),"NA")</f>
        <v>NA</v>
      </c>
      <c r="G15" s="55" t="str">
        <f>IFERROR(__xludf.DUMMYFUNCTION("""COMPUTED_VALUE"""),"Gummies vs Coffee")</f>
        <v>Gummies vs Coffee</v>
      </c>
      <c r="H15" s="55">
        <f>IFERROR(__xludf.DUMMYFUNCTION("""COMPUTED_VALUE"""),54.0)</f>
        <v>54</v>
      </c>
      <c r="I15" s="55">
        <f>IFERROR(__xludf.DUMMYFUNCTION("""COMPUTED_VALUE"""),14.1)</f>
        <v>14.1</v>
      </c>
      <c r="J15" s="55" t="str">
        <f>IFERROR(__xludf.DUMMYFUNCTION("""COMPUTED_VALUE"""),"Consider")</f>
        <v>Consider</v>
      </c>
      <c r="K15" s="55" t="str">
        <f>IFERROR(__xludf.DUMMYFUNCTION("""COMPUTED_VALUE"""),"No")</f>
        <v>No</v>
      </c>
      <c r="L15" s="55" t="str">
        <f>IFERROR(__xludf.DUMMYFUNCTION("""COMPUTED_VALUE"""),"Score 14.1 nearing 20 threshold")</f>
        <v>Score 14.1 nearing 20 threshold</v>
      </c>
      <c r="M15" s="59" t="str">
        <f>IFERROR(__xludf.DUMMYFUNCTION("""COMPUTED_VALUE"""),"No Ad Data")</f>
        <v>No Ad Data</v>
      </c>
      <c r="N15" s="55"/>
      <c r="O15" s="55"/>
      <c r="P15" s="59">
        <f>IFERROR(__xludf.DUMMYFUNCTION("""COMPUTED_VALUE"""),312.0)</f>
        <v>312</v>
      </c>
      <c r="Q15" s="59">
        <f>IFERROR(__xludf.DUMMYFUNCTION("""COMPUTED_VALUE"""),0.0)</f>
        <v>0</v>
      </c>
      <c r="R15" s="59">
        <f>IFERROR(__xludf.DUMMYFUNCTION("""COMPUTED_VALUE"""),0.0)</f>
        <v>0</v>
      </c>
      <c r="S15" s="55"/>
      <c r="T15" s="68">
        <f>IFERROR(__xludf.DUMMYFUNCTION("""COMPUTED_VALUE"""),0.0)</f>
        <v>0</v>
      </c>
      <c r="U15" s="55"/>
      <c r="V15" s="62">
        <f>IFERROR(__xludf.DUMMYFUNCTION("""COMPUTED_VALUE"""),0.0)</f>
        <v>0</v>
      </c>
      <c r="W15" s="63">
        <f>IFERROR(__xludf.DUMMYFUNCTION("""COMPUTED_VALUE"""),72.99)</f>
        <v>72.99</v>
      </c>
      <c r="X15" s="59">
        <f>IFERROR(__xludf.DUMMYFUNCTION("""COMPUTED_VALUE"""),312.0)</f>
        <v>312</v>
      </c>
      <c r="Y15" s="59">
        <f>IFERROR(__xludf.DUMMYFUNCTION("""COMPUTED_VALUE"""),0.0)</f>
        <v>0</v>
      </c>
      <c r="Z15" s="59">
        <f>IFERROR(__xludf.DUMMYFUNCTION("""COMPUTED_VALUE"""),0.0)</f>
        <v>0</v>
      </c>
      <c r="AA15" s="59">
        <f>IFERROR(__xludf.DUMMYFUNCTION("""COMPUTED_VALUE"""),0.0)</f>
        <v>0</v>
      </c>
      <c r="AB15" s="64">
        <f>IFERROR(__xludf.DUMMYFUNCTION("""COMPUTED_VALUE"""),0.0)</f>
        <v>0</v>
      </c>
      <c r="AC15" s="62">
        <f>IFERROR(__xludf.DUMMYFUNCTION("""COMPUTED_VALUE"""),0.0)</f>
        <v>0</v>
      </c>
      <c r="AD15" s="62">
        <f>IFERROR(__xludf.DUMMYFUNCTION("""COMPUTED_VALUE"""),0.0)</f>
        <v>0</v>
      </c>
      <c r="AE15" s="62">
        <f>IFERROR(__xludf.DUMMYFUNCTION("""COMPUTED_VALUE"""),0.0)</f>
        <v>0</v>
      </c>
      <c r="AF15" s="55"/>
      <c r="AG15" s="55"/>
      <c r="AH15" s="55"/>
      <c r="AI15" s="55"/>
      <c r="AJ15" s="55"/>
      <c r="AK15" s="55"/>
      <c r="AL15" s="55"/>
      <c r="AM15" s="55" t="str">
        <f>IFERROR(__xludf.DUMMYFUNCTION("""COMPUTED_VALUE"""),"c1a2b3c4-d5e6-4f7g-8h9i-0j1k2l3m4n5o")</f>
        <v>c1a2b3c4-d5e6-4f7g-8h9i-0j1k2l3m4n5o</v>
      </c>
      <c r="AN15" s="55"/>
      <c r="AO15" s="55" t="str">
        <f>IFERROR(__xludf.DUMMYFUNCTION("""COMPUTED_VALUE"""),"NA")</f>
        <v>NA</v>
      </c>
      <c r="AP15" s="55" t="str">
        <f>IFERROR(__xludf.DUMMYFUNCTION("""COMPUTED_VALUE"""),"NA")</f>
        <v>NA</v>
      </c>
      <c r="AQ15" s="55" t="str">
        <f>IFERROR(__xludf.DUMMYFUNCTION("""COMPUTED_VALUE"""),"Found @vahdamusa Ashwagandha â˜•ï¸ at @target and itâ€™s changed my life! #ad #mushroomcoffee #vahdam")</f>
        <v>Found @vahdamusa Ashwagandha â˜•ï¸_x008f_ at @target and itâ€™s changed my life! #ad #mushroomcoffee #vahdam</v>
      </c>
      <c r="AR15" s="55" t="str">
        <f>IFERROR(__xludf.DUMMYFUNCTION("""COMPUTED_VALUE"""),"Wait, I was visiting Target the other day.")</f>
        <v>Wait, I was visiting Target the other day.</v>
      </c>
      <c r="AS15" s="55" t="str">
        <f>IFERROR(__xludf.DUMMYFUNCTION("""COMPUTED_VALUE"""),"In-Store / Target Discovery")</f>
        <v>In-Store / Target Discovery</v>
      </c>
      <c r="AT15" s="55" t="str">
        <f>IFERROR(__xludf.DUMMYFUNCTION("""COMPUTED_VALUE"""),"• It has KSM 66 ashwagandha plus turmeric, botanine, chaga, and lion's mane, all the good things.
• Why was I eating ashwagandha gummies literally every single day when I drink coffee every morning?
• And now you can switch your ashwagandha gummies for a "&amp;"delicious cup of coffee.
• Introducing Vadim's Ashwagandha Coffee.")</f>
        <v>• It has KSM 66 ashwagandha plus turmeric, botanine, chaga, and lion's mane, all the good things.
• Why was I eating ashwagandha gummies literally every single day when I drink coffee every morning?
• And now you can switch your ashwagandha gummies for a delicious cup of coffee.
• Introducing Vadim's Ashwagandha Coffee.</v>
      </c>
      <c r="AU15" s="55" t="str">
        <f>IFERROR(__xludf.DUMMYFUNCTION("""COMPUTED_VALUE"""),"Find Badam's Ashwagandha Coffee at Target or online.")</f>
        <v>Find Badam's Ashwagandha Coffee at Target or online.</v>
      </c>
      <c r="AV15" s="55" t="str">
        <f>IFERROR(__xludf.DUMMYFUNCTION("""COMPUTED_VALUE"""),"Wait, I was visiting Target the other day. Why was I eating ashwagandha gummies literally every single day when I drink coffee every morning? Why am I trying to remember to take supplements when I already drink coffee every day? Introducing Vadim's Ashwag"&amp;"andha Coffee. I never miss my coffee. So when I found Vadim's Ashwagandha Coffee, I had to try it. It has KSM 66 ashwagandha plus turmeric, botanine, chaga, and lion's mane, all the good things. With every single cup, I get my ashwagandha. The two cups gi"&amp;"ve me half of my daily recommended dose, and that's actually more than with the supplements that I was sometimes taking. Genuinely a little silly that I didn't find this earlier, I didn't need a new habit. I just needed to keep the one I had and improve u"&amp;"pon it. My gummies are sitting on the counter over there, and my ashwagandha coffee is in my cup. Not complicated guys. And now you can switch your ashwagandha gummies for a delicious cup of coffee. Find Badam's Ashwagandha Coffee at Target or online. Che"&amp;"ers!")</f>
        <v>Wait, I was visiting Target the other day. Why was I eating ashwagandha gummies literally every single day when I drink coffee every morning? Why am I trying to remember to take supplements when I already drink coffee every day? Introducing Vadim's Ashwagandha Coffee. I never miss my coffee. So when I found Vadim's Ashwagandha Coffee, I had to try it. It has KSM 66 ashwagandha plus turmeric, botanine, chaga, and lion's mane, all the good things. With every single cup, I get my ashwagandha. The two cups give me half of my daily recommended dose, and that's actually more than with the supplements that I was sometimes taking. Genuinely a little silly that I didn't find this earlier, I didn't need a new habit. I just needed to keep the one I had and improve upon it. My gummies are sitting on the counter over there, and my ashwagandha coffee is in my cup. Not complicated guys. And now you can switch your ashwagandha gummies for a delicious cup of coffee. Find Badam's Ashwagandha Coffee at Target or online. Cheers!</v>
      </c>
      <c r="AW15" s="35"/>
      <c r="AX15" s="35"/>
      <c r="AY15" s="35"/>
      <c r="AZ15" s="35"/>
      <c r="BA15" s="36" t="s">
        <v>446</v>
      </c>
      <c r="BB15" s="35"/>
      <c r="BC15" s="35"/>
      <c r="BD15" s="35"/>
      <c r="BE15" s="35"/>
      <c r="BF15" s="35"/>
      <c r="BG15" s="35"/>
    </row>
    <row r="16">
      <c r="A16" s="55" t="str">
        <f>IFERROR(__xludf.DUMMYFUNCTION("""COMPUTED_VALUE"""),"Instagram")</f>
        <v>Instagram</v>
      </c>
      <c r="B16" s="56">
        <f>IFERROR(__xludf.DUMMYFUNCTION("""COMPUTED_VALUE"""),46201.0)</f>
        <v>46201</v>
      </c>
      <c r="C16" s="55" t="str">
        <f>IFERROR(__xludf.DUMMYFUNCTION("""COMPUTED_VALUE"""),"June")</f>
        <v>June</v>
      </c>
      <c r="D16" s="58" t="str">
        <f>IFERROR(__xludf.DUMMYFUNCTION("""COMPUTED_VALUE"""),"https://www.instagram.com/reels/DZsslHgtXHu/")</f>
        <v>https://www.instagram.com/reels/DZsslHgtXHu/</v>
      </c>
      <c r="E16" s="55" t="str">
        <f>IFERROR(__xludf.DUMMYFUNCTION("""COMPUTED_VALUE"""),"@booksilovetoread")</f>
        <v>@booksilovetoread</v>
      </c>
      <c r="F16" s="55" t="str">
        <f>IFERROR(__xludf.DUMMYFUNCTION("""COMPUTED_VALUE"""),"NA")</f>
        <v>NA</v>
      </c>
      <c r="G16" s="55" t="str">
        <f>IFERROR(__xludf.DUMMYFUNCTION("""COMPUTED_VALUE"""),"Countering Mushroom Coffee Trend")</f>
        <v>Countering Mushroom Coffee Trend</v>
      </c>
      <c r="H16" s="55">
        <f>IFERROR(__xludf.DUMMYFUNCTION("""COMPUTED_VALUE"""),56.0)</f>
        <v>56</v>
      </c>
      <c r="I16" s="55">
        <f>IFERROR(__xludf.DUMMYFUNCTION("""COMPUTED_VALUE"""),18.6)</f>
        <v>18.6</v>
      </c>
      <c r="J16" s="55" t="str">
        <f>IFERROR(__xludf.DUMMYFUNCTION("""COMPUTED_VALUE"""),"Consider")</f>
        <v>Consider</v>
      </c>
      <c r="K16" s="55" t="str">
        <f>IFERROR(__xludf.DUMMYFUNCTION("""COMPUTED_VALUE"""),"Yes")</f>
        <v>Yes</v>
      </c>
      <c r="L16" s="55" t="str">
        <f>IFERROR(__xludf.DUMMYFUNCTION("""COMPUTED_VALUE"""),"Score 19.2 nearing 20 threshold")</f>
        <v>Score 19.2 nearing 20 threshold</v>
      </c>
      <c r="M16" s="59" t="str">
        <f>IFERROR(__xludf.DUMMYFUNCTION("""COMPUTED_VALUE"""),"No Ad Data")</f>
        <v>No Ad Data</v>
      </c>
      <c r="N16" s="55" t="str">
        <f>IFERROR(__xludf.DUMMYFUNCTION("""COMPUTED_VALUE"""),"10UGC-Mushroom-CTA-booksilovetoread")</f>
        <v>10UGC-Mushroom-CTA-booksilovetoread</v>
      </c>
      <c r="O16" s="77" t="str">
        <f>IFERROR(__xludf.DUMMYFUNCTION("""COMPUTED_VALUE"""),"https://buy.vahdam.com/coffee-cta-ugc-mushroom")</f>
        <v>https://buy.vahdam.com/coffee-cta-ugc-mushroom</v>
      </c>
      <c r="P16" s="59">
        <f>IFERROR(__xludf.DUMMYFUNCTION("""COMPUTED_VALUE"""),285.0)</f>
        <v>285</v>
      </c>
      <c r="Q16" s="59">
        <f>IFERROR(__xludf.DUMMYFUNCTION("""COMPUTED_VALUE"""),2.0)</f>
        <v>2</v>
      </c>
      <c r="R16" s="59">
        <f>IFERROR(__xludf.DUMMYFUNCTION("""COMPUTED_VALUE"""),0.0)</f>
        <v>0</v>
      </c>
      <c r="S16" s="55"/>
      <c r="T16" s="68">
        <f>IFERROR(__xludf.DUMMYFUNCTION("""COMPUTED_VALUE"""),0.0)</f>
        <v>0</v>
      </c>
      <c r="U16" s="55"/>
      <c r="V16" s="62">
        <f>IFERROR(__xludf.DUMMYFUNCTION("""COMPUTED_VALUE"""),0.0107)</f>
        <v>0.0107</v>
      </c>
      <c r="W16" s="63">
        <f>IFERROR(__xludf.DUMMYFUNCTION("""COMPUTED_VALUE"""),117.58)</f>
        <v>117.58</v>
      </c>
      <c r="X16" s="59">
        <f>IFERROR(__xludf.DUMMYFUNCTION("""COMPUTED_VALUE"""),285.0)</f>
        <v>285</v>
      </c>
      <c r="Y16" s="59">
        <f>IFERROR(__xludf.DUMMYFUNCTION("""COMPUTED_VALUE"""),2.0)</f>
        <v>2</v>
      </c>
      <c r="Z16" s="59">
        <f>IFERROR(__xludf.DUMMYFUNCTION("""COMPUTED_VALUE"""),0.0)</f>
        <v>0</v>
      </c>
      <c r="AA16" s="59">
        <f>IFERROR(__xludf.DUMMYFUNCTION("""COMPUTED_VALUE"""),0.0)</f>
        <v>0</v>
      </c>
      <c r="AB16" s="64">
        <f>IFERROR(__xludf.DUMMYFUNCTION("""COMPUTED_VALUE"""),0.0)</f>
        <v>0</v>
      </c>
      <c r="AC16" s="62">
        <f>IFERROR(__xludf.DUMMYFUNCTION("""COMPUTED_VALUE"""),0.0107)</f>
        <v>0.0107</v>
      </c>
      <c r="AD16" s="62">
        <f>IFERROR(__xludf.DUMMYFUNCTION("""COMPUTED_VALUE"""),0.0)</f>
        <v>0</v>
      </c>
      <c r="AE16" s="62">
        <f>IFERROR(__xludf.DUMMYFUNCTION("""COMPUTED_VALUE"""),0.0)</f>
        <v>0</v>
      </c>
      <c r="AF16" s="55" t="str">
        <f>IFERROR(__xludf.DUMMYFUNCTION("""COMPUTED_VALUE"""),"Yes")</f>
        <v>Yes</v>
      </c>
      <c r="AG16" s="55"/>
      <c r="AH16" s="55"/>
      <c r="AI16" s="55"/>
      <c r="AJ16" s="55"/>
      <c r="AK16" s="55"/>
      <c r="AL16" s="55"/>
      <c r="AM16" s="55" t="str">
        <f>IFERROR(__xludf.DUMMYFUNCTION("""COMPUTED_VALUE"""),"Q9jTBBVW8wwHNaKkZdgY6O7FkNwqMA1tLTNZPPtBCbARYhoXDhT6xCoH71cCJyMqMmY")</f>
        <v>Q9jTBBVW8wwHNaKkZdgY6O7FkNwqMA1tLTNZPPtBCbARYhoXDhT6xCoH71cCJyMqMmY</v>
      </c>
      <c r="AN16" s="55"/>
      <c r="AO16" s="55" t="str">
        <f>IFERROR(__xludf.DUMMYFUNCTION("""COMPUTED_VALUE"""),"NA")</f>
        <v>NA</v>
      </c>
      <c r="AP16" s="55" t="str">
        <f>IFERROR(__xludf.DUMMYFUNCTION("""COMPUTED_VALUE"""),"NA")</f>
        <v>NA</v>
      </c>
      <c r="AQ16" s="55" t="str">
        <f>IFERROR(__xludf.DUMMYFUNCTION("""COMPUTED_VALUE"""),"Trying VAHDAM Ashwagandha Coffee â˜•âœ¨ Iâ€™ve been enjoying adding VAHDAM Ashwagandha Coffee to my morning routine lately. Itâ€™s quick, convenient, and easy to fit into busy days. If youâ€™ve been curious...")</f>
        <v>Trying VAHDAM Ashwagandha Coffee â˜•âœ¨ Iâ€™ve been enjoying adding VAHDAM Ashwagandha Coffee to my morning routine lately. Itâ€™s quick, convenient, and easy to fit into busy days. If youâ€™ve been curious...</v>
      </c>
      <c r="AR16" s="55" t="str">
        <f>IFERROR(__xludf.DUMMYFUNCTION("""COMPUTED_VALUE"""),"Okay, Target shoppers over 40.")</f>
        <v>Okay, Target shoppers over 40.</v>
      </c>
      <c r="AS16" s="55" t="str">
        <f>IFERROR(__xludf.DUMMYFUNCTION("""COMPUTED_VALUE"""),"Age / Life Stage")</f>
        <v>Age / Life Stage</v>
      </c>
      <c r="AT16" s="55" t="str">
        <f>IFERROR(__xludf.DUMMYFUNCTION("""COMPUTED_VALUE"""),"• And what caught my attention is that this combines premium coffee with KSM 66 ashwagandha, turmeric, L-theanine, lion's mane and amazing mushrooms.
• If you're looking for an easy wellness upgrade that fits into your existing coffee routine, check out t"&amp;"he bottom ashwagandha coffee.
• I was walking through Target and I spotted the premium ashwagandha coffee and I had to try it.
• Most mornings I just want my coffee and I don't want to remember five different supplements or powders or wellness routines.")</f>
        <v>• And what caught my attention is that this combines premium coffee with KSM 66 ashwagandha, turmeric, L-theanine, lion's mane and amazing mushrooms.
• If you're looking for an easy wellness upgrade that fits into your existing coffee routine, check out the bottom ashwagandha coffee.
• I was walking through Target and I spotted the premium ashwagandha coffee and I had to try it.
• Most mornings I just want my coffee and I don't want to remember five different supplements or powders or wellness routines.</v>
      </c>
      <c r="AU16" s="55" t="str">
        <f>IFERROR(__xludf.DUMMYFUNCTION("""COMPUTED_VALUE"""),"It's available at Target stores nationwide and of course on target.com.")</f>
        <v>It's available at Target stores nationwide and of course on target.com.</v>
      </c>
      <c r="AV16" s="55" t="str">
        <f>IFERROR(__xludf.DUMMYFUNCTION("""COMPUTED_VALUE"""),"Okay, Target shoppers over 40. How did I not know this existed? I was walking through Target and I spotted the premium ashwagandha coffee and I had to try it. Most mornings I just want my coffee and I don't want to remember five different supplements or p"&amp;"owders or wellness routines. And what caught my attention is that this combines premium coffee with KSM 66 ashwagandha, turmeric, L-theanine, lion's mane and amazing mushrooms. So instead of adding more steps to my morning, it's all in one cup. And can we"&amp;" talk about the taste for a second? Because it actually tastes delicious, just like regular coffee. I fully expected it to be like a weird wellness drink, but it's actually not. If you're looking for an easy wellness upgrade that fits into your existing c"&amp;"offee routine, check out the bottom ashwagandha coffee. It's available at Target stores nationwide and of course on target.com.")</f>
        <v>Okay, Target shoppers over 40. How did I not know this existed? I was walking through Target and I spotted the premium ashwagandha coffee and I had to try it. Most mornings I just want my coffee and I don't want to remember five different supplements or powders or wellness routines. And what caught my attention is that this combines premium coffee with KSM 66 ashwagandha, turmeric, L-theanine, lion's mane and amazing mushrooms. So instead of adding more steps to my morning, it's all in one cup. And can we talk about the taste for a second? Because it actually tastes delicious, just like regular coffee. I fully expected it to be like a weird wellness drink, but it's actually not. If you're looking for an easy wellness upgrade that fits into your existing coffee routine, check out the bottom ashwagandha coffee. It's available at Target stores nationwide and of course on target.com.</v>
      </c>
      <c r="AW16" s="35"/>
      <c r="AX16" s="35"/>
      <c r="AY16" s="35"/>
      <c r="AZ16" s="35"/>
      <c r="BA16" s="36" t="s">
        <v>447</v>
      </c>
      <c r="BB16" s="35"/>
      <c r="BC16" s="35"/>
      <c r="BD16" s="35"/>
      <c r="BE16" s="35"/>
      <c r="BF16" s="35"/>
      <c r="BG16" s="35"/>
    </row>
    <row r="17">
      <c r="A17" s="55" t="str">
        <f>IFERROR(__xludf.DUMMYFUNCTION("""COMPUTED_VALUE"""),"Tiktok")</f>
        <v>Tiktok</v>
      </c>
      <c r="B17" s="56">
        <f>IFERROR(__xludf.DUMMYFUNCTION("""COMPUTED_VALUE"""),46196.0)</f>
        <v>46196</v>
      </c>
      <c r="C17" s="55" t="str">
        <f>IFERROR(__xludf.DUMMYFUNCTION("""COMPUTED_VALUE"""),"June")</f>
        <v>June</v>
      </c>
      <c r="D17" s="58" t="str">
        <f>IFERROR(__xludf.DUMMYFUNCTION("""COMPUTED_VALUE"""),"https://www.tiktok.com/@fernandalouise.ugc/video/7654567402503507230")</f>
        <v>https://www.tiktok.com/@fernandalouise.ugc/video/7654567402503507230</v>
      </c>
      <c r="E17" s="55" t="str">
        <f>IFERROR(__xludf.DUMMYFUNCTION("""COMPUTED_VALUE"""),"@fernandalouise.ugc")</f>
        <v>@fernandalouise.ugc</v>
      </c>
      <c r="F17" s="55" t="str">
        <f>IFERROR(__xludf.DUMMYFUNCTION("""COMPUTED_VALUE"""),"Fernanda Boone")</f>
        <v>Fernanda Boone</v>
      </c>
      <c r="G17" s="55" t="str">
        <f>IFERROR(__xludf.DUMMYFUNCTION("""COMPUTED_VALUE"""),"Over 40/ High Performer")</f>
        <v>Over 40/ High Performer</v>
      </c>
      <c r="H17" s="55">
        <f>IFERROR(__xludf.DUMMYFUNCTION("""COMPUTED_VALUE"""),33.0)</f>
        <v>33</v>
      </c>
      <c r="I17" s="55">
        <f>IFERROR(__xludf.DUMMYFUNCTION("""COMPUTED_VALUE"""),16.8)</f>
        <v>16.8</v>
      </c>
      <c r="J17" s="55" t="str">
        <f>IFERROR(__xludf.DUMMYFUNCTION("""COMPUTED_VALUE"""),"Consider")</f>
        <v>Consider</v>
      </c>
      <c r="K17" s="55" t="str">
        <f>IFERROR(__xludf.DUMMYFUNCTION("""COMPUTED_VALUE"""),"Yes")</f>
        <v>Yes</v>
      </c>
      <c r="L17" s="55" t="str">
        <f>IFERROR(__xludf.DUMMYFUNCTION("""COMPUTED_VALUE"""),"High ER 12.0% — quality signal, limited views yet")</f>
        <v>High ER 12.0% — quality signal, limited views yet</v>
      </c>
      <c r="M17" s="59" t="str">
        <f>IFERROR(__xludf.DUMMYFUNCTION("""COMPUTED_VALUE"""),"Logic Fit ✓")</f>
        <v>Logic Fit ✓</v>
      </c>
      <c r="N17" s="55"/>
      <c r="O17" s="55"/>
      <c r="P17" s="59">
        <f>IFERROR(__xludf.DUMMYFUNCTION("""COMPUTED_VALUE"""),100.0)</f>
        <v>100</v>
      </c>
      <c r="Q17" s="59">
        <f>IFERROR(__xludf.DUMMYFUNCTION("""COMPUTED_VALUE"""),10.0)</f>
        <v>10</v>
      </c>
      <c r="R17" s="59">
        <f>IFERROR(__xludf.DUMMYFUNCTION("""COMPUTED_VALUE"""),2.0)</f>
        <v>2</v>
      </c>
      <c r="S17" s="55"/>
      <c r="T17" s="68">
        <f>IFERROR(__xludf.DUMMYFUNCTION("""COMPUTED_VALUE"""),0.0)</f>
        <v>0</v>
      </c>
      <c r="U17" s="55"/>
      <c r="V17" s="62">
        <f>IFERROR(__xludf.DUMMYFUNCTION("""COMPUTED_VALUE"""),0.14)</f>
        <v>0.14</v>
      </c>
      <c r="W17" s="63">
        <f>IFERROR(__xludf.DUMMYFUNCTION("""COMPUTED_VALUE"""),117.58)</f>
        <v>117.58</v>
      </c>
      <c r="X17" s="59">
        <f>IFERROR(__xludf.DUMMYFUNCTION("""COMPUTED_VALUE"""),271.0)</f>
        <v>271</v>
      </c>
      <c r="Y17" s="59">
        <f>IFERROR(__xludf.DUMMYFUNCTION("""COMPUTED_VALUE"""),12.0)</f>
        <v>12</v>
      </c>
      <c r="Z17" s="59">
        <f>IFERROR(__xludf.DUMMYFUNCTION("""COMPUTED_VALUE"""),2.0)</f>
        <v>2</v>
      </c>
      <c r="AA17" s="59">
        <f>IFERROR(__xludf.DUMMYFUNCTION("""COMPUTED_VALUE"""),2.0)</f>
        <v>2</v>
      </c>
      <c r="AB17" s="64">
        <f>IFERROR(__xludf.DUMMYFUNCTION("""COMPUTED_VALUE"""),5.0)</f>
        <v>5</v>
      </c>
      <c r="AC17" s="62">
        <f>IFERROR(__xludf.DUMMYFUNCTION("""COMPUTED_VALUE"""),5.9)</f>
        <v>5.9</v>
      </c>
      <c r="AD17" s="62">
        <f>IFERROR(__xludf.DUMMYFUNCTION("""COMPUTED_VALUE"""),27.7)</f>
        <v>27.7</v>
      </c>
      <c r="AE17" s="62">
        <f>IFERROR(__xludf.DUMMYFUNCTION("""COMPUTED_VALUE"""),13.5)</f>
        <v>13.5</v>
      </c>
      <c r="AF17" s="55" t="str">
        <f>IFERROR(__xludf.DUMMYFUNCTION("""COMPUTED_VALUE"""),"Yes")</f>
        <v>Yes</v>
      </c>
      <c r="AG17" s="63">
        <f>IFERROR(__xludf.DUMMYFUNCTION("""COMPUTED_VALUE"""),1.98)</f>
        <v>1.98</v>
      </c>
      <c r="AH17" s="59">
        <f>IFERROR(__xludf.DUMMYFUNCTION("""COMPUTED_VALUE"""),175.0)</f>
        <v>175</v>
      </c>
      <c r="AI17" s="55"/>
      <c r="AJ17" s="59">
        <f>IFERROR(__xludf.DUMMYFUNCTION("""COMPUTED_VALUE"""),3.0)</f>
        <v>3</v>
      </c>
      <c r="AK17" s="62">
        <f>IFERROR(__xludf.DUMMYFUNCTION("""COMPUTED_VALUE"""),1.7143)</f>
        <v>1.7143</v>
      </c>
      <c r="AL17" s="65">
        <f>IFERROR(__xludf.DUMMYFUNCTION("""COMPUTED_VALUE"""),0.66)</f>
        <v>0.66</v>
      </c>
      <c r="AM17" s="55" t="str">
        <f>IFERROR(__xludf.DUMMYFUNCTION("""COMPUTED_VALUE"""),"#j3z0YB3+J5d53tN0WlAY7hkxjEXpPvZcqzDPzKUzqvSjbeigeczeWUzcgO389ms=")</f>
        <v>#j3z0YB3+J5d53tN0WlAY7hkxjEXpPvZcqzDPzKUzqvSjbeigeczeWUzcgO389ms=</v>
      </c>
      <c r="AN17" s="55"/>
      <c r="AO17" s="58" t="str">
        <f>IFERROR(__xludf.DUMMYFUNCTION("""COMPUTED_VALUE"""),"https://us.brand.joinbrands.com/job/691411")</f>
        <v>https://us.brand.joinbrands.com/job/691411</v>
      </c>
      <c r="AP17" s="55" t="str">
        <f>IFERROR(__xludf.DUMMYFUNCTION("""COMPUTED_VALUE"""),"NA | MISFIT: Strong organic signal (score 42.2, 13.5% 6-sec) but only $8.42 spent — content was under-invested in ads.")</f>
        <v>NA | MISFIT: Strong organic signal (score 42.2, 13.5% 6-sec) but only $8.42 spent — content was under-invested in ads.</v>
      </c>
      <c r="AQ17" s="55" t="str">
        <f>IFERROR(__xludf.DUMMYFUNCTION("""COMPUTED_VALUE"""),"Perimenopause doesnâ€™t have to drain you ðŸ’› This simple shift helped me feel calmer, stronger, and more energized âœ¨ Get @VAHDAM USA on your next @target run! #Perimenopause #HormoneHealth...")</f>
        <v>Perimenopause doesnâ€™t have to drain you ðŸ’› This simple shift helped me feel calmer, stronger, and more energized âœ¨ Get @VAHDAM USA on your next @target run! #Perimenopause #HormoneHealth...</v>
      </c>
      <c r="AR17" s="55" t="str">
        <f>IFERROR(__xludf.DUMMYFUNCTION("""COMPUTED_VALUE"""),"What if your morning coffee is actually not giving you energy?")</f>
        <v>What if your morning coffee is actually not giving you energy?</v>
      </c>
      <c r="AS17" s="55" t="str">
        <f>IFERROR(__xludf.DUMMYFUNCTION("""COMPUTED_VALUE"""),"Curiosity / Question")</f>
        <v>Curiosity / Question</v>
      </c>
      <c r="AT17" s="55" t="str">
        <f>IFERROR(__xludf.DUMMYFUNCTION("""COMPUTED_VALUE"""),"• It gives me that coffee ritual that I love, with a delicious taste, but a smoother and more balanced energy.
• It's made with KSM 66 Ashwagandha, Lion's Mane, Chaga, and turmeric.
• I thought I needed more coffee, but turns out that during perimenopause"&amp;", regular caffeine can make you feel more anxious, more irritated, and completely drained by 2pm.
• So I switched to Vadam Ashwagandha Coffee.")</f>
        <v>• It gives me that coffee ritual that I love, with a delicious taste, but a smoother and more balanced energy.
• It's made with KSM 66 Ashwagandha, Lion's Mane, Chaga, and turmeric.
• I thought I needed more coffee, but turns out that during perimenopause, regular caffeine can make you feel more anxious, more irritated, and completely drained by 2pm.
• So I switched to Vadam Ashwagandha Coffee.</v>
      </c>
      <c r="AU17" s="55" t="str">
        <f>IFERROR(__xludf.DUMMYFUNCTION("""COMPUTED_VALUE"""),"If you're navigating perimenopause and coffee isn't hitting the same anymore this is definitely worth trying you can find it online or at your local target")</f>
        <v>If you're navigating perimenopause and coffee isn't hitting the same anymore this is definitely worth trying you can find it online or at your local target</v>
      </c>
      <c r="AV17" s="55" t="str">
        <f>IFERROR(__xludf.DUMMYFUNCTION("""COMPUTED_VALUE"""),"What if your morning coffee is actually not giving you energy? It's actually making your hormonal mood swings worse. I thought I needed more coffee, but turns out that during perimenopause, regular caffeine can make you feel more anxious, more irritated, "&amp;"and completely drained by 2pm. So I switched to Vadam Ashwagandha Coffee. It's made with KSM 66 Ashwagandha, Lion's Mane, Chaga, and turmeric. It gives me that coffee ritual that I love, with a delicious taste, but a smoother and more balanced energy. If "&amp;"you're navigating perimenopause and coffee isn't hitting the same anymore this is definitely worth trying you can find it online or at your local target")</f>
        <v>What if your morning coffee is actually not giving you energy? It's actually making your hormonal mood swings worse. I thought I needed more coffee, but turns out that during perimenopause, regular caffeine can make you feel more anxious, more irritated, and completely drained by 2pm. So I switched to Vadam Ashwagandha Coffee. It's made with KSM 66 Ashwagandha, Lion's Mane, Chaga, and turmeric. It gives me that coffee ritual that I love, with a delicious taste, but a smoother and more balanced energy. If you're navigating perimenopause and coffee isn't hitting the same anymore this is definitely worth trying you can find it online or at your local target</v>
      </c>
      <c r="AW17" s="35"/>
      <c r="AX17" s="35"/>
      <c r="AY17" s="35"/>
      <c r="AZ17" s="35"/>
      <c r="BA17" s="36" t="s">
        <v>448</v>
      </c>
      <c r="BB17" s="35"/>
      <c r="BC17" s="35"/>
      <c r="BD17" s="35"/>
      <c r="BE17" s="35"/>
      <c r="BF17" s="35"/>
      <c r="BG17" s="35"/>
    </row>
    <row r="18">
      <c r="A18" s="55" t="str">
        <f>IFERROR(__xludf.DUMMYFUNCTION("""COMPUTED_VALUE"""),"Tiktok")</f>
        <v>Tiktok</v>
      </c>
      <c r="B18" s="56">
        <f>IFERROR(__xludf.DUMMYFUNCTION("""COMPUTED_VALUE"""),46195.0)</f>
        <v>46195</v>
      </c>
      <c r="C18" s="55" t="str">
        <f>IFERROR(__xludf.DUMMYFUNCTION("""COMPUTED_VALUE"""),"June")</f>
        <v>June</v>
      </c>
      <c r="D18" s="58" t="str">
        <f>IFERROR(__xludf.DUMMYFUNCTION("""COMPUTED_VALUE"""),"https://www.tiktok.com/@jamesmelissaugc/video/7654194686193650957")</f>
        <v>https://www.tiktok.com/@jamesmelissaugc/video/7654194686193650957</v>
      </c>
      <c r="E18" s="55" t="str">
        <f>IFERROR(__xludf.DUMMYFUNCTION("""COMPUTED_VALUE"""),"@jamesmelissaugc")</f>
        <v>@jamesmelissaugc</v>
      </c>
      <c r="F18" s="55" t="str">
        <f>IFERROR(__xludf.DUMMYFUNCTION("""COMPUTED_VALUE"""),"James Griffiths")</f>
        <v>James Griffiths</v>
      </c>
      <c r="G18" s="55" t="str">
        <f>IFERROR(__xludf.DUMMYFUNCTION("""COMPUTED_VALUE"""),"Gummies vs Coffee")</f>
        <v>Gummies vs Coffee</v>
      </c>
      <c r="H18" s="55">
        <f>IFERROR(__xludf.DUMMYFUNCTION("""COMPUTED_VALUE"""),63.0)</f>
        <v>63</v>
      </c>
      <c r="I18" s="55">
        <f>IFERROR(__xludf.DUMMYFUNCTION("""COMPUTED_VALUE"""),18.3)</f>
        <v>18.3</v>
      </c>
      <c r="J18" s="55" t="str">
        <f>IFERROR(__xludf.DUMMYFUNCTION("""COMPUTED_VALUE"""),"Consider")</f>
        <v>Consider</v>
      </c>
      <c r="K18" s="55" t="str">
        <f>IFERROR(__xludf.DUMMYFUNCTION("""COMPUTED_VALUE"""),"Yes")</f>
        <v>Yes</v>
      </c>
      <c r="L18" s="55" t="str">
        <f>IFERROR(__xludf.DUMMYFUNCTION("""COMPUTED_VALUE"""),"High ER 12.2% — quality signal, limited views yet")</f>
        <v>High ER 12.2% — quality signal, limited views yet</v>
      </c>
      <c r="M18" s="59" t="str">
        <f>IFERROR(__xludf.DUMMYFUNCTION("""COMPUTED_VALUE"""),"Logic Fit ✓")</f>
        <v>Logic Fit ✓</v>
      </c>
      <c r="N18" s="55"/>
      <c r="O18" s="55"/>
      <c r="P18" s="59">
        <f>IFERROR(__xludf.DUMMYFUNCTION("""COMPUTED_VALUE"""),90.0)</f>
        <v>90</v>
      </c>
      <c r="Q18" s="59">
        <f>IFERROR(__xludf.DUMMYFUNCTION("""COMPUTED_VALUE"""),8.0)</f>
        <v>8</v>
      </c>
      <c r="R18" s="59">
        <f>IFERROR(__xludf.DUMMYFUNCTION("""COMPUTED_VALUE"""),3.0)</f>
        <v>3</v>
      </c>
      <c r="S18" s="55"/>
      <c r="T18" s="68">
        <f>IFERROR(__xludf.DUMMYFUNCTION("""COMPUTED_VALUE"""),0.0)</f>
        <v>0</v>
      </c>
      <c r="U18" s="55"/>
      <c r="V18" s="62">
        <f>IFERROR(__xludf.DUMMYFUNCTION("""COMPUTED_VALUE"""),0.155)</f>
        <v>0.155</v>
      </c>
      <c r="W18" s="63">
        <f>IFERROR(__xludf.DUMMYFUNCTION("""COMPUTED_VALUE"""),72.99)</f>
        <v>72.99</v>
      </c>
      <c r="X18" s="59">
        <f>IFERROR(__xludf.DUMMYFUNCTION("""COMPUTED_VALUE"""),259.0)</f>
        <v>259</v>
      </c>
      <c r="Y18" s="59">
        <f>IFERROR(__xludf.DUMMYFUNCTION("""COMPUTED_VALUE"""),12.0)</f>
        <v>12</v>
      </c>
      <c r="Z18" s="59">
        <f>IFERROR(__xludf.DUMMYFUNCTION("""COMPUTED_VALUE"""),3.0)</f>
        <v>3</v>
      </c>
      <c r="AA18" s="59">
        <f>IFERROR(__xludf.DUMMYFUNCTION("""COMPUTED_VALUE"""),4.0)</f>
        <v>4</v>
      </c>
      <c r="AB18" s="64">
        <f>IFERROR(__xludf.DUMMYFUNCTION("""COMPUTED_VALUE"""),6.0)</f>
        <v>6</v>
      </c>
      <c r="AC18" s="62">
        <f>IFERROR(__xludf.DUMMYFUNCTION("""COMPUTED_VALUE"""),7.3)</f>
        <v>7.3</v>
      </c>
      <c r="AD18" s="62">
        <f>IFERROR(__xludf.DUMMYFUNCTION("""COMPUTED_VALUE"""),47.7)</f>
        <v>47.7</v>
      </c>
      <c r="AE18" s="62">
        <f>IFERROR(__xludf.DUMMYFUNCTION("""COMPUTED_VALUE"""),18.5)</f>
        <v>18.5</v>
      </c>
      <c r="AF18" s="55" t="str">
        <f>IFERROR(__xludf.DUMMYFUNCTION("""COMPUTED_VALUE"""),"Yes")</f>
        <v>Yes</v>
      </c>
      <c r="AG18" s="63">
        <f>IFERROR(__xludf.DUMMYFUNCTION("""COMPUTED_VALUE"""),1.18)</f>
        <v>1.18</v>
      </c>
      <c r="AH18" s="59">
        <f>IFERROR(__xludf.DUMMYFUNCTION("""COMPUTED_VALUE"""),140.0)</f>
        <v>140</v>
      </c>
      <c r="AI18" s="55"/>
      <c r="AJ18" s="59">
        <f>IFERROR(__xludf.DUMMYFUNCTION("""COMPUTED_VALUE"""),2.0)</f>
        <v>2</v>
      </c>
      <c r="AK18" s="62">
        <f>IFERROR(__xludf.DUMMYFUNCTION("""COMPUTED_VALUE"""),1.4286)</f>
        <v>1.4286</v>
      </c>
      <c r="AL18" s="65">
        <f>IFERROR(__xludf.DUMMYFUNCTION("""COMPUTED_VALUE"""),0.59)</f>
        <v>0.59</v>
      </c>
      <c r="AM18" s="55" t="str">
        <f>IFERROR(__xludf.DUMMYFUNCTION("""COMPUTED_VALUE"""),"#f+11GCw4Ig3dI+eWfPLHal/mjv1ck9n0RuHY6srkIUr8AVtVF6OJY2BVg4dL40M=")</f>
        <v>#f+11GCw4Ig3dI+eWfPLHal/mjv1ck9n0RuHY6srkIUr8AVtVF6OJY2BVg4dL40M=</v>
      </c>
      <c r="AN18" s="55"/>
      <c r="AO18" s="58" t="str">
        <f>IFERROR(__xludf.DUMMYFUNCTION("""COMPUTED_VALUE"""),"https://us.brand.joinbrands.com/job/693084")</f>
        <v>https://us.brand.joinbrands.com/job/693084</v>
      </c>
      <c r="AP18" s="55" t="str">
        <f>IFERROR(__xludf.DUMMYFUNCTION("""COMPUTED_VALUE"""),"Nice - hysterectomy narrative")</f>
        <v>Nice - hysterectomy narrative</v>
      </c>
      <c r="AQ18" s="55" t="str">
        <f>IFERROR(__xludf.DUMMYFUNCTION("""COMPUTED_VALUE"""),"Youâ€™ve got to try this out. Coffee that actually supports your body. Available in target stores and at target.com. @@VAHDAM USA@@target")</f>
        <v>Youâ€™ve got to try this out. Coffee that actually supports your body. Available in target stores and at target.com. @@VAHDAM USA@@target</v>
      </c>
      <c r="AR18" s="55" t="str">
        <f>IFERROR(__xludf.DUMMYFUNCTION("""COMPUTED_VALUE"""),"Did you just see how many supplements I go through every day?")</f>
        <v>Did you just see how many supplements I go through every day?</v>
      </c>
      <c r="AS18" s="55" t="str">
        <f>IFERROR(__xludf.DUMMYFUNCTION("""COMPUTED_VALUE"""),"Curiosity / Question")</f>
        <v>Curiosity / Question</v>
      </c>
      <c r="AT18" s="55" t="str">
        <f>IFERROR(__xludf.DUMMYFUNCTION("""COMPUTED_VALUE"""),"• I'm super thankful that I found this ashwagandha coffee because it has everything that I need.
• I had a hysterectomy, and so I went into instant menopause.
• Anybody who's gone through menopause knows it's rough.
• I went through instant menopause.")</f>
        <v>• I'm super thankful that I found this ashwagandha coffee because it has everything that I need.
• I had a hysterectomy, and so I went into instant menopause.
• Anybody who's gone through menopause knows it's rough.
• I went through instant menopause.</v>
      </c>
      <c r="AU18" s="55" t="str">
        <f>IFERROR(__xludf.DUMMYFUNCTION("""COMPUTED_VALUE"""),"and I absolutely love this stuff.")</f>
        <v>and I absolutely love this stuff.</v>
      </c>
      <c r="AV18" s="55" t="str">
        <f>IFERROR(__xludf.DUMMYFUNCTION("""COMPUTED_VALUE"""),"Did you just see how many supplements I go through every day? I go through so many. I am Gen X. I had a hysterectomy, and so I went into instant menopause. Anybody who's gone through menopause knows it's rough. I went through instant menopause. So those h"&amp;"ot flashes, all of that stuff just hit me at once. I'm super thankful that I found this ashwagandha coffee because it has everything that I need. I don't have to do all of those supplements, and it tastes so good. completely blew my mind that I can take t"&amp;"hree steps out of my morning. So this is it. It's ashwagandha. For me, the mood clarity is the best thing, but it helps with focus. It helps with daily calm. It has vitamins and nutrients and hormonal support. So I personally ordered this at Target online"&amp;", but you can also get it in store at Target. And it was on my doorstep in days. and I absolutely love this stuff.")</f>
        <v>Did you just see how many supplements I go through every day? I go through so many. I am Gen X. I had a hysterectomy, and so I went into instant menopause. Anybody who's gone through menopause knows it's rough. I went through instant menopause. So those hot flashes, all of that stuff just hit me at once. I'm super thankful that I found this ashwagandha coffee because it has everything that I need. I don't have to do all of those supplements, and it tastes so good. completely blew my mind that I can take three steps out of my morning. So this is it. It's ashwagandha. For me, the mood clarity is the best thing, but it helps with focus. It helps with daily calm. It has vitamins and nutrients and hormonal support. So I personally ordered this at Target online, but you can also get it in store at Target. And it was on my doorstep in days. and I absolutely love this stuff.</v>
      </c>
      <c r="AW18" s="35"/>
      <c r="AX18" s="35"/>
      <c r="AY18" s="35"/>
      <c r="AZ18" s="35"/>
      <c r="BA18" s="36" t="s">
        <v>449</v>
      </c>
      <c r="BB18" s="35"/>
      <c r="BC18" s="35"/>
      <c r="BD18" s="35"/>
      <c r="BE18" s="35"/>
      <c r="BF18" s="35"/>
      <c r="BG18" s="35"/>
    </row>
    <row r="19">
      <c r="A19" s="55" t="str">
        <f>IFERROR(__xludf.DUMMYFUNCTION("""COMPUTED_VALUE"""),"Instagram")</f>
        <v>Instagram</v>
      </c>
      <c r="B19" s="56">
        <f>IFERROR(__xludf.DUMMYFUNCTION("""COMPUTED_VALUE"""),46201.0)</f>
        <v>46201</v>
      </c>
      <c r="C19" s="55" t="str">
        <f>IFERROR(__xludf.DUMMYFUNCTION("""COMPUTED_VALUE"""),"June")</f>
        <v>June</v>
      </c>
      <c r="D19" s="58" t="str">
        <f>IFERROR(__xludf.DUMMYFUNCTION("""COMPUTED_VALUE"""),"https://www.instagram.com/reel/DaDLkvHOTjj/")</f>
        <v>https://www.instagram.com/reel/DaDLkvHOTjj/</v>
      </c>
      <c r="E19" s="55" t="str">
        <f>IFERROR(__xludf.DUMMYFUNCTION("""COMPUTED_VALUE"""),"@themelissamadeit")</f>
        <v>@themelissamadeit</v>
      </c>
      <c r="F19" s="55" t="str">
        <f>IFERROR(__xludf.DUMMYFUNCTION("""COMPUTED_VALUE"""),"NA")</f>
        <v>NA</v>
      </c>
      <c r="G19" s="55" t="str">
        <f>IFERROR(__xludf.DUMMYFUNCTION("""COMPUTED_VALUE"""),"Target Shelf Showdown")</f>
        <v>Target Shelf Showdown</v>
      </c>
      <c r="H19" s="55">
        <f>IFERROR(__xludf.DUMMYFUNCTION("""COMPUTED_VALUE"""),67.0)</f>
        <v>67</v>
      </c>
      <c r="I19" s="55">
        <f>IFERROR(__xludf.DUMMYFUNCTION("""COMPUTED_VALUE"""),18.1)</f>
        <v>18.1</v>
      </c>
      <c r="J19" s="55" t="str">
        <f>IFERROR(__xludf.DUMMYFUNCTION("""COMPUTED_VALUE"""),"Consider")</f>
        <v>Consider</v>
      </c>
      <c r="K19" s="55" t="str">
        <f>IFERROR(__xludf.DUMMYFUNCTION("""COMPUTED_VALUE"""),"No")</f>
        <v>No</v>
      </c>
      <c r="L19" s="55" t="str">
        <f>IFERROR(__xludf.DUMMYFUNCTION("""COMPUTED_VALUE"""),"Score 18.7 nearing 20 threshold")</f>
        <v>Score 18.7 nearing 20 threshold</v>
      </c>
      <c r="M19" s="59" t="str">
        <f>IFERROR(__xludf.DUMMYFUNCTION("""COMPUTED_VALUE"""),"No Ad Data")</f>
        <v>No Ad Data</v>
      </c>
      <c r="N19" s="55"/>
      <c r="O19" s="55"/>
      <c r="P19" s="59">
        <f>IFERROR(__xludf.DUMMYFUNCTION("""COMPUTED_VALUE"""),233.0)</f>
        <v>233</v>
      </c>
      <c r="Q19" s="59">
        <f>IFERROR(__xludf.DUMMYFUNCTION("""COMPUTED_VALUE"""),2.0)</f>
        <v>2</v>
      </c>
      <c r="R19" s="59">
        <f>IFERROR(__xludf.DUMMYFUNCTION("""COMPUTED_VALUE"""),0.0)</f>
        <v>0</v>
      </c>
      <c r="S19" s="55"/>
      <c r="T19" s="68">
        <f>IFERROR(__xludf.DUMMYFUNCTION("""COMPUTED_VALUE"""),0.0)</f>
        <v>0</v>
      </c>
      <c r="U19" s="55"/>
      <c r="V19" s="62">
        <f>IFERROR(__xludf.DUMMYFUNCTION("""COMPUTED_VALUE"""),0.0)</f>
        <v>0</v>
      </c>
      <c r="W19" s="63">
        <f>IFERROR(__xludf.DUMMYFUNCTION("""COMPUTED_VALUE"""),67.58)</f>
        <v>67.58</v>
      </c>
      <c r="X19" s="59">
        <f>IFERROR(__xludf.DUMMYFUNCTION("""COMPUTED_VALUE"""),233.0)</f>
        <v>233</v>
      </c>
      <c r="Y19" s="59">
        <f>IFERROR(__xludf.DUMMYFUNCTION("""COMPUTED_VALUE"""),2.0)</f>
        <v>2</v>
      </c>
      <c r="Z19" s="59">
        <f>IFERROR(__xludf.DUMMYFUNCTION("""COMPUTED_VALUE"""),0.0)</f>
        <v>0</v>
      </c>
      <c r="AA19" s="59">
        <f>IFERROR(__xludf.DUMMYFUNCTION("""COMPUTED_VALUE"""),0.0)</f>
        <v>0</v>
      </c>
      <c r="AB19" s="64">
        <f>IFERROR(__xludf.DUMMYFUNCTION("""COMPUTED_VALUE"""),0.0)</f>
        <v>0</v>
      </c>
      <c r="AC19" s="62">
        <f>IFERROR(__xludf.DUMMYFUNCTION("""COMPUTED_VALUE"""),0.0)</f>
        <v>0</v>
      </c>
      <c r="AD19" s="62">
        <f>IFERROR(__xludf.DUMMYFUNCTION("""COMPUTED_VALUE"""),0.0)</f>
        <v>0</v>
      </c>
      <c r="AE19" s="62">
        <f>IFERROR(__xludf.DUMMYFUNCTION("""COMPUTED_VALUE"""),0.0)</f>
        <v>0</v>
      </c>
      <c r="AF19" s="55"/>
      <c r="AG19" s="55"/>
      <c r="AH19" s="55"/>
      <c r="AI19" s="55"/>
      <c r="AJ19" s="55"/>
      <c r="AK19" s="55"/>
      <c r="AL19" s="55"/>
      <c r="AM19" s="55" t="str">
        <f>IFERROR(__xludf.DUMMYFUNCTION("""COMPUTED_VALUE"""),"Q9jTBBV27SMAO9yq8DMYbdXR2tlS-oGRO8_vEVtqLuo-uli6v8sWDvkDvajI1JlDkrU")</f>
        <v>Q9jTBBV27SMAO9yq8DMYbdXR2tlS-oGRO8_vEVtqLuo-uli6v8sWDvkDvajI1JlDkrU</v>
      </c>
      <c r="AN19" s="55"/>
      <c r="AO19" s="55" t="str">
        <f>IFERROR(__xludf.DUMMYFUNCTION("""COMPUTED_VALUE"""),"NA")</f>
        <v>NA</v>
      </c>
      <c r="AP19" s="55" t="str">
        <f>IFERROR(__xludf.DUMMYFUNCTION("""COMPUTED_VALUE"""),"NA")</f>
        <v>NA</v>
      </c>
      <c r="AQ19" s="55" t="str">
        <f>IFERROR(__xludf.DUMMYFUNCTION("""COMPUTED_VALUE"""),"Do not buy Ashwagandha supplements at Targetâ€¦ hear me out. I went in for another bottle of pills and walked out with VAHDAMÂ® Ashwagandha Coffee instead. Itâ€™s real Arabica coffee blended with...")</f>
        <v>Do not buy Ashwagandha supplements at Targetâ€¦ hear me out. I went in for another bottle of pills and walked out with VAHDAMÂ® Ashwagandha Coffee instead. Itâ€™s real Arabica coffee blended with...</v>
      </c>
      <c r="AR19" s="55" t="str">
        <f>IFERROR(__xludf.DUMMYFUNCTION("""COMPUTED_VALUE"""),"Do not buy ashwagandha supplements at Target.")</f>
        <v>Do not buy ashwagandha supplements at Target.</v>
      </c>
      <c r="AS19" s="55" t="str">
        <f>IFERROR(__xludf.DUMMYFUNCTION("""COMPUTED_VALUE"""),"In-Store / Target Discovery")</f>
        <v>In-Store / Target Discovery</v>
      </c>
      <c r="AT19" s="55" t="str">
        <f>IFERROR(__xludf.DUMMYFUNCTION("""COMPUTED_VALUE"""),"• It's instant Arabic coffee upgraded with five wellness ingredients in one cup.
• Ashwagandha, curcumin, elthinine, and functional mushrooms like lion's mane and chaga.
• I realized I kept forgetting my supplements but I never forget my morning coffee so"&amp;" instead of another pill bottle on the counter I'm just getting my ashwagandha and my coffee.
• This is Vdam Ashwagandha Coffee with KSM 66 Ashwagandha.")</f>
        <v>• It's instant Arabic coffee upgraded with five wellness ingredients in one cup.
• Ashwagandha, curcumin, elthinine, and functional mushrooms like lion's mane and chaga.
• I realized I kept forgetting my supplements but I never forget my morning coffee so instead of another pill bottle on the counter I'm just getting my ashwagandha and my coffee.
• This is Vdam Ashwagandha Coffee with KSM 66 Ashwagandha.</v>
      </c>
      <c r="AU19" s="55" t="str">
        <f>IFERROR(__xludf.DUMMYFUNCTION("""COMPUTED_VALUE"""),"Try this and you will thank me.")</f>
        <v>Try this and you will thank me.</v>
      </c>
      <c r="AV19" s="55" t="str">
        <f>IFERROR(__xludf.DUMMYFUNCTION("""COMPUTED_VALUE"""),"Do not buy ashwagandha supplements at Target. Try this and you will thank me. I actually went in to look for ashwagandha supplements and ended up finding this coffee instead. This is Vdam Ashwagandha Coffee with KSM 66 Ashwagandha. It's instant Arabic cof"&amp;"fee upgraded with five wellness ingredients in one cup. Ashwagandha, curcumin, elthinine, and functional mushrooms like lion's mane and chaga. Two cups a day gives you about half your recommended daily dose ashwagandha and your regular morning coffee. I r"&amp;"ealized I kept forgetting my supplements but I never forget my morning coffee so instead of another pill bottle on the counter I'm just getting my ashwagandha and my coffee. For me that means one less thing to remember but I'm still supporting stress and "&amp;"focus in my daily routine. And the wild part it actually tastes like regular coffee if you didn't tell me it had ashwagandha and mushrooms I'd never know mmm that's so good")</f>
        <v>Do not buy ashwagandha supplements at Target. Try this and you will thank me. I actually went in to look for ashwagandha supplements and ended up finding this coffee instead. This is Vdam Ashwagandha Coffee with KSM 66 Ashwagandha. It's instant Arabic coffee upgraded with five wellness ingredients in one cup. Ashwagandha, curcumin, elthinine, and functional mushrooms like lion's mane and chaga. Two cups a day gives you about half your recommended daily dose ashwagandha and your regular morning coffee. I realized I kept forgetting my supplements but I never forget my morning coffee so instead of another pill bottle on the counter I'm just getting my ashwagandha and my coffee. For me that means one less thing to remember but I'm still supporting stress and focus in my daily routine. And the wild part it actually tastes like regular coffee if you didn't tell me it had ashwagandha and mushrooms I'd never know mmm that's so good</v>
      </c>
      <c r="AW19" s="35"/>
      <c r="AX19" s="35"/>
      <c r="AY19" s="35"/>
      <c r="AZ19" s="35"/>
      <c r="BA19" s="36" t="s">
        <v>450</v>
      </c>
      <c r="BB19" s="35"/>
      <c r="BC19" s="35"/>
      <c r="BD19" s="35"/>
      <c r="BE19" s="35"/>
      <c r="BF19" s="35"/>
      <c r="BG19" s="35"/>
    </row>
    <row r="20">
      <c r="A20" s="55" t="str">
        <f>IFERROR(__xludf.DUMMYFUNCTION("""COMPUTED_VALUE"""),"Tiktok")</f>
        <v>Tiktok</v>
      </c>
      <c r="B20" s="56">
        <f>IFERROR(__xludf.DUMMYFUNCTION("""COMPUTED_VALUE"""),46187.0)</f>
        <v>46187</v>
      </c>
      <c r="C20" s="55" t="str">
        <f>IFERROR(__xludf.DUMMYFUNCTION("""COMPUTED_VALUE"""),"June")</f>
        <v>June</v>
      </c>
      <c r="D20" s="58" t="str">
        <f>IFERROR(__xludf.DUMMYFUNCTION("""COMPUTED_VALUE"""),"https://www.tiktok.com/@the.jewels.edit/video/7651282136271490317")</f>
        <v>https://www.tiktok.com/@the.jewels.edit/video/7651282136271490317</v>
      </c>
      <c r="E20" s="55" t="str">
        <f>IFERROR(__xludf.DUMMYFUNCTION("""COMPUTED_VALUE"""),"@the.jewels.edit")</f>
        <v>@the.jewels.edit</v>
      </c>
      <c r="F20" s="55" t="str">
        <f>IFERROR(__xludf.DUMMYFUNCTION("""COMPUTED_VALUE"""),"Julianne Biagioli")</f>
        <v>Julianne Biagioli</v>
      </c>
      <c r="G20" s="55" t="str">
        <f>IFERROR(__xludf.DUMMYFUNCTION("""COMPUTED_VALUE"""),"Target Shelf Showdown")</f>
        <v>Target Shelf Showdown</v>
      </c>
      <c r="H20" s="55">
        <f>IFERROR(__xludf.DUMMYFUNCTION("""COMPUTED_VALUE"""),46.0)</f>
        <v>46</v>
      </c>
      <c r="I20" s="55">
        <f>IFERROR(__xludf.DUMMYFUNCTION("""COMPUTED_VALUE"""),29.9)</f>
        <v>29.9</v>
      </c>
      <c r="J20" s="55" t="str">
        <f>IFERROR(__xludf.DUMMYFUNCTION("""COMPUTED_VALUE"""),"Consider")</f>
        <v>Consider</v>
      </c>
      <c r="K20" s="55" t="str">
        <f>IFERROR(__xludf.DUMMYFUNCTION("""COMPUTED_VALUE"""),"Yes")</f>
        <v>Yes</v>
      </c>
      <c r="L20" s="55" t="str">
        <f>IFERROR(__xludf.DUMMYFUNCTION("""COMPUTED_VALUE"""),"Score 29.6 nearing 30 threshold; 6-sec 18.5% nearing 25% threshold")</f>
        <v>Score 29.6 nearing 30 threshold; 6-sec 18.5% nearing 25% threshold</v>
      </c>
      <c r="M20" s="59" t="str">
        <f>IFERROR(__xludf.DUMMYFUNCTION("""COMPUTED_VALUE"""),"Algorithm spent low")</f>
        <v>Algorithm spent low</v>
      </c>
      <c r="N20" s="55"/>
      <c r="O20" s="55"/>
      <c r="P20" s="59">
        <f>IFERROR(__xludf.DUMMYFUNCTION("""COMPUTED_VALUE"""),104.0)</f>
        <v>104</v>
      </c>
      <c r="Q20" s="59">
        <f>IFERROR(__xludf.DUMMYFUNCTION("""COMPUTED_VALUE"""),3.0)</f>
        <v>3</v>
      </c>
      <c r="R20" s="59">
        <f>IFERROR(__xludf.DUMMYFUNCTION("""COMPUTED_VALUE"""),0.0)</f>
        <v>0</v>
      </c>
      <c r="S20" s="55"/>
      <c r="T20" s="68">
        <f>IFERROR(__xludf.DUMMYFUNCTION("""COMPUTED_VALUE"""),18.5)</f>
        <v>18.5</v>
      </c>
      <c r="U20" s="55"/>
      <c r="V20" s="62">
        <f>IFERROR(__xludf.DUMMYFUNCTION("""COMPUTED_VALUE"""),0.02884615385)</f>
        <v>0.02884615385</v>
      </c>
      <c r="W20" s="63">
        <f>IFERROR(__xludf.DUMMYFUNCTION("""COMPUTED_VALUE"""),72.99)</f>
        <v>72.99</v>
      </c>
      <c r="X20" s="59">
        <f>IFERROR(__xludf.DUMMYFUNCTION("""COMPUTED_VALUE"""),223.0)</f>
        <v>223</v>
      </c>
      <c r="Y20" s="59">
        <f>IFERROR(__xludf.DUMMYFUNCTION("""COMPUTED_VALUE"""),4.0)</f>
        <v>4</v>
      </c>
      <c r="Z20" s="59">
        <f>IFERROR(__xludf.DUMMYFUNCTION("""COMPUTED_VALUE"""),0.0)</f>
        <v>0</v>
      </c>
      <c r="AA20" s="59">
        <f>IFERROR(__xludf.DUMMYFUNCTION("""COMPUTED_VALUE"""),0.0)</f>
        <v>0</v>
      </c>
      <c r="AB20" s="64">
        <f>IFERROR(__xludf.DUMMYFUNCTION("""COMPUTED_VALUE"""),4.0)</f>
        <v>4</v>
      </c>
      <c r="AC20" s="62">
        <f>IFERROR(__xludf.DUMMYFUNCTION("""COMPUTED_VALUE"""),1.7)</f>
        <v>1.7</v>
      </c>
      <c r="AD20" s="62">
        <f>IFERROR(__xludf.DUMMYFUNCTION("""COMPUTED_VALUE"""),36.6)</f>
        <v>36.6</v>
      </c>
      <c r="AE20" s="62">
        <f>IFERROR(__xludf.DUMMYFUNCTION("""COMPUTED_VALUE"""),11.4)</f>
        <v>11.4</v>
      </c>
      <c r="AF20" s="55" t="str">
        <f>IFERROR(__xludf.DUMMYFUNCTION("""COMPUTED_VALUE"""),"Yes")</f>
        <v>Yes</v>
      </c>
      <c r="AG20" s="63">
        <f>IFERROR(__xludf.DUMMYFUNCTION("""COMPUTED_VALUE"""),0.08)</f>
        <v>0.08</v>
      </c>
      <c r="AH20" s="59">
        <f>IFERROR(__xludf.DUMMYFUNCTION("""COMPUTED_VALUE"""),113.0)</f>
        <v>113</v>
      </c>
      <c r="AI20" s="55"/>
      <c r="AJ20" s="59">
        <f>IFERROR(__xludf.DUMMYFUNCTION("""COMPUTED_VALUE"""),1.0)</f>
        <v>1</v>
      </c>
      <c r="AK20" s="62">
        <f>IFERROR(__xludf.DUMMYFUNCTION("""COMPUTED_VALUE"""),0.885)</f>
        <v>0.885</v>
      </c>
      <c r="AL20" s="65">
        <f>IFERROR(__xludf.DUMMYFUNCTION("""COMPUTED_VALUE"""),0.08)</f>
        <v>0.08</v>
      </c>
      <c r="AM20" s="55" t="str">
        <f>IFERROR(__xludf.DUMMYFUNCTION("""COMPUTED_VALUE"""),"#mIDYYUcL6epxe8wcduc6lpa7aUfaoQsBPVZeFV4joerNunvBx19mNuEnnPzUvo8=")</f>
        <v>#mIDYYUcL6epxe8wcduc6lpa7aUfaoQsBPVZeFV4joerNunvBx19mNuEnnPzUvo8=</v>
      </c>
      <c r="AN20" s="55"/>
      <c r="AO20" s="58" t="str">
        <f>IFERROR(__xludf.DUMMYFUNCTION("""COMPUTED_VALUE"""),"https://us.brand.joinbrands.com/job/687402")</f>
        <v>https://us.brand.joinbrands.com/job/687402</v>
      </c>
      <c r="AP20" s="55" t="str">
        <f>IFERROR(__xludf.DUMMYFUNCTION("""COMPUTED_VALUE"""),"NA")</f>
        <v>NA</v>
      </c>
      <c r="AQ20" s="55" t="str">
        <f>IFERROR(__xludf.DUMMYFUNCTION("""COMPUTED_VALUE"""),"The best functional coffee @VAHDAM USA @target")</f>
        <v>The best functional coffee @VAHDAM USA @target</v>
      </c>
      <c r="AR20" s="55" t="str">
        <f>IFERROR(__xludf.DUMMYFUNCTION("""COMPUTED_VALUE"""),"I walked to the Target coffee aisle and bought one of everything labeled functional so you don't have to.")</f>
        <v>I walked to the Target coffee aisle and bought one of everything labeled functional so you don't have to.</v>
      </c>
      <c r="AS20" s="55" t="str">
        <f>IFERROR(__xludf.DUMMYFUNCTION("""COMPUTED_VALUE"""),"In-Store / Target Discovery")</f>
        <v>In-Store / Target Discovery</v>
      </c>
      <c r="AT20" s="55" t="str">
        <f>IFERROR(__xludf.DUMMYFUNCTION("""COMPUTED_VALUE"""),"• This bottom coffee is the only ashwagandha coffee on these shelves and it is more than just mushrooms blended with coffee.
• Lots of functional coffees at Target are just mushroom coffee.
• Lion's Mane, Shaga, Reishi.
• It has 300 mg KSM 66 ashwagandha "&amp;"per serve.")</f>
        <v>• This bottom coffee is the only ashwagandha coffee on these shelves and it is more than just mushrooms blended with coffee.
• Lots of functional coffees at Target are just mushroom coffee.
• Lion's Mane, Shaga, Reishi.
• It has 300 mg KSM 66 ashwagandha per serve.</v>
      </c>
      <c r="AU20" s="55" t="str">
        <f>IFERROR(__xludf.DUMMYFUNCTION("""COMPUTED_VALUE"""),"So run to Target or buy it on Target.com and you can thank me later.")</f>
        <v>So run to Target or buy it on Target.com and you can thank me later.</v>
      </c>
      <c r="AV20" s="55" t="str">
        <f>IFERROR(__xludf.DUMMYFUNCTION("""COMPUTED_VALUE"""),"I walked to the Target coffee aisle and bought one of everything labeled functional so you don't have to. Here's the breakdown. Lots of functional coffees at Target are just mushroom coffee. Lion's Mane, Shaga, Reishi. This bottom coffee is the only ashwa"&amp;"gandha coffee on these shelves and it is more than just mushrooms blended with coffee. It has 300 mg KSM 66 ashwagandha per serve. That's the clinically studied, patented form shown to actually reduce cortisol by 28%. Two cups of this gives you half your "&amp;"daily recommended dose. If you need coffee that actually does something, then this is the one. You can enjoy it hot or over ice like I do. So run to Target or buy it on Target.com and you can thank me later.")</f>
        <v>I walked to the Target coffee aisle and bought one of everything labeled functional so you don't have to. Here's the breakdown. Lots of functional coffees at Target are just mushroom coffee. Lion's Mane, Shaga, Reishi. This bottom coffee is the only ashwagandha coffee on these shelves and it is more than just mushrooms blended with coffee. It has 300 mg KSM 66 ashwagandha per serve. That's the clinically studied, patented form shown to actually reduce cortisol by 28%. Two cups of this gives you half your daily recommended dose. If you need coffee that actually does something, then this is the one. You can enjoy it hot or over ice like I do. So run to Target or buy it on Target.com and you can thank me later.</v>
      </c>
      <c r="AW20" s="35"/>
      <c r="AX20" s="35"/>
      <c r="AY20" s="35"/>
      <c r="AZ20" s="35"/>
      <c r="BA20" s="36" t="s">
        <v>452</v>
      </c>
      <c r="BB20" s="35"/>
      <c r="BC20" s="35"/>
      <c r="BD20" s="35"/>
      <c r="BE20" s="35"/>
      <c r="BF20" s="35"/>
      <c r="BG20" s="35"/>
    </row>
    <row r="21" ht="15.75" customHeight="1">
      <c r="A21" s="55" t="str">
        <f>IFERROR(__xludf.DUMMYFUNCTION("""COMPUTED_VALUE"""),"Instagram")</f>
        <v>Instagram</v>
      </c>
      <c r="B21" s="56">
        <f>IFERROR(__xludf.DUMMYFUNCTION("""COMPUTED_VALUE"""),46201.0)</f>
        <v>46201</v>
      </c>
      <c r="C21" s="55" t="str">
        <f>IFERROR(__xludf.DUMMYFUNCTION("""COMPUTED_VALUE"""),"June")</f>
        <v>June</v>
      </c>
      <c r="D21" s="58" t="str">
        <f>IFERROR(__xludf.DUMMYFUNCTION("""COMPUTED_VALUE"""),"https://www.instagram.com/reel/DZsP8Hegks4/")</f>
        <v>https://www.instagram.com/reel/DZsP8Hegks4/</v>
      </c>
      <c r="E21" s="55" t="str">
        <f>IFERROR(__xludf.DUMMYFUNCTION("""COMPUTED_VALUE"""),"@sarahs_homeandfashion")</f>
        <v>@sarahs_homeandfashion</v>
      </c>
      <c r="F21" s="55" t="str">
        <f>IFERROR(__xludf.DUMMYFUNCTION("""COMPUTED_VALUE"""),"NA")</f>
        <v>NA</v>
      </c>
      <c r="G21" s="55" t="str">
        <f>IFERROR(__xludf.DUMMYFUNCTION("""COMPUTED_VALUE"""),"Gummies vs Coffee")</f>
        <v>Gummies vs Coffee</v>
      </c>
      <c r="H21" s="55">
        <f>IFERROR(__xludf.DUMMYFUNCTION("""COMPUTED_VALUE"""),32.0)</f>
        <v>32</v>
      </c>
      <c r="I21" s="55">
        <f>IFERROR(__xludf.DUMMYFUNCTION("""COMPUTED_VALUE"""),17.9)</f>
        <v>17.9</v>
      </c>
      <c r="J21" s="55" t="str">
        <f>IFERROR(__xludf.DUMMYFUNCTION("""COMPUTED_VALUE"""),"Consider")</f>
        <v>Consider</v>
      </c>
      <c r="K21" s="55" t="str">
        <f>IFERROR(__xludf.DUMMYFUNCTION("""COMPUTED_VALUE"""),"No")</f>
        <v>No</v>
      </c>
      <c r="L21" s="55" t="str">
        <f>IFERROR(__xludf.DUMMYFUNCTION("""COMPUTED_VALUE"""),"Score 18.5 nearing 20 threshold")</f>
        <v>Score 18.5 nearing 20 threshold</v>
      </c>
      <c r="M21" s="59" t="str">
        <f>IFERROR(__xludf.DUMMYFUNCTION("""COMPUTED_VALUE"""),"No Ad Data")</f>
        <v>No Ad Data</v>
      </c>
      <c r="N21" s="55"/>
      <c r="O21" s="55"/>
      <c r="P21" s="59">
        <f>IFERROR(__xludf.DUMMYFUNCTION("""COMPUTED_VALUE"""),215.0)</f>
        <v>215</v>
      </c>
      <c r="Q21" s="59">
        <f>IFERROR(__xludf.DUMMYFUNCTION("""COMPUTED_VALUE"""),2.0)</f>
        <v>2</v>
      </c>
      <c r="R21" s="59">
        <f>IFERROR(__xludf.DUMMYFUNCTION("""COMPUTED_VALUE"""),0.0)</f>
        <v>0</v>
      </c>
      <c r="S21" s="55"/>
      <c r="T21" s="68">
        <f>IFERROR(__xludf.DUMMYFUNCTION("""COMPUTED_VALUE"""),0.0)</f>
        <v>0</v>
      </c>
      <c r="U21" s="55"/>
      <c r="V21" s="62">
        <f>IFERROR(__xludf.DUMMYFUNCTION("""COMPUTED_VALUE"""),0.0116)</f>
        <v>0.0116</v>
      </c>
      <c r="W21" s="63">
        <f>IFERROR(__xludf.DUMMYFUNCTION("""COMPUTED_VALUE"""),72.99)</f>
        <v>72.99</v>
      </c>
      <c r="X21" s="59">
        <f>IFERROR(__xludf.DUMMYFUNCTION("""COMPUTED_VALUE"""),215.0)</f>
        <v>215</v>
      </c>
      <c r="Y21" s="59">
        <f>IFERROR(__xludf.DUMMYFUNCTION("""COMPUTED_VALUE"""),2.0)</f>
        <v>2</v>
      </c>
      <c r="Z21" s="59">
        <f>IFERROR(__xludf.DUMMYFUNCTION("""COMPUTED_VALUE"""),0.0)</f>
        <v>0</v>
      </c>
      <c r="AA21" s="59">
        <f>IFERROR(__xludf.DUMMYFUNCTION("""COMPUTED_VALUE"""),0.0)</f>
        <v>0</v>
      </c>
      <c r="AB21" s="64">
        <f>IFERROR(__xludf.DUMMYFUNCTION("""COMPUTED_VALUE"""),0.0)</f>
        <v>0</v>
      </c>
      <c r="AC21" s="62">
        <f>IFERROR(__xludf.DUMMYFUNCTION("""COMPUTED_VALUE"""),0.0116)</f>
        <v>0.0116</v>
      </c>
      <c r="AD21" s="62">
        <f>IFERROR(__xludf.DUMMYFUNCTION("""COMPUTED_VALUE"""),0.0)</f>
        <v>0</v>
      </c>
      <c r="AE21" s="62">
        <f>IFERROR(__xludf.DUMMYFUNCTION("""COMPUTED_VALUE"""),0.0)</f>
        <v>0</v>
      </c>
      <c r="AF21" s="55"/>
      <c r="AG21" s="55"/>
      <c r="AH21" s="55"/>
      <c r="AI21" s="55"/>
      <c r="AJ21" s="55"/>
      <c r="AK21" s="55"/>
      <c r="AL21" s="55"/>
      <c r="AM21" s="55" t="str">
        <f>IFERROR(__xludf.DUMMYFUNCTION("""COMPUTED_VALUE"""),"No Code")</f>
        <v>No Code</v>
      </c>
      <c r="AN21" s="55"/>
      <c r="AO21" s="55" t="str">
        <f>IFERROR(__xludf.DUMMYFUNCTION("""COMPUTED_VALUE"""),"NA")</f>
        <v>NA</v>
      </c>
      <c r="AP21" s="55" t="str">
        <f>IFERROR(__xludf.DUMMYFUNCTION("""COMPUTED_VALUE"""),"NA")</f>
        <v>NA</v>
      </c>
      <c r="AQ21" s="55" t="str">
        <f>IFERROR(__xludf.DUMMYFUNCTION("""COMPUTED_VALUE"""),"Starting my mornings with a little extra focus and calm â˜•âœ¨ Loving this ashwagandha coffee from @Vahdam and how easy it is to add to my routine. Perfect for those busy days when you need a balanced...")</f>
        <v>Starting my mornings with a little extra focus and calm â˜•âœ¨ Loving this ashwagandha coffee from @Vahdam and how easy it is to add to my routine. Perfect for those busy days when you need a balanced...</v>
      </c>
      <c r="AR21" s="55" t="str">
        <f>IFERROR(__xludf.DUMMYFUNCTION("""COMPUTED_VALUE"""),"I kept forgetting my ashwagandha gummies.")</f>
        <v>I kept forgetting my ashwagandha gummies.</v>
      </c>
      <c r="AS21" s="55" t="str">
        <f>IFERROR(__xludf.DUMMYFUNCTION("""COMPUTED_VALUE"""),"General / Lifestyle")</f>
        <v>General / Lifestyle</v>
      </c>
      <c r="AT21" s="55" t="str">
        <f>IFERROR(__xludf.DUMMYFUNCTION("""COMPUTED_VALUE"""),"• This coffee helps with daily stress, calm energy, clarity, mood, and focus.
• It's made with L-theanine, turmeric, lion's mane, and chaga.
• When I found ashwagandha coffee by Vodham, I had to give it a try.
• I never forgot my coffee.")</f>
        <v>• This coffee helps with daily stress, calm energy, clarity, mood, and focus.
• It's made with L-theanine, turmeric, lion's mane, and chaga.
• When I found ashwagandha coffee by Vodham, I had to give it a try.
• I never forgot my coffee.</v>
      </c>
      <c r="AU21" s="55" t="str">
        <f>IFERROR(__xludf.DUMMYFUNCTION("""COMPUTED_VALUE"""),"When I found ashwagandha coffee by Vodham, I had to give it a try.")</f>
        <v>When I found ashwagandha coffee by Vodham, I had to give it a try.</v>
      </c>
      <c r="AV21" s="55" t="str">
        <f>IFERROR(__xludf.DUMMYFUNCTION("""COMPUTED_VALUE"""),"I kept forgetting my ashwagandha gummies. I never forgot my coffee. When I found ashwagandha coffee by Vodham, I had to give it a try. I didn't need a new habit. I just needed a better version of the one I had. This coffee helps with daily stress, calm en"&amp;"ergy, clarity, mood, and focus. It's made with L-theanine, turmeric, lion's mane, and chaga. And one scoop equals two daily cups of your coffee. Thank you.")</f>
        <v>I kept forgetting my ashwagandha gummies. I never forgot my coffee. When I found ashwagandha coffee by Vodham, I had to give it a try. I didn't need a new habit. I just needed a better version of the one I had. This coffee helps with daily stress, calm energy, clarity, mood, and focus. It's made with L-theanine, turmeric, lion's mane, and chaga. And one scoop equals two daily cups of your coffee. Thank you.</v>
      </c>
      <c r="AW21" s="35"/>
      <c r="AX21" s="35"/>
      <c r="AY21" s="35"/>
      <c r="AZ21" s="35"/>
      <c r="BA21" s="36" t="s">
        <v>457</v>
      </c>
      <c r="BB21" s="35"/>
      <c r="BC21" s="35"/>
      <c r="BD21" s="35"/>
      <c r="BE21" s="35"/>
      <c r="BF21" s="35"/>
      <c r="BG21" s="35"/>
    </row>
    <row r="22" ht="15.75" customHeight="1">
      <c r="A22" s="55" t="str">
        <f>IFERROR(__xludf.DUMMYFUNCTION("""COMPUTED_VALUE"""),"Instagram")</f>
        <v>Instagram</v>
      </c>
      <c r="B22" s="56">
        <f>IFERROR(__xludf.DUMMYFUNCTION("""COMPUTED_VALUE"""),46192.0)</f>
        <v>46192</v>
      </c>
      <c r="C22" s="55" t="str">
        <f>IFERROR(__xludf.DUMMYFUNCTION("""COMPUTED_VALUE"""),"June")</f>
        <v>June</v>
      </c>
      <c r="D22" s="58" t="str">
        <f>IFERROR(__xludf.DUMMYFUNCTION("""COMPUTED_VALUE"""),"https://www.instagram.com/reel/DZwDsSHuxbC/")</f>
        <v>https://www.instagram.com/reel/DZwDsSHuxbC/</v>
      </c>
      <c r="E22" s="55" t="str">
        <f>IFERROR(__xludf.DUMMYFUNCTION("""COMPUTED_VALUE"""),"northlynnliving")</f>
        <v>northlynnliving</v>
      </c>
      <c r="F22" s="55" t="str">
        <f>IFERROR(__xludf.DUMMYFUNCTION("""COMPUTED_VALUE"""),"NA")</f>
        <v>NA</v>
      </c>
      <c r="G22" s="55" t="str">
        <f>IFERROR(__xludf.DUMMYFUNCTION("""COMPUTED_VALUE"""),"Countering Mushroom Coffee Trend")</f>
        <v>Countering Mushroom Coffee Trend</v>
      </c>
      <c r="H22" s="55">
        <f>IFERROR(__xludf.DUMMYFUNCTION("""COMPUTED_VALUE"""),37.0)</f>
        <v>37</v>
      </c>
      <c r="I22" s="55">
        <f>IFERROR(__xludf.DUMMYFUNCTION("""COMPUTED_VALUE"""),26.1)</f>
        <v>26.1</v>
      </c>
      <c r="J22" s="55" t="str">
        <f>IFERROR(__xludf.DUMMYFUNCTION("""COMPUTED_VALUE"""),"Consider")</f>
        <v>Consider</v>
      </c>
      <c r="K22" s="55" t="str">
        <f>IFERROR(__xludf.DUMMYFUNCTION("""COMPUTED_VALUE"""),"Yes")</f>
        <v>Yes</v>
      </c>
      <c r="L22" s="55" t="str">
        <f>IFERROR(__xludf.DUMMYFUNCTION("""COMPUTED_VALUE"""),"Score 18.5 nearing 20 threshold")</f>
        <v>Score 18.5 nearing 20 threshold</v>
      </c>
      <c r="M22" s="59" t="str">
        <f>IFERROR(__xludf.DUMMYFUNCTION("""COMPUTED_VALUE"""),"No Ad Data")</f>
        <v>No Ad Data</v>
      </c>
      <c r="N22" s="55" t="str">
        <f>IFERROR(__xludf.DUMMYFUNCTION("""COMPUTED_VALUE"""),"11UGC-Mushroom-CTA-northlynnliving")</f>
        <v>11UGC-Mushroom-CTA-northlynnliving</v>
      </c>
      <c r="O22" s="77" t="str">
        <f>IFERROR(__xludf.DUMMYFUNCTION("""COMPUTED_VALUE"""),"https://buy.vahdam.com/coffee-cta-ugc-mushroom")</f>
        <v>https://buy.vahdam.com/coffee-cta-ugc-mushroom</v>
      </c>
      <c r="P22" s="59">
        <f>IFERROR(__xludf.DUMMYFUNCTION("""COMPUTED_VALUE"""),210.0)</f>
        <v>210</v>
      </c>
      <c r="Q22" s="59">
        <f>IFERROR(__xludf.DUMMYFUNCTION("""COMPUTED_VALUE"""),19.0)</f>
        <v>19</v>
      </c>
      <c r="R22" s="59">
        <f>IFERROR(__xludf.DUMMYFUNCTION("""COMPUTED_VALUE"""),0.0)</f>
        <v>0</v>
      </c>
      <c r="S22" s="55"/>
      <c r="T22" s="68">
        <f>IFERROR(__xludf.DUMMYFUNCTION("""COMPUTED_VALUE"""),0.0)</f>
        <v>0</v>
      </c>
      <c r="U22" s="55"/>
      <c r="V22" s="62">
        <f>IFERROR(__xludf.DUMMYFUNCTION("""COMPUTED_VALUE"""),0.0095)</f>
        <v>0.0095</v>
      </c>
      <c r="W22" s="63">
        <f>IFERROR(__xludf.DUMMYFUNCTION("""COMPUTED_VALUE"""),117.58)</f>
        <v>117.58</v>
      </c>
      <c r="X22" s="59">
        <f>IFERROR(__xludf.DUMMYFUNCTION("""COMPUTED_VALUE"""),210.0)</f>
        <v>210</v>
      </c>
      <c r="Y22" s="59">
        <f>IFERROR(__xludf.DUMMYFUNCTION("""COMPUTED_VALUE"""),2.0)</f>
        <v>2</v>
      </c>
      <c r="Z22" s="59">
        <f>IFERROR(__xludf.DUMMYFUNCTION("""COMPUTED_VALUE"""),0.0)</f>
        <v>0</v>
      </c>
      <c r="AA22" s="59">
        <f>IFERROR(__xludf.DUMMYFUNCTION("""COMPUTED_VALUE"""),0.0)</f>
        <v>0</v>
      </c>
      <c r="AB22" s="64">
        <f>IFERROR(__xludf.DUMMYFUNCTION("""COMPUTED_VALUE"""),0.0)</f>
        <v>0</v>
      </c>
      <c r="AC22" s="62">
        <f>IFERROR(__xludf.DUMMYFUNCTION("""COMPUTED_VALUE"""),0.0095)</f>
        <v>0.0095</v>
      </c>
      <c r="AD22" s="62">
        <f>IFERROR(__xludf.DUMMYFUNCTION("""COMPUTED_VALUE"""),0.0)</f>
        <v>0</v>
      </c>
      <c r="AE22" s="62">
        <f>IFERROR(__xludf.DUMMYFUNCTION("""COMPUTED_VALUE"""),0.0)</f>
        <v>0</v>
      </c>
      <c r="AF22" s="55" t="str">
        <f>IFERROR(__xludf.DUMMYFUNCTION("""COMPUTED_VALUE"""),"Yes")</f>
        <v>Yes</v>
      </c>
      <c r="AG22" s="55"/>
      <c r="AH22" s="55"/>
      <c r="AI22" s="55"/>
      <c r="AJ22" s="55"/>
      <c r="AK22" s="55"/>
      <c r="AL22" s="55"/>
      <c r="AM22" s="55" t="str">
        <f>IFERROR(__xludf.DUMMYFUNCTION("""COMPUTED_VALUE"""),"Q9jTBBXXbIOTBSewVAyzIxFJZEU-eCjipPTHT1WOmdf1Xv-q1aPDb71U7Grka4plqJw")</f>
        <v>Q9jTBBXXbIOTBSewVAyzIxFJZEU-eCjipPTHT1WOmdf1Xv-q1aPDb71U7Grka4plqJw</v>
      </c>
      <c r="AN22" s="55"/>
      <c r="AO22" s="55" t="str">
        <f>IFERROR(__xludf.DUMMYFUNCTION("""COMPUTED_VALUE"""),"NA")</f>
        <v>NA</v>
      </c>
      <c r="AP22" s="55" t="str">
        <f>IFERROR(__xludf.DUMMYFUNCTION("""COMPUTED_VALUE"""),"NA")</f>
        <v>NA</v>
      </c>
      <c r="AQ22" s="55" t="str">
        <f>IFERROR(__xludf.DUMMYFUNCTION("""COMPUTED_VALUE"""),"NA")</f>
        <v>NA</v>
      </c>
      <c r="AR22" s="55" t="str">
        <f>IFERROR(__xludf.DUMMYFUNCTION("""COMPUTED_VALUE"""),"Can we talk about the 2 p.m.")</f>
        <v>Can we talk about the 2 p.m.</v>
      </c>
      <c r="AS22" s="55" t="str">
        <f>IFERROR(__xludf.DUMMYFUNCTION("""COMPUTED_VALUE"""),"General / Lifestyle")</f>
        <v>General / Lifestyle</v>
      </c>
      <c r="AT22" s="55" t="str">
        <f>IFERROR(__xludf.DUMMYFUNCTION("""COMPUTED_VALUE"""),"• I love coffee, but lately I felt like I was stuck in the cycle of coffee, energy boost, crash, repeat.
• It's coffee powered with five wellness ingredients and one cup.
• Then I found Vodum Ashwagandha Coffee at Target.
• And honestly, this felt like su"&amp;"ch a smart upgrade.")</f>
        <v>• I love coffee, but lately I felt like I was stuck in the cycle of coffee, energy boost, crash, repeat.
• It's coffee powered with five wellness ingredients and one cup.
• Then I found Vodum Ashwagandha Coffee at Target.
• And honestly, this felt like such a smart upgrade.</v>
      </c>
      <c r="AU22" s="55" t="str">
        <f>IFERROR(__xludf.DUMMYFUNCTION("""COMPUTED_VALUE"""),"And if you're over 40 like I am and thinking more about stress, cortisol, weight management, and just feeling balanced, this feels like such an easy wellness swap.")</f>
        <v>And if you're over 40 like I am and thinking more about stress, cortisol, weight management, and just feeling balanced, this feels like such an easy wellness swap.</v>
      </c>
      <c r="AV22" s="55" t="str">
        <f>IFERROR(__xludf.DUMMYFUNCTION("""COMPUTED_VALUE"""),"Can we talk about the 2 p.m. afternoon crash? Because I don't have time for that anymore. I love coffee, but lately I felt like I was stuck in the cycle of coffee, energy boost, crash, repeat. Then I found Vodum Ashwagandha Coffee at Target. And honestly,"&amp;" this felt like such a smart upgrade. And this is not regular coffee. It's coffee powered with five wellness ingredients and one cup. It's creative for people who want their daily coffee to do more. And if you're over 40 like I am and thinking more about "&amp;"stress, cortisol, weight management, and just feeling balanced, this feels like such an easy wellness swap.")</f>
        <v>Can we talk about the 2 p.m. afternoon crash? Because I don't have time for that anymore. I love coffee, but lately I felt like I was stuck in the cycle of coffee, energy boost, crash, repeat. Then I found Vodum Ashwagandha Coffee at Target. And honestly, this felt like such a smart upgrade. And this is not regular coffee. It's coffee powered with five wellness ingredients and one cup. It's creative for people who want their daily coffee to do more. And if you're over 40 like I am and thinking more about stress, cortisol, weight management, and just feeling balanced, this feels like such an easy wellness swap.</v>
      </c>
      <c r="AW22" s="35"/>
      <c r="AX22" s="35"/>
      <c r="AY22" s="35"/>
      <c r="AZ22" s="35"/>
      <c r="BA22" s="36" t="s">
        <v>458</v>
      </c>
      <c r="BB22" s="35"/>
      <c r="BC22" s="35"/>
      <c r="BD22" s="35"/>
      <c r="BE22" s="35"/>
      <c r="BF22" s="35"/>
      <c r="BG22" s="35"/>
    </row>
    <row r="23" ht="15.75" customHeight="1">
      <c r="A23" s="55" t="str">
        <f>IFERROR(__xludf.DUMMYFUNCTION("""COMPUTED_VALUE"""),"Instagram")</f>
        <v>Instagram</v>
      </c>
      <c r="B23" s="56">
        <f>IFERROR(__xludf.DUMMYFUNCTION("""COMPUTED_VALUE"""),46198.0)</f>
        <v>46198</v>
      </c>
      <c r="C23" s="55" t="str">
        <f>IFERROR(__xludf.DUMMYFUNCTION("""COMPUTED_VALUE"""),"June")</f>
        <v>June</v>
      </c>
      <c r="D23" s="58" t="str">
        <f>IFERROR(__xludf.DUMMYFUNCTION("""COMPUTED_VALUE"""),"https://www.instagram.com/reel/DZ-OTohu0Xz/")</f>
        <v>https://www.instagram.com/reel/DZ-OTohu0Xz/</v>
      </c>
      <c r="E23" s="55" t="str">
        <f>IFERROR(__xludf.DUMMYFUNCTION("""COMPUTED_VALUE"""),"@na")</f>
        <v>@na</v>
      </c>
      <c r="F23" s="55" t="str">
        <f>IFERROR(__xludf.DUMMYFUNCTION("""COMPUTED_VALUE"""),"NA")</f>
        <v>NA</v>
      </c>
      <c r="G23" s="55" t="str">
        <f>IFERROR(__xludf.DUMMYFUNCTION("""COMPUTED_VALUE"""),"Countering Mushroom Coffee Trend")</f>
        <v>Countering Mushroom Coffee Trend</v>
      </c>
      <c r="H23" s="55">
        <f>IFERROR(__xludf.DUMMYFUNCTION("""COMPUTED_VALUE"""),23.0)</f>
        <v>23</v>
      </c>
      <c r="I23" s="55">
        <f>IFERROR(__xludf.DUMMYFUNCTION("""COMPUTED_VALUE"""),16.0)</f>
        <v>16</v>
      </c>
      <c r="J23" s="55" t="str">
        <f>IFERROR(__xludf.DUMMYFUNCTION("""COMPUTED_VALUE"""),"Consider")</f>
        <v>Consider</v>
      </c>
      <c r="K23" s="55" t="str">
        <f>IFERROR(__xludf.DUMMYFUNCTION("""COMPUTED_VALUE"""),"No")</f>
        <v>No</v>
      </c>
      <c r="L23" s="55" t="str">
        <f>IFERROR(__xludf.DUMMYFUNCTION("""COMPUTED_VALUE"""),"Score 16.3 nearing 20 threshold")</f>
        <v>Score 16.3 nearing 20 threshold</v>
      </c>
      <c r="M23" s="59" t="str">
        <f>IFERROR(__xludf.DUMMYFUNCTION("""COMPUTED_VALUE"""),"No Ad Data")</f>
        <v>No Ad Data</v>
      </c>
      <c r="N23" s="59" t="str">
        <f>IFERROR(__xludf.DUMMYFUNCTION("""COMPUTED_VALUE"""),"Video Removed")</f>
        <v>Video Removed</v>
      </c>
      <c r="O23" s="55"/>
      <c r="P23" s="59">
        <f>IFERROR(__xludf.DUMMYFUNCTION("""COMPUTED_VALUE"""),197.0)</f>
        <v>197</v>
      </c>
      <c r="Q23" s="59">
        <f>IFERROR(__xludf.DUMMYFUNCTION("""COMPUTED_VALUE"""),1.0)</f>
        <v>1</v>
      </c>
      <c r="R23" s="59">
        <f>IFERROR(__xludf.DUMMYFUNCTION("""COMPUTED_VALUE"""),0.0)</f>
        <v>0</v>
      </c>
      <c r="S23" s="55"/>
      <c r="T23" s="68">
        <f>IFERROR(__xludf.DUMMYFUNCTION("""COMPUTED_VALUE"""),0.0)</f>
        <v>0</v>
      </c>
      <c r="U23" s="55"/>
      <c r="V23" s="62">
        <f>IFERROR(__xludf.DUMMYFUNCTION("""COMPUTED_VALUE"""),0.0)</f>
        <v>0</v>
      </c>
      <c r="W23" s="63">
        <f>IFERROR(__xludf.DUMMYFUNCTION("""COMPUTED_VALUE"""),117.58)</f>
        <v>117.58</v>
      </c>
      <c r="X23" s="59">
        <f>IFERROR(__xludf.DUMMYFUNCTION("""COMPUTED_VALUE"""),197.0)</f>
        <v>197</v>
      </c>
      <c r="Y23" s="59">
        <f>IFERROR(__xludf.DUMMYFUNCTION("""COMPUTED_VALUE"""),1.0)</f>
        <v>1</v>
      </c>
      <c r="Z23" s="59">
        <f>IFERROR(__xludf.DUMMYFUNCTION("""COMPUTED_VALUE"""),0.0)</f>
        <v>0</v>
      </c>
      <c r="AA23" s="59">
        <f>IFERROR(__xludf.DUMMYFUNCTION("""COMPUTED_VALUE"""),0.0)</f>
        <v>0</v>
      </c>
      <c r="AB23" s="64">
        <f>IFERROR(__xludf.DUMMYFUNCTION("""COMPUTED_VALUE"""),0.0)</f>
        <v>0</v>
      </c>
      <c r="AC23" s="62">
        <f>IFERROR(__xludf.DUMMYFUNCTION("""COMPUTED_VALUE"""),0.0)</f>
        <v>0</v>
      </c>
      <c r="AD23" s="62">
        <f>IFERROR(__xludf.DUMMYFUNCTION("""COMPUTED_VALUE"""),0.0)</f>
        <v>0</v>
      </c>
      <c r="AE23" s="62">
        <f>IFERROR(__xludf.DUMMYFUNCTION("""COMPUTED_VALUE"""),0.0)</f>
        <v>0</v>
      </c>
      <c r="AF23" s="55"/>
      <c r="AG23" s="55"/>
      <c r="AH23" s="55"/>
      <c r="AI23" s="55"/>
      <c r="AJ23" s="55"/>
      <c r="AK23" s="55"/>
      <c r="AL23" s="55"/>
      <c r="AM23" s="55" t="str">
        <f>IFERROR(__xludf.DUMMYFUNCTION("""COMPUTED_VALUE"""),"Q9jTBBWRhySebatVvvtoyJk0J7LXC5TALM8IPHlkopxgT2W3Ny-QCHNxvUojOGCIMZ8")</f>
        <v>Q9jTBBWRhySebatVvvtoyJk0J7LXC5TALM8IPHlkopxgT2W3Ny-QCHNxvUojOGCIMZ8</v>
      </c>
      <c r="AN23" s="55"/>
      <c r="AO23" s="55" t="str">
        <f>IFERROR(__xludf.DUMMYFUNCTION("""COMPUTED_VALUE"""),"NA")</f>
        <v>NA</v>
      </c>
      <c r="AP23" s="55" t="str">
        <f>IFERROR(__xludf.DUMMYFUNCTION("""COMPUTED_VALUE"""),"NA")</f>
        <v>NA</v>
      </c>
      <c r="AQ23" s="55" t="str">
        <f>IFERROR(__xludf.DUMMYFUNCTION("""COMPUTED_VALUE"""),"NA")</f>
        <v>NA</v>
      </c>
      <c r="AR23" s="55" t="str">
        <f>IFERROR(__xludf.DUMMYFUNCTION("""COMPUTED_VALUE"""),"The wellness trend that is actually worth it.")</f>
        <v>The wellness trend that is actually worth it.</v>
      </c>
      <c r="AS23" s="55" t="str">
        <f>IFERROR(__xludf.DUMMYFUNCTION("""COMPUTED_VALUE"""),"General / Lifestyle")</f>
        <v>General / Lifestyle</v>
      </c>
      <c r="AT23" s="55" t="str">
        <f>IFERROR(__xludf.DUMMYFUNCTION("""COMPUTED_VALUE"""),"• Unlike other wellness brands that leaves a bad aftertaste, this ashwagandha blend gives you a calm energy boost with a premium coffee flavor.
• It is the simple delicious upgrade your morning routine has been missing.
• Stop guessing which health coffee"&amp;" to buy.")</f>
        <v>• Unlike other wellness brands that leaves a bad aftertaste, this ashwagandha blend gives you a calm energy boost with a premium coffee flavor.
• It is the simple delicious upgrade your morning routine has been missing.
• Stop guessing which health coffee to buy.</v>
      </c>
      <c r="AU23" s="55" t="str">
        <f>IFERROR(__xludf.DUMMYFUNCTION("""COMPUTED_VALUE"""),"Available at Target and Target.com.")</f>
        <v>Available at Target and Target.com.</v>
      </c>
      <c r="AV23" s="55" t="str">
        <f>IFERROR(__xludf.DUMMYFUNCTION("""COMPUTED_VALUE"""),"The wellness trend that is actually worth it. Stop guessing which health coffee to buy. Unlike other wellness brands that leaves a bad aftertaste, this ashwagandha blend gives you a calm energy boost with a premium coffee flavor. It is the simple deliciou"&amp;"s upgrade your morning routine has been missing. Available at Target and Target.com.")</f>
        <v>The wellness trend that is actually worth it. Stop guessing which health coffee to buy. Unlike other wellness brands that leaves a bad aftertaste, this ashwagandha blend gives you a calm energy boost with a premium coffee flavor. It is the simple delicious upgrade your morning routine has been missing. Available at Target and Target.com.</v>
      </c>
      <c r="AW23" s="35"/>
      <c r="AX23" s="35"/>
      <c r="AY23" s="35"/>
      <c r="AZ23" s="35"/>
      <c r="BA23" s="36" t="s">
        <v>459</v>
      </c>
      <c r="BB23" s="35"/>
      <c r="BC23" s="35"/>
      <c r="BD23" s="35"/>
      <c r="BE23" s="35"/>
      <c r="BF23" s="35"/>
      <c r="BG23" s="35"/>
    </row>
    <row r="24" ht="15.75" customHeight="1">
      <c r="A24" s="55" t="str">
        <f>IFERROR(__xludf.DUMMYFUNCTION("""COMPUTED_VALUE"""),"Instagram")</f>
        <v>Instagram</v>
      </c>
      <c r="B24" s="56">
        <f>IFERROR(__xludf.DUMMYFUNCTION("""COMPUTED_VALUE"""),46195.0)</f>
        <v>46195</v>
      </c>
      <c r="C24" s="55" t="str">
        <f>IFERROR(__xludf.DUMMYFUNCTION("""COMPUTED_VALUE"""),"June")</f>
        <v>June</v>
      </c>
      <c r="D24" s="58" t="str">
        <f>IFERROR(__xludf.DUMMYFUNCTION("""COMPUTED_VALUE"""),"https://www.instagram.com/reel/DZxhyx7T0nY/")</f>
        <v>https://www.instagram.com/reel/DZxhyx7T0nY/</v>
      </c>
      <c r="E24" s="55" t="str">
        <f>IFERROR(__xludf.DUMMYFUNCTION("""COMPUTED_VALUE"""),"@na")</f>
        <v>@na</v>
      </c>
      <c r="F24" s="55" t="str">
        <f>IFERROR(__xludf.DUMMYFUNCTION("""COMPUTED_VALUE"""),"NA")</f>
        <v>NA</v>
      </c>
      <c r="G24" s="55" t="str">
        <f>IFERROR(__xludf.DUMMYFUNCTION("""COMPUTED_VALUE"""),"Gummies vs Coffee")</f>
        <v>Gummies vs Coffee</v>
      </c>
      <c r="H24" s="55" t="str">
        <f>IFERROR(__xludf.DUMMYFUNCTION("""COMPUTED_VALUE"""),"NA")</f>
        <v>NA</v>
      </c>
      <c r="I24" s="55">
        <f>IFERROR(__xludf.DUMMYFUNCTION("""COMPUTED_VALUE"""),15.8)</f>
        <v>15.8</v>
      </c>
      <c r="J24" s="55" t="str">
        <f>IFERROR(__xludf.DUMMYFUNCTION("""COMPUTED_VALUE"""),"Consider")</f>
        <v>Consider</v>
      </c>
      <c r="K24" s="55" t="str">
        <f>IFERROR(__xludf.DUMMYFUNCTION("""COMPUTED_VALUE"""),"No")</f>
        <v>No</v>
      </c>
      <c r="L24" s="55" t="str">
        <f>IFERROR(__xludf.DUMMYFUNCTION("""COMPUTED_VALUE"""),"Score 16.2 nearing 20 threshold")</f>
        <v>Score 16.2 nearing 20 threshold</v>
      </c>
      <c r="M24" s="59" t="str">
        <f>IFERROR(__xludf.DUMMYFUNCTION("""COMPUTED_VALUE"""),"No Ad Data")</f>
        <v>No Ad Data</v>
      </c>
      <c r="N24" s="55"/>
      <c r="O24" s="55"/>
      <c r="P24" s="59">
        <f>IFERROR(__xludf.DUMMYFUNCTION("""COMPUTED_VALUE"""),184.0)</f>
        <v>184</v>
      </c>
      <c r="Q24" s="59">
        <f>IFERROR(__xludf.DUMMYFUNCTION("""COMPUTED_VALUE"""),1.0)</f>
        <v>1</v>
      </c>
      <c r="R24" s="59">
        <f>IFERROR(__xludf.DUMMYFUNCTION("""COMPUTED_VALUE"""),0.0)</f>
        <v>0</v>
      </c>
      <c r="S24" s="55"/>
      <c r="T24" s="68">
        <f>IFERROR(__xludf.DUMMYFUNCTION("""COMPUTED_VALUE"""),0.0)</f>
        <v>0</v>
      </c>
      <c r="U24" s="55"/>
      <c r="V24" s="62">
        <f>IFERROR(__xludf.DUMMYFUNCTION("""COMPUTED_VALUE"""),0.0054)</f>
        <v>0.0054</v>
      </c>
      <c r="W24" s="63">
        <f>IFERROR(__xludf.DUMMYFUNCTION("""COMPUTED_VALUE"""),72.99)</f>
        <v>72.99</v>
      </c>
      <c r="X24" s="59">
        <f>IFERROR(__xludf.DUMMYFUNCTION("""COMPUTED_VALUE"""),184.0)</f>
        <v>184</v>
      </c>
      <c r="Y24" s="59">
        <f>IFERROR(__xludf.DUMMYFUNCTION("""COMPUTED_VALUE"""),1.0)</f>
        <v>1</v>
      </c>
      <c r="Z24" s="59">
        <f>IFERROR(__xludf.DUMMYFUNCTION("""COMPUTED_VALUE"""),0.0)</f>
        <v>0</v>
      </c>
      <c r="AA24" s="59">
        <f>IFERROR(__xludf.DUMMYFUNCTION("""COMPUTED_VALUE"""),0.0)</f>
        <v>0</v>
      </c>
      <c r="AB24" s="64">
        <f>IFERROR(__xludf.DUMMYFUNCTION("""COMPUTED_VALUE"""),0.0)</f>
        <v>0</v>
      </c>
      <c r="AC24" s="62">
        <f>IFERROR(__xludf.DUMMYFUNCTION("""COMPUTED_VALUE"""),0.0054)</f>
        <v>0.0054</v>
      </c>
      <c r="AD24" s="62">
        <f>IFERROR(__xludf.DUMMYFUNCTION("""COMPUTED_VALUE"""),0.0)</f>
        <v>0</v>
      </c>
      <c r="AE24" s="62">
        <f>IFERROR(__xludf.DUMMYFUNCTION("""COMPUTED_VALUE"""),0.0)</f>
        <v>0</v>
      </c>
      <c r="AF24" s="55"/>
      <c r="AG24" s="55"/>
      <c r="AH24" s="55"/>
      <c r="AI24" s="55"/>
      <c r="AJ24" s="55"/>
      <c r="AK24" s="55"/>
      <c r="AL24" s="55"/>
      <c r="AM24" s="55" t="str">
        <f>IFERROR(__xludf.DUMMYFUNCTION("""COMPUTED_VALUE"""),"Q9jTBBXsO9bZVCDYWy962-U5dyX7RzIPWtTqsTfJMlqRN12-Rvh-sY8fJ5BIKiwIq8Y")</f>
        <v>Q9jTBBXsO9bZVCDYWy962-U5dyX7RzIPWtTqsTfJMlqRN12-Rvh-sY8fJ5BIKiwIq8Y</v>
      </c>
      <c r="AN24" s="55"/>
      <c r="AO24" s="55" t="str">
        <f>IFERROR(__xludf.DUMMYFUNCTION("""COMPUTED_VALUE"""),"NA")</f>
        <v>NA</v>
      </c>
      <c r="AP24" s="55" t="str">
        <f>IFERROR(__xludf.DUMMYFUNCTION("""COMPUTED_VALUE"""),"NA")</f>
        <v>NA</v>
      </c>
      <c r="AQ24" s="55" t="str">
        <f>IFERROR(__xludf.DUMMYFUNCTION("""COMPUTED_VALUE"""),"NA")</f>
        <v>NA</v>
      </c>
      <c r="AR24" s="55" t="str">
        <f>IFERROR(__xludf.DUMMYFUNCTION("""COMPUTED_VALUE"""),"NA")</f>
        <v>NA</v>
      </c>
      <c r="AS24" s="55" t="str">
        <f>IFERROR(__xludf.DUMMYFUNCTION("""COMPUTED_VALUE"""),"NA")</f>
        <v>NA</v>
      </c>
      <c r="AT24" s="55" t="str">
        <f>IFERROR(__xludf.DUMMYFUNCTION("""COMPUTED_VALUE"""),"NA")</f>
        <v>NA</v>
      </c>
      <c r="AU24" s="55" t="str">
        <f>IFERROR(__xludf.DUMMYFUNCTION("""COMPUTED_VALUE"""),"NA")</f>
        <v>NA</v>
      </c>
      <c r="AV24" s="55"/>
      <c r="AW24" s="35"/>
      <c r="AX24" s="35"/>
      <c r="AY24" s="35"/>
      <c r="AZ24" s="35"/>
      <c r="BA24" s="36" t="s">
        <v>460</v>
      </c>
      <c r="BB24" s="35"/>
      <c r="BC24" s="35"/>
      <c r="BD24" s="35"/>
      <c r="BE24" s="35"/>
      <c r="BF24" s="35"/>
      <c r="BG24" s="35"/>
    </row>
    <row r="25" ht="15.75" customHeight="1">
      <c r="A25" s="55" t="str">
        <f>IFERROR(__xludf.DUMMYFUNCTION("""COMPUTED_VALUE"""),"Instagram")</f>
        <v>Instagram</v>
      </c>
      <c r="B25" s="56">
        <f>IFERROR(__xludf.DUMMYFUNCTION("""COMPUTED_VALUE"""),46201.0)</f>
        <v>46201</v>
      </c>
      <c r="C25" s="55" t="str">
        <f>IFERROR(__xludf.DUMMYFUNCTION("""COMPUTED_VALUE"""),"June")</f>
        <v>June</v>
      </c>
      <c r="D25" s="58" t="str">
        <f>IFERROR(__xludf.DUMMYFUNCTION("""COMPUTED_VALUE"""),"https://www.instagram.com/reel/DZugwFURTl0/")</f>
        <v>https://www.instagram.com/reel/DZugwFURTl0/</v>
      </c>
      <c r="E25" s="55" t="str">
        <f>IFERROR(__xludf.DUMMYFUNCTION("""COMPUTED_VALUE"""),"@sandi_armacost")</f>
        <v>@sandi_armacost</v>
      </c>
      <c r="F25" s="55" t="str">
        <f>IFERROR(__xludf.DUMMYFUNCTION("""COMPUTED_VALUE"""),"NA")</f>
        <v>NA</v>
      </c>
      <c r="G25" s="55" t="str">
        <f>IFERROR(__xludf.DUMMYFUNCTION("""COMPUTED_VALUE"""),"Gummies vs Coffee")</f>
        <v>Gummies vs Coffee</v>
      </c>
      <c r="H25" s="55">
        <f>IFERROR(__xludf.DUMMYFUNCTION("""COMPUTED_VALUE"""),73.0)</f>
        <v>73</v>
      </c>
      <c r="I25" s="55">
        <f>IFERROR(__xludf.DUMMYFUNCTION("""COMPUTED_VALUE"""),18.8)</f>
        <v>18.8</v>
      </c>
      <c r="J25" s="55" t="str">
        <f>IFERROR(__xludf.DUMMYFUNCTION("""COMPUTED_VALUE"""),"Consider")</f>
        <v>Consider</v>
      </c>
      <c r="K25" s="55" t="str">
        <f>IFERROR(__xludf.DUMMYFUNCTION("""COMPUTED_VALUE"""),"No")</f>
        <v>No</v>
      </c>
      <c r="L25" s="55" t="str">
        <f>IFERROR(__xludf.DUMMYFUNCTION("""COMPUTED_VALUE"""),"Score 19.5 nearing 20 threshold")</f>
        <v>Score 19.5 nearing 20 threshold</v>
      </c>
      <c r="M25" s="59" t="str">
        <f>IFERROR(__xludf.DUMMYFUNCTION("""COMPUTED_VALUE"""),"No Ad Data")</f>
        <v>No Ad Data</v>
      </c>
      <c r="N25" s="55"/>
      <c r="O25" s="55"/>
      <c r="P25" s="59">
        <f>IFERROR(__xludf.DUMMYFUNCTION("""COMPUTED_VALUE"""),181.0)</f>
        <v>181</v>
      </c>
      <c r="Q25" s="59">
        <f>IFERROR(__xludf.DUMMYFUNCTION("""COMPUTED_VALUE"""),3.0)</f>
        <v>3</v>
      </c>
      <c r="R25" s="59">
        <f>IFERROR(__xludf.DUMMYFUNCTION("""COMPUTED_VALUE"""),0.0)</f>
        <v>0</v>
      </c>
      <c r="S25" s="55"/>
      <c r="T25" s="68">
        <f>IFERROR(__xludf.DUMMYFUNCTION("""COMPUTED_VALUE"""),0.0)</f>
        <v>0</v>
      </c>
      <c r="U25" s="55"/>
      <c r="V25" s="62">
        <f>IFERROR(__xludf.DUMMYFUNCTION("""COMPUTED_VALUE"""),0.0198)</f>
        <v>0.0198</v>
      </c>
      <c r="W25" s="63">
        <f>IFERROR(__xludf.DUMMYFUNCTION("""COMPUTED_VALUE"""),72.99)</f>
        <v>72.99</v>
      </c>
      <c r="X25" s="59">
        <f>IFERROR(__xludf.DUMMYFUNCTION("""COMPUTED_VALUE"""),181.0)</f>
        <v>181</v>
      </c>
      <c r="Y25" s="59">
        <f>IFERROR(__xludf.DUMMYFUNCTION("""COMPUTED_VALUE"""),3.0)</f>
        <v>3</v>
      </c>
      <c r="Z25" s="59">
        <f>IFERROR(__xludf.DUMMYFUNCTION("""COMPUTED_VALUE"""),0.0)</f>
        <v>0</v>
      </c>
      <c r="AA25" s="59">
        <f>IFERROR(__xludf.DUMMYFUNCTION("""COMPUTED_VALUE"""),0.0)</f>
        <v>0</v>
      </c>
      <c r="AB25" s="64">
        <f>IFERROR(__xludf.DUMMYFUNCTION("""COMPUTED_VALUE"""),0.0)</f>
        <v>0</v>
      </c>
      <c r="AC25" s="62">
        <f>IFERROR(__xludf.DUMMYFUNCTION("""COMPUTED_VALUE"""),0.0198)</f>
        <v>0.0198</v>
      </c>
      <c r="AD25" s="62">
        <f>IFERROR(__xludf.DUMMYFUNCTION("""COMPUTED_VALUE"""),0.0)</f>
        <v>0</v>
      </c>
      <c r="AE25" s="62">
        <f>IFERROR(__xludf.DUMMYFUNCTION("""COMPUTED_VALUE"""),0.0)</f>
        <v>0</v>
      </c>
      <c r="AF25" s="55"/>
      <c r="AG25" s="55"/>
      <c r="AH25" s="55"/>
      <c r="AI25" s="55"/>
      <c r="AJ25" s="55"/>
      <c r="AK25" s="55"/>
      <c r="AL25" s="55"/>
      <c r="AM25" s="55" t="str">
        <f>IFERROR(__xludf.DUMMYFUNCTION("""COMPUTED_VALUE"""),"Q9jTBBWKSRz0rxLHiiqjVraemgRLIScC-9A_3CJm2hVtABEaDeY6XOKA5Ebv_sVpBA")</f>
        <v>Q9jTBBWKSRz0rxLHiiqjVraemgRLIScC-9A_3CJm2hVtABEaDeY6XOKA5Ebv_sVpBA</v>
      </c>
      <c r="AN25" s="55"/>
      <c r="AO25" s="55" t="str">
        <f>IFERROR(__xludf.DUMMYFUNCTION("""COMPUTED_VALUE"""),"NA")</f>
        <v>NA</v>
      </c>
      <c r="AP25" s="55" t="str">
        <f>IFERROR(__xludf.DUMMYFUNCTION("""COMPUTED_VALUE"""),"NA")</f>
        <v>NA</v>
      </c>
      <c r="AQ25" s="55" t="str">
        <f>IFERROR(__xludf.DUMMYFUNCTION("""COMPUTED_VALUE"""),"Stop with the gummies, try this coffee instead!!")</f>
        <v>Stop with the gummies, try this coffee instead!!</v>
      </c>
      <c r="AR25" s="55" t="str">
        <f>IFERROR(__xludf.DUMMYFUNCTION("""COMPUTED_VALUE"""),"I'm just too grown to be eating wellness candy every day.")</f>
        <v>I'm just too grown to be eating wellness candy every day.</v>
      </c>
      <c r="AS25" s="55" t="str">
        <f>IFERROR(__xludf.DUMMYFUNCTION("""COMPUTED_VALUE"""),"General / Lifestyle")</f>
        <v>General / Lifestyle</v>
      </c>
      <c r="AT25" s="55" t="str">
        <f>IFERROR(__xludf.DUMMYFUNCTION("""COMPUTED_VALUE"""),"• No shade to anyone that loves their gummies, but I hit a point where I looked at my supplement routine and I thought, I'm eating four pieces of candy every morning and calling it wellness.
• That's four grams of sugar every day. just for your cortisol s"&amp;"upplement.
• I'd rather get my ashwagandha from my coffee.
• Ashwagandha and the thing I already drink every morning like an adult who needs to get to work.")</f>
        <v>• No shade to anyone that loves their gummies, but I hit a point where I looked at my supplement routine and I thought, I'm eating four pieces of candy every morning and calling it wellness.
• That's four grams of sugar every day. just for your cortisol supplement.
• I'd rather get my ashwagandha from my coffee.
• Ashwagandha and the thing I already drink every morning like an adult who needs to get to work.</v>
      </c>
      <c r="AU25" s="55" t="str">
        <f>IFERROR(__xludf.DUMMYFUNCTION("""COMPUTED_VALUE"""),"You can buy this now at Target stores or online.")</f>
        <v>You can buy this now at Target stores or online.</v>
      </c>
      <c r="AV25" s="55" t="str">
        <f>IFERROR(__xludf.DUMMYFUNCTION("""COMPUTED_VALUE"""),"I'm just too grown to be eating wellness candy every day. No shade to anyone that loves their gummies, but I hit a point where I looked at my supplement routine and I thought, I'm eating four pieces of candy every morning and calling it wellness. That's n"&amp;"ot wellness. And genuinely, the gummy format isn't wrong. It's just limited. You need four goalie gummies to hit your daily ashwagandha dose. That's four grams of sugar every day. just for your cortisol supplement. I'd rather get my ashwagandha from my co"&amp;"ffee. Delicious. Vondham Ashwagandha Coffee. Two cups. 300 milligrams KSM 66 per cup. No sugar. No candy format. And oh, did I tell you about the other good stuff too? Curcuminoids from turmeric. L-theanine, Lion's Maid, and Changa. Ashwagandha and the th"&amp;"ing I already drink every morning like an adult who needs to get to work. No candy. You can buy this now at Target stores or online. Comment and I can share the link too.")</f>
        <v>I'm just too grown to be eating wellness candy every day. No shade to anyone that loves their gummies, but I hit a point where I looked at my supplement routine and I thought, I'm eating four pieces of candy every morning and calling it wellness. That's not wellness. And genuinely, the gummy format isn't wrong. It's just limited. You need four goalie gummies to hit your daily ashwagandha dose. That's four grams of sugar every day. just for your cortisol supplement. I'd rather get my ashwagandha from my coffee. Delicious. Vondham Ashwagandha Coffee. Two cups. 300 milligrams KSM 66 per cup. No sugar. No candy format. And oh, did I tell you about the other good stuff too? Curcuminoids from turmeric. L-theanine, Lion's Maid, and Changa. Ashwagandha and the thing I already drink every morning like an adult who needs to get to work. No candy. You can buy this now at Target stores or online. Comment and I can share the link too.</v>
      </c>
      <c r="AW25" s="35"/>
      <c r="AX25" s="35"/>
      <c r="AY25" s="35"/>
      <c r="AZ25" s="35"/>
      <c r="BA25" s="36" t="s">
        <v>461</v>
      </c>
      <c r="BB25" s="35"/>
      <c r="BC25" s="35"/>
      <c r="BD25" s="35"/>
      <c r="BE25" s="35"/>
      <c r="BF25" s="35"/>
      <c r="BG25" s="35"/>
    </row>
    <row r="26" ht="15.75" customHeight="1">
      <c r="A26" s="55" t="str">
        <f>IFERROR(__xludf.DUMMYFUNCTION("""COMPUTED_VALUE"""),"Instagram")</f>
        <v>Instagram</v>
      </c>
      <c r="B26" s="56">
        <f>IFERROR(__xludf.DUMMYFUNCTION("""COMPUTED_VALUE"""),46185.0)</f>
        <v>46185</v>
      </c>
      <c r="C26" s="55" t="str">
        <f>IFERROR(__xludf.DUMMYFUNCTION("""COMPUTED_VALUE"""),"June")</f>
        <v>June</v>
      </c>
      <c r="D26" s="58" t="str">
        <f>IFERROR(__xludf.DUMMYFUNCTION("""COMPUTED_VALUE"""),"https://www.instagram.com/reel/DZfC8Y0sTto/")</f>
        <v>https://www.instagram.com/reel/DZfC8Y0sTto/</v>
      </c>
      <c r="E26" s="55" t="str">
        <f>IFERROR(__xludf.DUMMYFUNCTION("""COMPUTED_VALUE"""),"@na")</f>
        <v>@na</v>
      </c>
      <c r="F26" s="55" t="str">
        <f>IFERROR(__xludf.DUMMYFUNCTION("""COMPUTED_VALUE"""),"NA")</f>
        <v>NA</v>
      </c>
      <c r="G26" s="55" t="str">
        <f>IFERROR(__xludf.DUMMYFUNCTION("""COMPUTED_VALUE"""),"Target Shelf Showdown")</f>
        <v>Target Shelf Showdown</v>
      </c>
      <c r="H26" s="55">
        <f>IFERROR(__xludf.DUMMYFUNCTION("""COMPUTED_VALUE"""),51.0)</f>
        <v>51</v>
      </c>
      <c r="I26" s="55">
        <f>IFERROR(__xludf.DUMMYFUNCTION("""COMPUTED_VALUE"""),17.5)</f>
        <v>17.5</v>
      </c>
      <c r="J26" s="55" t="str">
        <f>IFERROR(__xludf.DUMMYFUNCTION("""COMPUTED_VALUE"""),"Consider")</f>
        <v>Consider</v>
      </c>
      <c r="K26" s="55" t="str">
        <f>IFERROR(__xludf.DUMMYFUNCTION("""COMPUTED_VALUE"""),"No")</f>
        <v>No</v>
      </c>
      <c r="L26" s="55" t="str">
        <f>IFERROR(__xludf.DUMMYFUNCTION("""COMPUTED_VALUE"""),"Score 18.1 nearing 20 threshold")</f>
        <v>Score 18.1 nearing 20 threshold</v>
      </c>
      <c r="M26" s="59" t="str">
        <f>IFERROR(__xludf.DUMMYFUNCTION("""COMPUTED_VALUE"""),"No Ad Data")</f>
        <v>No Ad Data</v>
      </c>
      <c r="N26" s="55"/>
      <c r="O26" s="55"/>
      <c r="P26" s="59">
        <f>IFERROR(__xludf.DUMMYFUNCTION("""COMPUTED_VALUE"""),179.0)</f>
        <v>179</v>
      </c>
      <c r="Q26" s="59">
        <f>IFERROR(__xludf.DUMMYFUNCTION("""COMPUTED_VALUE"""),2.0)</f>
        <v>2</v>
      </c>
      <c r="R26" s="59">
        <f>IFERROR(__xludf.DUMMYFUNCTION("""COMPUTED_VALUE"""),0.0)</f>
        <v>0</v>
      </c>
      <c r="S26" s="55"/>
      <c r="T26" s="68">
        <f>IFERROR(__xludf.DUMMYFUNCTION("""COMPUTED_VALUE"""),0.0)</f>
        <v>0</v>
      </c>
      <c r="U26" s="55"/>
      <c r="V26" s="62">
        <f>IFERROR(__xludf.DUMMYFUNCTION("""COMPUTED_VALUE"""),0.01117318436)</f>
        <v>0.01117318436</v>
      </c>
      <c r="W26" s="63">
        <f>IFERROR(__xludf.DUMMYFUNCTION("""COMPUTED_VALUE"""),72.99)</f>
        <v>72.99</v>
      </c>
      <c r="X26" s="59">
        <f>IFERROR(__xludf.DUMMYFUNCTION("""COMPUTED_VALUE"""),179.0)</f>
        <v>179</v>
      </c>
      <c r="Y26" s="59">
        <f>IFERROR(__xludf.DUMMYFUNCTION("""COMPUTED_VALUE"""),2.0)</f>
        <v>2</v>
      </c>
      <c r="Z26" s="59">
        <f>IFERROR(__xludf.DUMMYFUNCTION("""COMPUTED_VALUE"""),0.0)</f>
        <v>0</v>
      </c>
      <c r="AA26" s="59">
        <f>IFERROR(__xludf.DUMMYFUNCTION("""COMPUTED_VALUE"""),0.0)</f>
        <v>0</v>
      </c>
      <c r="AB26" s="64">
        <f>IFERROR(__xludf.DUMMYFUNCTION("""COMPUTED_VALUE"""),0.0)</f>
        <v>0</v>
      </c>
      <c r="AC26" s="62">
        <f>IFERROR(__xludf.DUMMYFUNCTION("""COMPUTED_VALUE"""),0.01117318436)</f>
        <v>0.01117318436</v>
      </c>
      <c r="AD26" s="62">
        <f>IFERROR(__xludf.DUMMYFUNCTION("""COMPUTED_VALUE"""),0.0)</f>
        <v>0</v>
      </c>
      <c r="AE26" s="62">
        <f>IFERROR(__xludf.DUMMYFUNCTION("""COMPUTED_VALUE"""),0.0)</f>
        <v>0</v>
      </c>
      <c r="AF26" s="55"/>
      <c r="AG26" s="55"/>
      <c r="AH26" s="55"/>
      <c r="AI26" s="55"/>
      <c r="AJ26" s="55"/>
      <c r="AK26" s="55"/>
      <c r="AL26" s="55"/>
      <c r="AM26" s="55" t="str">
        <f>IFERROR(__xludf.DUMMYFUNCTION("""COMPUTED_VALUE"""),"Q9jTBBXLgqMsl7_xfEG0F_vCZC-OX9isbm5RPNd3ljsV22T1wl15DENtM_ezVjNQXR0")</f>
        <v>Q9jTBBXLgqMsl7_xfEG0F_vCZC-OX9isbm5RPNd3ljsV22T1wl15DENtM_ezVjNQXR0</v>
      </c>
      <c r="AN26" s="55"/>
      <c r="AO26" s="55" t="str">
        <f>IFERROR(__xludf.DUMMYFUNCTION("""COMPUTED_VALUE"""),"NA")</f>
        <v>NA</v>
      </c>
      <c r="AP26" s="55" t="str">
        <f>IFERROR(__xludf.DUMMYFUNCTION("""COMPUTED_VALUE"""),"NA")</f>
        <v>NA</v>
      </c>
      <c r="AQ26" s="55" t="str">
        <f>IFERROR(__xludf.DUMMYFUNCTION("""COMPUTED_VALUE"""),"NA")</f>
        <v>NA</v>
      </c>
      <c r="AR26" s="55" t="str">
        <f>IFERROR(__xludf.DUMMYFUNCTION("""COMPUTED_VALUE"""),"Mushroom coffee had its moment.")</f>
        <v>Mushroom coffee had its moment.</v>
      </c>
      <c r="AS26" s="55" t="str">
        <f>IFERROR(__xludf.DUMMYFUNCTION("""COMPUTED_VALUE"""),"General / Lifestyle")</f>
        <v>General / Lifestyle</v>
      </c>
      <c r="AT26" s="55" t="str">
        <f>IFERROR(__xludf.DUMMYFUNCTION("""COMPUTED_VALUE"""),"• It's made with 100% Arabica coffee and KSM66 ashwagandha, plus ingredients like LT&amp;E, turmeric, lion's mane, and chaga.
• This is ashwagandha coffee, and it's actually the only coffee I've seen at Target that addresses cortisol.
• Sure, mushrooms suppor"&amp;"t focus, but they don't touch cortisol, and chronically elevated cortisol is what leaves so many people feeling tired, foggy, bloated, and drained.
• Two cups provide the full recommended daily serving, making it an easy addition to your morning routine.")</f>
        <v>• It's made with 100% Arabica coffee and KSM66 ashwagandha, plus ingredients like LT&amp;E, turmeric, lion's mane, and chaga.
• This is ashwagandha coffee, and it's actually the only coffee I've seen at Target that addresses cortisol.
• Sure, mushrooms support focus, but they don't touch cortisol, and chronically elevated cortisol is what leaves so many people feeling tired, foggy, bloated, and drained.
• Two cups provide the full recommended daily serving, making it an easy addition to your morning routine.</v>
      </c>
      <c r="AU26" s="55" t="str">
        <f>IFERROR(__xludf.DUMMYFUNCTION("""COMPUTED_VALUE"""),"It's already a top-selling functional coffee and now it's available at Target stores and online.")</f>
        <v>It's already a top-selling functional coffee and now it's available at Target stores and online.</v>
      </c>
      <c r="AV26" s="55" t="str">
        <f>IFERROR(__xludf.DUMMYFUNCTION("""COMPUTED_VALUE"""),"Mushroom coffee had its moment. This is what is replacing it. It did something important. It proved people want more from their morning cup. Sure, mushrooms support focus, but they don't touch cortisol, and chronically elevated cortisol is what leaves so "&amp;"many people feeling tired, foggy, bloated, and drained. This is ashwagandha coffee, and it's actually the only coffee I've seen at Target that addresses cortisol. And yes, you can even find it at Target.com. It's made with 100% Arabica coffee and KSM66 as"&amp;"hwagandha, plus ingredients like LT&amp;E, turmeric, lion's mane, and chaga. Two cups provide the full recommended daily serving, making it an easy addition to your morning routine. Mushroom coffee was the warm-up. Ashwagandha coffee is what is replacing it. "&amp;"It's already a top-selling functional coffee and now it's available at Target stores and online.")</f>
        <v>Mushroom coffee had its moment. This is what is replacing it. It did something important. It proved people want more from their morning cup. Sure, mushrooms support focus, but they don't touch cortisol, and chronically elevated cortisol is what leaves so many people feeling tired, foggy, bloated, and drained. This is ashwagandha coffee, and it's actually the only coffee I've seen at Target that addresses cortisol. And yes, you can even find it at Target.com. It's made with 100% Arabica coffee and KSM66 ashwagandha, plus ingredients like LT&amp;E, turmeric, lion's mane, and chaga. Two cups provide the full recommended daily serving, making it an easy addition to your morning routine. Mushroom coffee was the warm-up. Ashwagandha coffee is what is replacing it. It's already a top-selling functional coffee and now it's available at Target stores and online.</v>
      </c>
      <c r="AW26" s="35"/>
      <c r="AX26" s="35"/>
      <c r="AY26" s="35"/>
      <c r="AZ26" s="35"/>
      <c r="BA26" s="36" t="s">
        <v>462</v>
      </c>
      <c r="BB26" s="35"/>
      <c r="BC26" s="35"/>
      <c r="BD26" s="35"/>
      <c r="BE26" s="35"/>
      <c r="BF26" s="35"/>
      <c r="BG26" s="35"/>
    </row>
    <row r="27" ht="15.75" customHeight="1">
      <c r="A27" s="55" t="str">
        <f>IFERROR(__xludf.DUMMYFUNCTION("""COMPUTED_VALUE"""),"Instagram")</f>
        <v>Instagram</v>
      </c>
      <c r="B27" s="56">
        <f>IFERROR(__xludf.DUMMYFUNCTION("""COMPUTED_VALUE"""),46201.0)</f>
        <v>46201</v>
      </c>
      <c r="C27" s="55" t="str">
        <f>IFERROR(__xludf.DUMMYFUNCTION("""COMPUTED_VALUE"""),"June")</f>
        <v>June</v>
      </c>
      <c r="D27" s="58" t="str">
        <f>IFERROR(__xludf.DUMMYFUNCTION("""COMPUTED_VALUE"""),"https://www.instagram.com/reel/DZwRU-sxg6A/")</f>
        <v>https://www.instagram.com/reel/DZwRU-sxg6A/</v>
      </c>
      <c r="E27" s="55" t="str">
        <f>IFERROR(__xludf.DUMMYFUNCTION("""COMPUTED_VALUE"""),"@themayabloom")</f>
        <v>@themayabloom</v>
      </c>
      <c r="F27" s="55" t="str">
        <f>IFERROR(__xludf.DUMMYFUNCTION("""COMPUTED_VALUE"""),"NA")</f>
        <v>NA</v>
      </c>
      <c r="G27" s="55" t="str">
        <f>IFERROR(__xludf.DUMMYFUNCTION("""COMPUTED_VALUE"""),"Gummies vs Coffee")</f>
        <v>Gummies vs Coffee</v>
      </c>
      <c r="H27" s="55">
        <f>IFERROR(__xludf.DUMMYFUNCTION("""COMPUTED_VALUE"""),54.0)</f>
        <v>54</v>
      </c>
      <c r="I27" s="55">
        <f>IFERROR(__xludf.DUMMYFUNCTION("""COMPUTED_VALUE"""),19.0)</f>
        <v>19</v>
      </c>
      <c r="J27" s="55" t="str">
        <f>IFERROR(__xludf.DUMMYFUNCTION("""COMPUTED_VALUE"""),"Consider")</f>
        <v>Consider</v>
      </c>
      <c r="K27" s="55" t="str">
        <f>IFERROR(__xludf.DUMMYFUNCTION("""COMPUTED_VALUE"""),"No")</f>
        <v>No</v>
      </c>
      <c r="L27" s="55" t="str">
        <f>IFERROR(__xludf.DUMMYFUNCTION("""COMPUTED_VALUE"""),"Score 19.3 nearing 20 threshold")</f>
        <v>Score 19.3 nearing 20 threshold</v>
      </c>
      <c r="M27" s="59" t="str">
        <f>IFERROR(__xludf.DUMMYFUNCTION("""COMPUTED_VALUE"""),"No Ad Data")</f>
        <v>No Ad Data</v>
      </c>
      <c r="N27" s="55"/>
      <c r="O27" s="55"/>
      <c r="P27" s="59">
        <f>IFERROR(__xludf.DUMMYFUNCTION("""COMPUTED_VALUE"""),168.0)</f>
        <v>168</v>
      </c>
      <c r="Q27" s="59">
        <f>IFERROR(__xludf.DUMMYFUNCTION("""COMPUTED_VALUE"""),1.0)</f>
        <v>1</v>
      </c>
      <c r="R27" s="59">
        <f>IFERROR(__xludf.DUMMYFUNCTION("""COMPUTED_VALUE"""),3.0)</f>
        <v>3</v>
      </c>
      <c r="S27" s="55"/>
      <c r="T27" s="68">
        <f>IFERROR(__xludf.DUMMYFUNCTION("""COMPUTED_VALUE"""),0.0)</f>
        <v>0</v>
      </c>
      <c r="U27" s="55"/>
      <c r="V27" s="62">
        <f>IFERROR(__xludf.DUMMYFUNCTION("""COMPUTED_VALUE"""),0.16)</f>
        <v>0.16</v>
      </c>
      <c r="W27" s="63">
        <f>IFERROR(__xludf.DUMMYFUNCTION("""COMPUTED_VALUE"""),72.99)</f>
        <v>72.99</v>
      </c>
      <c r="X27" s="59">
        <f>IFERROR(__xludf.DUMMYFUNCTION("""COMPUTED_VALUE"""),168.0)</f>
        <v>168</v>
      </c>
      <c r="Y27" s="59">
        <f>IFERROR(__xludf.DUMMYFUNCTION("""COMPUTED_VALUE"""),1.0)</f>
        <v>1</v>
      </c>
      <c r="Z27" s="59">
        <f>IFERROR(__xludf.DUMMYFUNCTION("""COMPUTED_VALUE"""),3.0)</f>
        <v>3</v>
      </c>
      <c r="AA27" s="59">
        <f>IFERROR(__xludf.DUMMYFUNCTION("""COMPUTED_VALUE"""),0.0)</f>
        <v>0</v>
      </c>
      <c r="AB27" s="64">
        <f>IFERROR(__xludf.DUMMYFUNCTION("""COMPUTED_VALUE"""),0.0)</f>
        <v>0</v>
      </c>
      <c r="AC27" s="62">
        <f>IFERROR(__xludf.DUMMYFUNCTION("""COMPUTED_VALUE"""),0.16)</f>
        <v>0.16</v>
      </c>
      <c r="AD27" s="62">
        <f>IFERROR(__xludf.DUMMYFUNCTION("""COMPUTED_VALUE"""),0.0)</f>
        <v>0</v>
      </c>
      <c r="AE27" s="62">
        <f>IFERROR(__xludf.DUMMYFUNCTION("""COMPUTED_VALUE"""),0.0)</f>
        <v>0</v>
      </c>
      <c r="AF27" s="55"/>
      <c r="AG27" s="55"/>
      <c r="AH27" s="55"/>
      <c r="AI27" s="55"/>
      <c r="AJ27" s="55"/>
      <c r="AK27" s="55"/>
      <c r="AL27" s="55"/>
      <c r="AM27" s="55" t="str">
        <f>IFERROR(__xludf.DUMMYFUNCTION("""COMPUTED_VALUE"""),"Q9jTBBVDxL9AUbViWO4D0n0Pv1ahcPTCMnSQedNCRTBLThCeI3i4i0ScozKlYOQzsEA")</f>
        <v>Q9jTBBVDxL9AUbViWO4D0n0Pv1ahcPTCMnSQedNCRTBLThCeI3i4i0ScozKlYOQzsEA</v>
      </c>
      <c r="AN27" s="55"/>
      <c r="AO27" s="55" t="str">
        <f>IFERROR(__xludf.DUMMYFUNCTION("""COMPUTED_VALUE"""),"NA")</f>
        <v>NA</v>
      </c>
      <c r="AP27" s="55" t="str">
        <f>IFERROR(__xludf.DUMMYFUNCTION("""COMPUTED_VALUE"""),"NA")</f>
        <v>NA</v>
      </c>
      <c r="AQ27" s="55" t="str">
        <f>IFERROR(__xludf.DUMMYFUNCTION("""COMPUTED_VALUE"""),"i thought i needed more supplementsâ€¦ turns out i just needed my coffee to work a little harder â˜•ï¸ðŸ¤ @vahdamusa @target #ad #VAHDAMCoffee #TargetFinds #CoffeeLover #WellnessRoutine MomLife...")</f>
        <v>i thought i needed more supplementsâ€¦ turns out i just needed my coffee to work a little harder â˜•ï¸_x008f_ðŸ¤_x008d_ @vahdamusa @target #ad #VAHDAMCoffee #TargetFinds #CoffeeLover #WellnessRoutine MomLife...</v>
      </c>
      <c r="AR27" s="55" t="str">
        <f>IFERROR(__xludf.DUMMYFUNCTION("""COMPUTED_VALUE"""),"Why would I try to remember to take ashwagandha gummies every day when in reality I never forget to drink my coffee?")</f>
        <v>Why would I try to remember to take ashwagandha gummies every day when in reality I never forget to drink my coffee?</v>
      </c>
      <c r="AS27" s="55" t="str">
        <f>IFERROR(__xludf.DUMMYFUNCTION("""COMPUTED_VALUE"""),"Curiosity / Question")</f>
        <v>Curiosity / Question</v>
      </c>
      <c r="AT27" s="55" t="str">
        <f>IFERROR(__xludf.DUMMYFUNCTION("""COMPUTED_VALUE"""),"• It has KSM-66 Ashwagandha Coffee Extract, L-theanine, turmeric, lion's mane, and shaga, all in your morning cup of coffee.
• And it actually tastes super delicious, so I don't feel like I'm sacrificing my morning ritual.
• When I found Badam Ashwagandha"&amp;" Coffee at Target, it all started to make a lot of sense.
• You can find Vadam Ashwagandha Coffee at all Targets nationwide.")</f>
        <v>• It has KSM-66 Ashwagandha Coffee Extract, L-theanine, turmeric, lion's mane, and shaga, all in your morning cup of coffee.
• And it actually tastes super delicious, so I don't feel like I'm sacrificing my morning ritual.
• When I found Badam Ashwagandha Coffee at Target, it all started to make a lot of sense.
• You can find Vadam Ashwagandha Coffee at all Targets nationwide.</v>
      </c>
      <c r="AU27" s="55" t="str">
        <f>IFERROR(__xludf.DUMMYFUNCTION("""COMPUTED_VALUE"""),"Or, better yet, go to target.com.")</f>
        <v>Or, better yet, go to target.com.</v>
      </c>
      <c r="AV27" s="55" t="str">
        <f>IFERROR(__xludf.DUMMYFUNCTION("""COMPUTED_VALUE"""),"Why would I try to remember to take ashwagandha gummies every day when in reality I never forget to drink my coffee? I bought the gummies, I would stay consistent with them for maybe a week or so, and then they just end up back in my vitamin cabinet. But "&amp;"coffee, that's my non-negotiable. I never skip out on my coffee. When I found Badam Ashwagandha Coffee at Target, it all started to make a lot of sense. It has KSM-66 Ashwagandha Coffee Extract, L-theanine, turmeric, lion's mane, and shaga, all in your mo"&amp;"rning cup of coffee. And it actually tastes super delicious, so I don't feel like I'm sacrificing my morning ritual. If you've been trying to stay consistent with wellness supplements, this one right here was a no-brainer. It was a really super easy switc"&amp;"h. You can find Vadam Ashwagandha Coffee at all Targets nationwide. Or, better yet, go to target.com.")</f>
        <v>Why would I try to remember to take ashwagandha gummies every day when in reality I never forget to drink my coffee? I bought the gummies, I would stay consistent with them for maybe a week or so, and then they just end up back in my vitamin cabinet. But coffee, that's my non-negotiable. I never skip out on my coffee. When I found Badam Ashwagandha Coffee at Target, it all started to make a lot of sense. It has KSM-66 Ashwagandha Coffee Extract, L-theanine, turmeric, lion's mane, and shaga, all in your morning cup of coffee. And it actually tastes super delicious, so I don't feel like I'm sacrificing my morning ritual. If you've been trying to stay consistent with wellness supplements, this one right here was a no-brainer. It was a really super easy switch. You can find Vadam Ashwagandha Coffee at all Targets nationwide. Or, better yet, go to target.com.</v>
      </c>
      <c r="AW27" s="35"/>
      <c r="AX27" s="35"/>
      <c r="AY27" s="35"/>
      <c r="AZ27" s="35"/>
      <c r="BA27" s="36" t="s">
        <v>463</v>
      </c>
      <c r="BB27" s="35"/>
      <c r="BC27" s="35"/>
      <c r="BD27" s="35"/>
      <c r="BE27" s="35"/>
      <c r="BF27" s="35"/>
      <c r="BG27" s="35"/>
    </row>
    <row r="28" ht="15.75" customHeight="1">
      <c r="A28" s="55" t="str">
        <f>IFERROR(__xludf.DUMMYFUNCTION("""COMPUTED_VALUE"""),"Instagram")</f>
        <v>Instagram</v>
      </c>
      <c r="B28" s="56">
        <f>IFERROR(__xludf.DUMMYFUNCTION("""COMPUTED_VALUE"""),46197.0)</f>
        <v>46197</v>
      </c>
      <c r="C28" s="55" t="str">
        <f>IFERROR(__xludf.DUMMYFUNCTION("""COMPUTED_VALUE"""),"June")</f>
        <v>June</v>
      </c>
      <c r="D28" s="58" t="str">
        <f>IFERROR(__xludf.DUMMYFUNCTION("""COMPUTED_VALUE"""),"https://www.instagram.com/reel/DZ8jRVhpqqK/?utm_source=ig_web_copy_link&amp;igsh=NTc4MTIwNjQ2YQ==")</f>
        <v>https://www.instagram.com/reel/DZ8jRVhpqqK/?utm_source=ig_web_copy_link&amp;igsh=NTc4MTIwNjQ2YQ==</v>
      </c>
      <c r="E28" s="55" t="str">
        <f>IFERROR(__xludf.DUMMYFUNCTION("""COMPUTED_VALUE"""),"@na")</f>
        <v>@na</v>
      </c>
      <c r="F28" s="55" t="str">
        <f>IFERROR(__xludf.DUMMYFUNCTION("""COMPUTED_VALUE"""),"NA")</f>
        <v>NA</v>
      </c>
      <c r="G28" s="55" t="str">
        <f>IFERROR(__xludf.DUMMYFUNCTION("""COMPUTED_VALUE"""),"Gummies vs Coffee")</f>
        <v>Gummies vs Coffee</v>
      </c>
      <c r="H28" s="55">
        <f>IFERROR(__xludf.DUMMYFUNCTION("""COMPUTED_VALUE"""),60.0)</f>
        <v>60</v>
      </c>
      <c r="I28" s="55">
        <f>IFERROR(__xludf.DUMMYFUNCTION("""COMPUTED_VALUE"""),18.6)</f>
        <v>18.6</v>
      </c>
      <c r="J28" s="55" t="str">
        <f>IFERROR(__xludf.DUMMYFUNCTION("""COMPUTED_VALUE"""),"Consider")</f>
        <v>Consider</v>
      </c>
      <c r="K28" s="55" t="str">
        <f>IFERROR(__xludf.DUMMYFUNCTION("""COMPUTED_VALUE"""),"No")</f>
        <v>No</v>
      </c>
      <c r="L28" s="55" t="str">
        <f>IFERROR(__xludf.DUMMYFUNCTION("""COMPUTED_VALUE"""),"Score 19.3 nearing 20 threshold")</f>
        <v>Score 19.3 nearing 20 threshold</v>
      </c>
      <c r="M28" s="59" t="str">
        <f>IFERROR(__xludf.DUMMYFUNCTION("""COMPUTED_VALUE"""),"No Ad Data")</f>
        <v>No Ad Data</v>
      </c>
      <c r="N28" s="55"/>
      <c r="O28" s="55"/>
      <c r="P28" s="59">
        <f>IFERROR(__xludf.DUMMYFUNCTION("""COMPUTED_VALUE"""),167.0)</f>
        <v>167</v>
      </c>
      <c r="Q28" s="59">
        <f>IFERROR(__xludf.DUMMYFUNCTION("""COMPUTED_VALUE"""),3.0)</f>
        <v>3</v>
      </c>
      <c r="R28" s="59">
        <f>IFERROR(__xludf.DUMMYFUNCTION("""COMPUTED_VALUE"""),0.0)</f>
        <v>0</v>
      </c>
      <c r="S28" s="55"/>
      <c r="T28" s="68">
        <f>IFERROR(__xludf.DUMMYFUNCTION("""COMPUTED_VALUE"""),0.0)</f>
        <v>0</v>
      </c>
      <c r="U28" s="55"/>
      <c r="V28" s="62">
        <f>IFERROR(__xludf.DUMMYFUNCTION("""COMPUTED_VALUE"""),0.0)</f>
        <v>0</v>
      </c>
      <c r="W28" s="63">
        <f>IFERROR(__xludf.DUMMYFUNCTION("""COMPUTED_VALUE"""),72.99)</f>
        <v>72.99</v>
      </c>
      <c r="X28" s="59">
        <f>IFERROR(__xludf.DUMMYFUNCTION("""COMPUTED_VALUE"""),167.0)</f>
        <v>167</v>
      </c>
      <c r="Y28" s="59">
        <f>IFERROR(__xludf.DUMMYFUNCTION("""COMPUTED_VALUE"""),3.0)</f>
        <v>3</v>
      </c>
      <c r="Z28" s="59">
        <f>IFERROR(__xludf.DUMMYFUNCTION("""COMPUTED_VALUE"""),0.0)</f>
        <v>0</v>
      </c>
      <c r="AA28" s="59">
        <f>IFERROR(__xludf.DUMMYFUNCTION("""COMPUTED_VALUE"""),0.0)</f>
        <v>0</v>
      </c>
      <c r="AB28" s="64">
        <f>IFERROR(__xludf.DUMMYFUNCTION("""COMPUTED_VALUE"""),0.0)</f>
        <v>0</v>
      </c>
      <c r="AC28" s="62">
        <f>IFERROR(__xludf.DUMMYFUNCTION("""COMPUTED_VALUE"""),0.0)</f>
        <v>0</v>
      </c>
      <c r="AD28" s="62">
        <f>IFERROR(__xludf.DUMMYFUNCTION("""COMPUTED_VALUE"""),0.0)</f>
        <v>0</v>
      </c>
      <c r="AE28" s="62">
        <f>IFERROR(__xludf.DUMMYFUNCTION("""COMPUTED_VALUE"""),0.0)</f>
        <v>0</v>
      </c>
      <c r="AF28" s="55"/>
      <c r="AG28" s="55"/>
      <c r="AH28" s="55"/>
      <c r="AI28" s="55"/>
      <c r="AJ28" s="55"/>
      <c r="AK28" s="55"/>
      <c r="AL28" s="55"/>
      <c r="AM28" s="55" t="str">
        <f>IFERROR(__xludf.DUMMYFUNCTION("""COMPUTED_VALUE"""),"Q9jTBBVRmEp3fJgQs7bpj-TRupE-oFSHcv-cxbM0BPMhHMOTwioabVmB-Mm_NuQz91CA")</f>
        <v>Q9jTBBVRmEp3fJgQs7bpj-TRupE-oFSHcv-cxbM0BPMhHMOTwioabVmB-Mm_NuQz91CA</v>
      </c>
      <c r="AN28" s="55"/>
      <c r="AO28" s="55" t="str">
        <f>IFERROR(__xludf.DUMMYFUNCTION("""COMPUTED_VALUE"""),"NA")</f>
        <v>NA</v>
      </c>
      <c r="AP28" s="55" t="str">
        <f>IFERROR(__xludf.DUMMYFUNCTION("""COMPUTED_VALUE"""),"NA")</f>
        <v>NA</v>
      </c>
      <c r="AQ28" s="55" t="str">
        <f>IFERROR(__xludf.DUMMYFUNCTION("""COMPUTED_VALUE"""),"NA")</f>
        <v>NA</v>
      </c>
      <c r="AR28" s="55" t="str">
        <f>IFERROR(__xludf.DUMMYFUNCTION("""COMPUTED_VALUE"""),"I'm too grown to be eating wellness candy every day.")</f>
        <v>I'm too grown to be eating wellness candy every day.</v>
      </c>
      <c r="AS28" s="55" t="str">
        <f>IFERROR(__xludf.DUMMYFUNCTION("""COMPUTED_VALUE"""),"General / Lifestyle")</f>
        <v>General / Lifestyle</v>
      </c>
      <c r="AT28" s="55" t="str">
        <f>IFERROR(__xludf.DUMMYFUNCTION("""COMPUTED_VALUE"""),"• Honestly, no shade to anyone who loves their gummies, but I hit a point where I looked at my supplement routine and thought I'm eating four pieces of candy every morning and calling it wellness.
• Curcuminoids from turmeric, L-theanine, lion's mane, and"&amp;" chaga.
• That's four grams of sugar every day just for your cortisol supplement.
• I'd rather get my ashwagandha from coffee.")</f>
        <v>• Honestly, no shade to anyone who loves their gummies, but I hit a point where I looked at my supplement routine and thought I'm eating four pieces of candy every morning and calling it wellness.
• Curcuminoids from turmeric, L-theanine, lion's mane, and chaga.
• That's four grams of sugar every day just for your cortisol supplement.
• I'd rather get my ashwagandha from coffee.</v>
      </c>
      <c r="AU28" s="55" t="str">
        <f>IFERROR(__xludf.DUMMYFUNCTION("""COMPUTED_VALUE"""),"You can buy this now at Target stores or online.")</f>
        <v>You can buy this now at Target stores or online.</v>
      </c>
      <c r="AV28" s="55" t="str">
        <f>IFERROR(__xludf.DUMMYFUNCTION("""COMPUTED_VALUE"""),"I'm too grown to be eating wellness candy every day. Honestly, no shade to anyone who loves their gummies, but I hit a point where I looked at my supplement routine and thought I'm eating four pieces of candy every morning and calling it wellness. That's "&amp;"not wellness. And genuinely, the gummy format isn't wrong. It's just limited. You need four goalie gummies to hit your daily ashwagandha dose. That's four grams of sugar every day just for your cortisol supplement. I'd rather get my ashwagandha from coffe"&amp;"e. Bottom ashwagandha coffee, two cups, 300 milligrams, KSM 66 per cup, no sugar, no candy format. And did I tell you about all the other good stuff that's in it too? Curcuminoids from turmeric, L-theanine, lion's mane, and chaga. Ashwagandha in the thing"&amp;" I already drink every morning, like an adult who needs to get to work. No candy. You can buy this now at Target stores or online. Comment and I can share the link too.")</f>
        <v>I'm too grown to be eating wellness candy every day. Honestly, no shade to anyone who loves their gummies, but I hit a point where I looked at my supplement routine and thought I'm eating four pieces of candy every morning and calling it wellness. That's not wellness. And genuinely, the gummy format isn't wrong. It's just limited. You need four goalie gummies to hit your daily ashwagandha dose. That's four grams of sugar every day just for your cortisol supplement. I'd rather get my ashwagandha from coffee. Bottom ashwagandha coffee, two cups, 300 milligrams, KSM 66 per cup, no sugar, no candy format. And did I tell you about all the other good stuff that's in it too? Curcuminoids from turmeric, L-theanine, lion's mane, and chaga. Ashwagandha in the thing I already drink every morning, like an adult who needs to get to work. No candy. You can buy this now at Target stores or online. Comment and I can share the link too.</v>
      </c>
      <c r="AW28" s="35"/>
      <c r="AX28" s="35"/>
      <c r="AY28" s="35"/>
      <c r="AZ28" s="35"/>
      <c r="BA28" s="35"/>
      <c r="BB28" s="35"/>
      <c r="BC28" s="35"/>
      <c r="BD28" s="35"/>
      <c r="BE28" s="35"/>
      <c r="BF28" s="35"/>
      <c r="BG28" s="35"/>
    </row>
    <row r="29" ht="15.75" customHeight="1">
      <c r="A29" s="55" t="str">
        <f>IFERROR(__xludf.DUMMYFUNCTION("""COMPUTED_VALUE"""),"Instagram")</f>
        <v>Instagram</v>
      </c>
      <c r="B29" s="56">
        <f>IFERROR(__xludf.DUMMYFUNCTION("""COMPUTED_VALUE"""),46195.0)</f>
        <v>46195</v>
      </c>
      <c r="C29" s="55" t="str">
        <f>IFERROR(__xludf.DUMMYFUNCTION("""COMPUTED_VALUE"""),"June")</f>
        <v>June</v>
      </c>
      <c r="D29" s="58" t="str">
        <f>IFERROR(__xludf.DUMMYFUNCTION("""COMPUTED_VALUE"""),"https://www.instagram.com/reel/DZyfCYeNYGW/")</f>
        <v>https://www.instagram.com/reel/DZyfCYeNYGW/</v>
      </c>
      <c r="E29" s="55" t="str">
        <f>IFERROR(__xludf.DUMMYFUNCTION("""COMPUTED_VALUE"""),"@na")</f>
        <v>@na</v>
      </c>
      <c r="F29" s="55" t="str">
        <f>IFERROR(__xludf.DUMMYFUNCTION("""COMPUTED_VALUE"""),"NA")</f>
        <v>NA</v>
      </c>
      <c r="G29" s="55" t="str">
        <f>IFERROR(__xludf.DUMMYFUNCTION("""COMPUTED_VALUE"""),"Gummies vs Coffee")</f>
        <v>Gummies vs Coffee</v>
      </c>
      <c r="H29" s="55">
        <f>IFERROR(__xludf.DUMMYFUNCTION("""COMPUTED_VALUE"""),67.0)</f>
        <v>67</v>
      </c>
      <c r="I29" s="55">
        <f>IFERROR(__xludf.DUMMYFUNCTION("""COMPUTED_VALUE"""),17.1)</f>
        <v>17.1</v>
      </c>
      <c r="J29" s="55" t="str">
        <f>IFERROR(__xludf.DUMMYFUNCTION("""COMPUTED_VALUE"""),"Consider")</f>
        <v>Consider</v>
      </c>
      <c r="K29" s="55" t="str">
        <f>IFERROR(__xludf.DUMMYFUNCTION("""COMPUTED_VALUE"""),"No")</f>
        <v>No</v>
      </c>
      <c r="L29" s="55" t="str">
        <f>IFERROR(__xludf.DUMMYFUNCTION("""COMPUTED_VALUE"""),"Score 17.7 nearing 20 threshold")</f>
        <v>Score 17.7 nearing 20 threshold</v>
      </c>
      <c r="M29" s="59" t="str">
        <f>IFERROR(__xludf.DUMMYFUNCTION("""COMPUTED_VALUE"""),"No Ad Data")</f>
        <v>No Ad Data</v>
      </c>
      <c r="N29" s="55"/>
      <c r="O29" s="55"/>
      <c r="P29" s="59">
        <f>IFERROR(__xludf.DUMMYFUNCTION("""COMPUTED_VALUE"""),151.0)</f>
        <v>151</v>
      </c>
      <c r="Q29" s="59">
        <f>IFERROR(__xludf.DUMMYFUNCTION("""COMPUTED_VALUE"""),2.0)</f>
        <v>2</v>
      </c>
      <c r="R29" s="59">
        <f>IFERROR(__xludf.DUMMYFUNCTION("""COMPUTED_VALUE"""),0.0)</f>
        <v>0</v>
      </c>
      <c r="S29" s="55"/>
      <c r="T29" s="68">
        <f>IFERROR(__xludf.DUMMYFUNCTION("""COMPUTED_VALUE"""),0.0)</f>
        <v>0</v>
      </c>
      <c r="U29" s="55"/>
      <c r="V29" s="62">
        <f>IFERROR(__xludf.DUMMYFUNCTION("""COMPUTED_VALUE"""),0.0132)</f>
        <v>0.0132</v>
      </c>
      <c r="W29" s="63">
        <f>IFERROR(__xludf.DUMMYFUNCTION("""COMPUTED_VALUE"""),72.99)</f>
        <v>72.99</v>
      </c>
      <c r="X29" s="59">
        <f>IFERROR(__xludf.DUMMYFUNCTION("""COMPUTED_VALUE"""),151.0)</f>
        <v>151</v>
      </c>
      <c r="Y29" s="59">
        <f>IFERROR(__xludf.DUMMYFUNCTION("""COMPUTED_VALUE"""),2.0)</f>
        <v>2</v>
      </c>
      <c r="Z29" s="59">
        <f>IFERROR(__xludf.DUMMYFUNCTION("""COMPUTED_VALUE"""),0.0)</f>
        <v>0</v>
      </c>
      <c r="AA29" s="59">
        <f>IFERROR(__xludf.DUMMYFUNCTION("""COMPUTED_VALUE"""),0.0)</f>
        <v>0</v>
      </c>
      <c r="AB29" s="64">
        <f>IFERROR(__xludf.DUMMYFUNCTION("""COMPUTED_VALUE"""),0.0)</f>
        <v>0</v>
      </c>
      <c r="AC29" s="62">
        <f>IFERROR(__xludf.DUMMYFUNCTION("""COMPUTED_VALUE"""),0.0132)</f>
        <v>0.0132</v>
      </c>
      <c r="AD29" s="62">
        <f>IFERROR(__xludf.DUMMYFUNCTION("""COMPUTED_VALUE"""),0.0)</f>
        <v>0</v>
      </c>
      <c r="AE29" s="62">
        <f>IFERROR(__xludf.DUMMYFUNCTION("""COMPUTED_VALUE"""),0.0)</f>
        <v>0</v>
      </c>
      <c r="AF29" s="55"/>
      <c r="AG29" s="55"/>
      <c r="AH29" s="55"/>
      <c r="AI29" s="55"/>
      <c r="AJ29" s="55"/>
      <c r="AK29" s="55"/>
      <c r="AL29" s="55"/>
      <c r="AM29" s="55" t="str">
        <f>IFERROR(__xludf.DUMMYFUNCTION("""COMPUTED_VALUE"""),"Q9jTBBXPamszfKkrSHDns462hhwC6GCJ79IzkTIn25cXEKixUpwu4FYgyRnZ7JoEIg")</f>
        <v>Q9jTBBXPamszfKkrSHDns462hhwC6GCJ79IzkTIn25cXEKixUpwu4FYgyRnZ7JoEIg</v>
      </c>
      <c r="AN29" s="55"/>
      <c r="AO29" s="55" t="str">
        <f>IFERROR(__xludf.DUMMYFUNCTION("""COMPUTED_VALUE"""),"NA")</f>
        <v>NA</v>
      </c>
      <c r="AP29" s="55" t="str">
        <f>IFERROR(__xludf.DUMMYFUNCTION("""COMPUTED_VALUE"""),"NA")</f>
        <v>NA</v>
      </c>
      <c r="AQ29" s="55" t="str">
        <f>IFERROR(__xludf.DUMMYFUNCTION("""COMPUTED_VALUE"""),"NA")</f>
        <v>NA</v>
      </c>
      <c r="AR29" s="55" t="str">
        <f>IFERROR(__xludf.DUMMYFUNCTION("""COMPUTED_VALUE"""),"Why was I taking ashwagandha gummies when I already drink coffee every morning?")</f>
        <v>Why was I taking ashwagandha gummies when I already drink coffee every morning?</v>
      </c>
      <c r="AS29" s="55" t="str">
        <f>IFERROR(__xludf.DUMMYFUNCTION("""COMPUTED_VALUE"""),"Curiosity / Question")</f>
        <v>Curiosity / Question</v>
      </c>
      <c r="AT29" s="55" t="str">
        <f>IFERROR(__xludf.DUMMYFUNCTION("""COMPUTED_VALUE"""),"• So it contains KSM-66 ashwagandha and also turmeric, L-theanine, chaga and lion's mane.
• So when I found ashwagandha coffee at Target, it made sense.
• So ashwagandha coffee and is the better way to go now.
• I forgot taking my ashwagandha gummies ever"&amp;"y day.")</f>
        <v>• So it contains KSM-66 ashwagandha and also turmeric, L-theanine, chaga and lion's mane.
• So when I found ashwagandha coffee at Target, it made sense.
• So ashwagandha coffee and is the better way to go now.
• I forgot taking my ashwagandha gummies every day.</v>
      </c>
      <c r="AU29" s="55" t="str">
        <f>IFERROR(__xludf.DUMMYFUNCTION("""COMPUTED_VALUE"""),"The gummies now stay on the counter and the coffee goes in my cup every day and I do not forget the coffee.")</f>
        <v>The gummies now stay on the counter and the coffee goes in my cup every day and I do not forget the coffee.</v>
      </c>
      <c r="AV29" s="55" t="str">
        <f>IFERROR(__xludf.DUMMYFUNCTION("""COMPUTED_VALUE"""),"Why was I taking ashwagandha gummies when I already drink coffee every morning? I forgot taking my ashwagandha gummies every day. But there is one thing I never forget. My morning coffee. So when I found ashwagandha coffee at Target, it made sense. So it "&amp;"contains KSM-66 ashwagandha and also turmeric, L-theanine, chaga and lion's mane. With every cup I am getting my ashwagandha as part of a habit. I already have two cups provided and it provides 300 milligrams of ashwagandha. Honestly, I felt a little sill"&amp;"y for not finding this sooner. I didn't need a habit. I just needed a better version of the one I already had. So ashwagandha coffee and is the better way to go now. The gummies now stay on the counter and the coffee goes in my cup every day and I do not "&amp;"forget the coffee.")</f>
        <v>Why was I taking ashwagandha gummies when I already drink coffee every morning? I forgot taking my ashwagandha gummies every day. But there is one thing I never forget. My morning coffee. So when I found ashwagandha coffee at Target, it made sense. So it contains KSM-66 ashwagandha and also turmeric, L-theanine, chaga and lion's mane. With every cup I am getting my ashwagandha as part of a habit. I already have two cups provided and it provides 300 milligrams of ashwagandha. Honestly, I felt a little silly for not finding this sooner. I didn't need a habit. I just needed a better version of the one I already had. So ashwagandha coffee and is the better way to go now. The gummies now stay on the counter and the coffee goes in my cup every day and I do not forget the coffee.</v>
      </c>
      <c r="AW29" s="35"/>
      <c r="AX29" s="35"/>
      <c r="AY29" s="35"/>
      <c r="AZ29" s="35"/>
      <c r="BA29" s="35"/>
      <c r="BB29" s="35"/>
      <c r="BC29" s="35"/>
      <c r="BD29" s="35"/>
      <c r="BE29" s="35"/>
      <c r="BF29" s="35"/>
      <c r="BG29" s="35"/>
    </row>
    <row r="30" ht="15.75" customHeight="1">
      <c r="A30" s="55" t="str">
        <f>IFERROR(__xludf.DUMMYFUNCTION("""COMPUTED_VALUE"""),"Tiktok")</f>
        <v>Tiktok</v>
      </c>
      <c r="B30" s="56">
        <f>IFERROR(__xludf.DUMMYFUNCTION("""COMPUTED_VALUE"""),46190.0)</f>
        <v>46190</v>
      </c>
      <c r="C30" s="55" t="str">
        <f>IFERROR(__xludf.DUMMYFUNCTION("""COMPUTED_VALUE"""),"June")</f>
        <v>June</v>
      </c>
      <c r="D30" s="58" t="str">
        <f>IFERROR(__xludf.DUMMYFUNCTION("""COMPUTED_VALUE"""),"https://www.tiktok.com/@mamaede3nagringa/video/7652361687454190879")</f>
        <v>https://www.tiktok.com/@mamaede3nagringa/video/7652361687454190879</v>
      </c>
      <c r="E30" s="55" t="str">
        <f>IFERROR(__xludf.DUMMYFUNCTION("""COMPUTED_VALUE"""),"@mamaede3nagringa")</f>
        <v>@mamaede3nagringa</v>
      </c>
      <c r="F30" s="55" t="str">
        <f>IFERROR(__xludf.DUMMYFUNCTION("""COMPUTED_VALUE"""),"Monique Chaves")</f>
        <v>Monique Chaves</v>
      </c>
      <c r="G30" s="55" t="str">
        <f>IFERROR(__xludf.DUMMYFUNCTION("""COMPUTED_VALUE"""),"Target Shelf Showdown")</f>
        <v>Target Shelf Showdown</v>
      </c>
      <c r="H30" s="55">
        <f>IFERROR(__xludf.DUMMYFUNCTION("""COMPUTED_VALUE"""),8.0)</f>
        <v>8</v>
      </c>
      <c r="I30" s="55">
        <f>IFERROR(__xludf.DUMMYFUNCTION("""COMPUTED_VALUE"""),26.9)</f>
        <v>26.9</v>
      </c>
      <c r="J30" s="55" t="str">
        <f>IFERROR(__xludf.DUMMYFUNCTION("""COMPUTED_VALUE"""),"Consider")</f>
        <v>Consider</v>
      </c>
      <c r="K30" s="55" t="str">
        <f>IFERROR(__xludf.DUMMYFUNCTION("""COMPUTED_VALUE"""),"No")</f>
        <v>No</v>
      </c>
      <c r="L30" s="55" t="str">
        <f>IFERROR(__xludf.DUMMYFUNCTION("""COMPUTED_VALUE"""),"Score 27.1 nearing 30 threshold")</f>
        <v>Score 27.1 nearing 30 threshold</v>
      </c>
      <c r="M30" s="59" t="str">
        <f>IFERROR(__xludf.DUMMYFUNCTION("""COMPUTED_VALUE"""),"No Ad Data")</f>
        <v>No Ad Data</v>
      </c>
      <c r="N30" s="55"/>
      <c r="O30" s="55"/>
      <c r="P30" s="59">
        <f>IFERROR(__xludf.DUMMYFUNCTION("""COMPUTED_VALUE"""),138.0)</f>
        <v>138</v>
      </c>
      <c r="Q30" s="59">
        <f>IFERROR(__xludf.DUMMYFUNCTION("""COMPUTED_VALUE"""),2.0)</f>
        <v>2</v>
      </c>
      <c r="R30" s="59">
        <f>IFERROR(__xludf.DUMMYFUNCTION("""COMPUTED_VALUE"""),0.0)</f>
        <v>0</v>
      </c>
      <c r="S30" s="62">
        <f>IFERROR(__xludf.DUMMYFUNCTION("""COMPUTED_VALUE"""),55.5)</f>
        <v>55.5</v>
      </c>
      <c r="T30" s="62">
        <f>IFERROR(__xludf.DUMMYFUNCTION("""COMPUTED_VALUE"""),12.4)</f>
        <v>12.4</v>
      </c>
      <c r="U30" s="64">
        <f>IFERROR(__xludf.DUMMYFUNCTION("""COMPUTED_VALUE"""),3.0)</f>
        <v>3</v>
      </c>
      <c r="V30" s="62">
        <f>IFERROR(__xludf.DUMMYFUNCTION("""COMPUTED_VALUE"""),1.4)</f>
        <v>1.4</v>
      </c>
      <c r="W30" s="63">
        <f>IFERROR(__xludf.DUMMYFUNCTION("""COMPUTED_VALUE"""),72.99)</f>
        <v>72.99</v>
      </c>
      <c r="X30" s="59">
        <f>IFERROR(__xludf.DUMMYFUNCTION("""COMPUTED_VALUE"""),138.0)</f>
        <v>138</v>
      </c>
      <c r="Y30" s="59">
        <f>IFERROR(__xludf.DUMMYFUNCTION("""COMPUTED_VALUE"""),2.0)</f>
        <v>2</v>
      </c>
      <c r="Z30" s="59">
        <f>IFERROR(__xludf.DUMMYFUNCTION("""COMPUTED_VALUE"""),0.0)</f>
        <v>0</v>
      </c>
      <c r="AA30" s="59">
        <f>IFERROR(__xludf.DUMMYFUNCTION("""COMPUTED_VALUE"""),0.0)</f>
        <v>0</v>
      </c>
      <c r="AB30" s="64">
        <f>IFERROR(__xludf.DUMMYFUNCTION("""COMPUTED_VALUE"""),3.0)</f>
        <v>3</v>
      </c>
      <c r="AC30" s="62">
        <f>IFERROR(__xludf.DUMMYFUNCTION("""COMPUTED_VALUE"""),1.4)</f>
        <v>1.4</v>
      </c>
      <c r="AD30" s="62">
        <f>IFERROR(__xludf.DUMMYFUNCTION("""COMPUTED_VALUE"""),55.5)</f>
        <v>55.5</v>
      </c>
      <c r="AE30" s="62">
        <f>IFERROR(__xludf.DUMMYFUNCTION("""COMPUTED_VALUE"""),12.4)</f>
        <v>12.4</v>
      </c>
      <c r="AF30" s="55"/>
      <c r="AG30" s="55"/>
      <c r="AH30" s="55"/>
      <c r="AI30" s="55"/>
      <c r="AJ30" s="55"/>
      <c r="AK30" s="55"/>
      <c r="AL30" s="55"/>
      <c r="AM30" s="55" t="str">
        <f>IFERROR(__xludf.DUMMYFUNCTION("""COMPUTED_VALUE"""),"#+U+31AJF1QqsBu+9ygk2KTeBJy9RmsSyz4y4Tt77U83l88duO94SPfn48sAJGnM=")</f>
        <v>#+U+31AJF1QqsBu+9ygk2KTeBJy9RmsSyz4y4Tt77U83l88duO94SPfn48sAJGnM=</v>
      </c>
      <c r="AN30" s="55"/>
      <c r="AO30" s="58" t="str">
        <f>IFERROR(__xludf.DUMMYFUNCTION("""COMPUTED_VALUE"""),"https://us.brand.joinbrands.com/job/691988")</f>
        <v>https://us.brand.joinbrands.com/job/691988</v>
      </c>
      <c r="AP30" s="55" t="str">
        <f>IFERROR(__xludf.DUMMYFUNCTION("""COMPUTED_VALUE"""),"Not english")</f>
        <v>Not english</v>
      </c>
      <c r="AQ30" s="55" t="str">
        <f>IFERROR(__xludf.DUMMYFUNCTION("""COMPUTED_VALUE"""),"â˜•âœ¨ CafÃ© com ashwagandha, cÃºrcuma e cogumelos orgÃ¢nicos para quem busca uma energia mais equilibrada ao longo do dia. E o melhor: com o sabor delicioso de um cafÃ© tradicional. â˜•âœ¨ Crafted with...")</f>
        <v>â˜•âœ¨ CafÃ© com ashwagandha, cÃºrcuma e cogumelos orgÃ¢nicos para quem busca uma energia mais equilibrada ao longo do dia. E o melhor: com o sabor delicioso de um cafÃ© tradicional. â˜•âœ¨ Crafted with...</v>
      </c>
      <c r="AR30" s="55" t="str">
        <f>IFERROR(__xludf.DUMMYFUNCTION("""COMPUTED_VALUE"""),"Descobrir um cafÃ© que combina sabor delicioso com ingredientes funcionais para sua rotina.")</f>
        <v>Descobrir um cafÃ© que combina sabor delicioso com ingredientes funcionais para sua rotina.</v>
      </c>
      <c r="AS30" s="55" t="str">
        <f>IFERROR(__xludf.DUMMYFUNCTION("""COMPUTED_VALUE"""),"General / Lifestyle")</f>
        <v>General / Lifestyle</v>
      </c>
      <c r="AT30" s="55" t="str">
        <f>IFERROR(__xludf.DUMMYFUNCTION("""COMPUTED_VALUE"""),"• Descobrir um cafÃ© que combina sabor delicioso com ingredientes funcionais para sua rotina.
• Energia equilibrada e foco combinados numa xÃ­cara de cafÃ©.")</f>
        <v>• Descobrir um cafÃ© que combina sabor delicioso com ingredientes funcionais para sua rotina.
• Energia equilibrada e foco combinados numa xÃ­cara de cafÃ©.</v>
      </c>
      <c r="AU30" s="55" t="str">
        <f>IFERROR(__xludf.DUMMYFUNCTION("""COMPUTED_VALUE"""),"Energia equilibrada e foco combinados numa xÃ­cara de cafÃ©.")</f>
        <v>Energia equilibrada e foco combinados numa xÃ­cara de cafÃ©.</v>
      </c>
      <c r="AV30" s="55" t="str">
        <f>IFERROR(__xludf.DUMMYFUNCTION("""COMPUTED_VALUE"""),"Descobrir um cafÃ© que combina sabor delicioso com ingredientes funcionais para sua rotina. Energia equilibrada e foco combinados numa xÃ­cara de cafÃ©.")</f>
        <v>Descobrir um cafÃ© que combina sabor delicioso com ingredientes funcionais para sua rotina. Energia equilibrada e foco combinados numa xÃ­cara de cafÃ©.</v>
      </c>
      <c r="AW30" s="35"/>
      <c r="AX30" s="35"/>
      <c r="AY30" s="35"/>
      <c r="AZ30" s="35"/>
      <c r="BA30" s="35"/>
      <c r="BB30" s="35"/>
      <c r="BC30" s="35"/>
      <c r="BD30" s="35"/>
      <c r="BE30" s="35"/>
      <c r="BF30" s="35"/>
      <c r="BG30" s="35"/>
    </row>
    <row r="31" ht="15.75" customHeight="1">
      <c r="A31" s="55" t="str">
        <f>IFERROR(__xludf.DUMMYFUNCTION("""COMPUTED_VALUE"""),"Instagram")</f>
        <v>Instagram</v>
      </c>
      <c r="B31" s="56">
        <f>IFERROR(__xludf.DUMMYFUNCTION("""COMPUTED_VALUE"""),46196.0)</f>
        <v>46196</v>
      </c>
      <c r="C31" s="55" t="str">
        <f>IFERROR(__xludf.DUMMYFUNCTION("""COMPUTED_VALUE"""),"June")</f>
        <v>June</v>
      </c>
      <c r="D31" s="58" t="str">
        <f>IFERROR(__xludf.DUMMYFUNCTION("""COMPUTED_VALUE"""),"https://www.instagram.com/reel/DZ5dAsVp4LO/")</f>
        <v>https://www.instagram.com/reel/DZ5dAsVp4LO/</v>
      </c>
      <c r="E31" s="55" t="str">
        <f>IFERROR(__xludf.DUMMYFUNCTION("""COMPUTED_VALUE"""),"@na")</f>
        <v>@na</v>
      </c>
      <c r="F31" s="55" t="str">
        <f>IFERROR(__xludf.DUMMYFUNCTION("""COMPUTED_VALUE"""),"NA")</f>
        <v>NA</v>
      </c>
      <c r="G31" s="55" t="str">
        <f>IFERROR(__xludf.DUMMYFUNCTION("""COMPUTED_VALUE"""),"Taste")</f>
        <v>Taste</v>
      </c>
      <c r="H31" s="55">
        <f>IFERROR(__xludf.DUMMYFUNCTION("""COMPUTED_VALUE"""),62.0)</f>
        <v>62</v>
      </c>
      <c r="I31" s="55">
        <f>IFERROR(__xludf.DUMMYFUNCTION("""COMPUTED_VALUE"""),16.7)</f>
        <v>16.7</v>
      </c>
      <c r="J31" s="55" t="str">
        <f>IFERROR(__xludf.DUMMYFUNCTION("""COMPUTED_VALUE"""),"Consider")</f>
        <v>Consider</v>
      </c>
      <c r="K31" s="55" t="str">
        <f>IFERROR(__xludf.DUMMYFUNCTION("""COMPUTED_VALUE"""),"No")</f>
        <v>No</v>
      </c>
      <c r="L31" s="55" t="str">
        <f>IFERROR(__xludf.DUMMYFUNCTION("""COMPUTED_VALUE"""),"Score 17.2 nearing 20 threshold")</f>
        <v>Score 17.2 nearing 20 threshold</v>
      </c>
      <c r="M31" s="59" t="str">
        <f>IFERROR(__xludf.DUMMYFUNCTION("""COMPUTED_VALUE"""),"No Ad Data")</f>
        <v>No Ad Data</v>
      </c>
      <c r="N31" s="55"/>
      <c r="O31" s="55"/>
      <c r="P31" s="59">
        <f>IFERROR(__xludf.DUMMYFUNCTION("""COMPUTED_VALUE"""),128.0)</f>
        <v>128</v>
      </c>
      <c r="Q31" s="59">
        <f>IFERROR(__xludf.DUMMYFUNCTION("""COMPUTED_VALUE"""),2.0)</f>
        <v>2</v>
      </c>
      <c r="R31" s="59">
        <f>IFERROR(__xludf.DUMMYFUNCTION("""COMPUTED_VALUE"""),0.0)</f>
        <v>0</v>
      </c>
      <c r="S31" s="55"/>
      <c r="T31" s="68">
        <f>IFERROR(__xludf.DUMMYFUNCTION("""COMPUTED_VALUE"""),0.0)</f>
        <v>0</v>
      </c>
      <c r="U31" s="55"/>
      <c r="V31" s="62">
        <f>IFERROR(__xludf.DUMMYFUNCTION("""COMPUTED_VALUE"""),0.0156)</f>
        <v>0.0156</v>
      </c>
      <c r="W31" s="63">
        <f>IFERROR(__xludf.DUMMYFUNCTION("""COMPUTED_VALUE"""),117.58)</f>
        <v>117.58</v>
      </c>
      <c r="X31" s="59">
        <f>IFERROR(__xludf.DUMMYFUNCTION("""COMPUTED_VALUE"""),128.0)</f>
        <v>128</v>
      </c>
      <c r="Y31" s="59">
        <f>IFERROR(__xludf.DUMMYFUNCTION("""COMPUTED_VALUE"""),2.0)</f>
        <v>2</v>
      </c>
      <c r="Z31" s="59">
        <f>IFERROR(__xludf.DUMMYFUNCTION("""COMPUTED_VALUE"""),0.0)</f>
        <v>0</v>
      </c>
      <c r="AA31" s="59">
        <f>IFERROR(__xludf.DUMMYFUNCTION("""COMPUTED_VALUE"""),0.0)</f>
        <v>0</v>
      </c>
      <c r="AB31" s="64">
        <f>IFERROR(__xludf.DUMMYFUNCTION("""COMPUTED_VALUE"""),0.0)</f>
        <v>0</v>
      </c>
      <c r="AC31" s="62">
        <f>IFERROR(__xludf.DUMMYFUNCTION("""COMPUTED_VALUE"""),0.0156)</f>
        <v>0.0156</v>
      </c>
      <c r="AD31" s="62">
        <f>IFERROR(__xludf.DUMMYFUNCTION("""COMPUTED_VALUE"""),0.0)</f>
        <v>0</v>
      </c>
      <c r="AE31" s="62">
        <f>IFERROR(__xludf.DUMMYFUNCTION("""COMPUTED_VALUE"""),0.0)</f>
        <v>0</v>
      </c>
      <c r="AF31" s="55"/>
      <c r="AG31" s="55"/>
      <c r="AH31" s="55"/>
      <c r="AI31" s="55"/>
      <c r="AJ31" s="55"/>
      <c r="AK31" s="55"/>
      <c r="AL31" s="55"/>
      <c r="AM31" s="55" t="str">
        <f>IFERROR(__xludf.DUMMYFUNCTION("""COMPUTED_VALUE"""),"Q9jTBBV6FDDv1A5qZDI-94B5BfJ8DeuIoKQNIVTqb8VPxN6NwxY0-QaOUu5ReC3HFw")</f>
        <v>Q9jTBBV6FDDv1A5qZDI-94B5BfJ8DeuIoKQNIVTqb8VPxN6NwxY0-QaOUu5ReC3HFw</v>
      </c>
      <c r="AN31" s="55"/>
      <c r="AO31" s="55" t="str">
        <f>IFERROR(__xludf.DUMMYFUNCTION("""COMPUTED_VALUE"""),"NA")</f>
        <v>NA</v>
      </c>
      <c r="AP31" s="55" t="str">
        <f>IFERROR(__xludf.DUMMYFUNCTION("""COMPUTED_VALUE"""),"NA")</f>
        <v>NA</v>
      </c>
      <c r="AQ31" s="55" t="str">
        <f>IFERROR(__xludf.DUMMYFUNCTION("""COMPUTED_VALUE"""),"NA")</f>
        <v>NA</v>
      </c>
      <c r="AR31" s="55" t="str">
        <f>IFERROR(__xludf.DUMMYFUNCTION("""COMPUTED_VALUE"""),"My supplement drawer was completely out of control.")</f>
        <v>My supplement drawer was completely out of control.</v>
      </c>
      <c r="AS31" s="55" t="str">
        <f>IFERROR(__xludf.DUMMYFUNCTION("""COMPUTED_VALUE"""),"General / Lifestyle")</f>
        <v>General / Lifestyle</v>
      </c>
      <c r="AT31" s="55" t="str">
        <f>IFERROR(__xludf.DUMMYFUNCTION("""COMPUTED_VALUE"""),"• Instead of juggling a bunch of different supplements, this combines coffee with KSM-66, ashwagandha, turmeric, L-theanine, lion's mane and chaga all in one cup.
• To remember, no handful of capsules, just my normal morning coffee routine upgraded to the"&amp;" Vatam Ashwagandha coffee.
• One for stress, one supplement for cortisol levels.
• And then I found the Vadam Ashwagandha coffee at Target all in one.")</f>
        <v>• Instead of juggling a bunch of different supplements, this combines coffee with KSM-66, ashwagandha, turmeric, L-theanine, lion's mane and chaga all in one cup.
• To remember, no handful of capsules, just my normal morning coffee routine upgraded to the Vatam Ashwagandha coffee.
• One for stress, one supplement for cortisol levels.
• And then I found the Vadam Ashwagandha coffee at Target all in one.</v>
      </c>
      <c r="AU31" s="55" t="str">
        <f>IFERROR(__xludf.DUMMYFUNCTION("""COMPUTED_VALUE"""),"If your supplement drawer looks something like mine,")</f>
        <v>If your supplement drawer looks something like mine,</v>
      </c>
      <c r="AV31" s="55" t="str">
        <f>IFERROR(__xludf.DUMMYFUNCTION("""COMPUTED_VALUE"""),"My supplement drawer was completely out of control. One for stress, one supplement for cortisol levels. And then I found the Vadam Ashwagandha coffee at Target all in one. When I found the Vadam Ashwagandha coffee at Target, it just made sense. Instead of"&amp;" juggling a bunch of different supplements, this combines coffee with KSM-66, ashwagandha, turmeric, L-theanine, lion's mane and chaga all in one cup. And the best part, it actually tastes like delicious regular coffee. To remember, no handful of capsules"&amp;", just my normal morning coffee routine upgraded to the Vatam Ashwagandha coffee. I was already taking Ashwagandha. I was just taking it in the wrong format. It has honestly been one of the easiest wellness swaps I have made. If your supplement drawer loo"&amp;"ks something like mine,")</f>
        <v>My supplement drawer was completely out of control. One for stress, one supplement for cortisol levels. And then I found the Vadam Ashwagandha coffee at Target all in one. When I found the Vadam Ashwagandha coffee at Target, it just made sense. Instead of juggling a bunch of different supplements, this combines coffee with KSM-66, ashwagandha, turmeric, L-theanine, lion's mane and chaga all in one cup. And the best part, it actually tastes like delicious regular coffee. To remember, no handful of capsules, just my normal morning coffee routine upgraded to the Vatam Ashwagandha coffee. I was already taking Ashwagandha. I was just taking it in the wrong format. It has honestly been one of the easiest wellness swaps I have made. If your supplement drawer looks something like mine,</v>
      </c>
      <c r="AW31" s="35"/>
      <c r="AX31" s="35"/>
      <c r="AY31" s="35"/>
      <c r="AZ31" s="35"/>
      <c r="BA31" s="35"/>
      <c r="BB31" s="35"/>
      <c r="BC31" s="35"/>
      <c r="BD31" s="35"/>
      <c r="BE31" s="35"/>
      <c r="BF31" s="35"/>
      <c r="BG31" s="35"/>
    </row>
    <row r="32" ht="15.75" customHeight="1">
      <c r="A32" s="55" t="str">
        <f>IFERROR(__xludf.DUMMYFUNCTION("""COMPUTED_VALUE"""),"Instagram")</f>
        <v>Instagram</v>
      </c>
      <c r="B32" s="56">
        <f>IFERROR(__xludf.DUMMYFUNCTION("""COMPUTED_VALUE"""),46198.0)</f>
        <v>46198</v>
      </c>
      <c r="C32" s="55" t="str">
        <f>IFERROR(__xludf.DUMMYFUNCTION("""COMPUTED_VALUE"""),"June")</f>
        <v>June</v>
      </c>
      <c r="D32" s="58" t="str">
        <f>IFERROR(__xludf.DUMMYFUNCTION("""COMPUTED_VALUE"""),"https://www.instagram.com/reel/DZ-NqIWI5Cg/")</f>
        <v>https://www.instagram.com/reel/DZ-NqIWI5Cg/</v>
      </c>
      <c r="E32" s="55" t="str">
        <f>IFERROR(__xludf.DUMMYFUNCTION("""COMPUTED_VALUE"""),"tbugtreasures")</f>
        <v>tbugtreasures</v>
      </c>
      <c r="F32" s="55" t="str">
        <f>IFERROR(__xludf.DUMMYFUNCTION("""COMPUTED_VALUE"""),"NA")</f>
        <v>NA</v>
      </c>
      <c r="G32" s="55" t="str">
        <f>IFERROR(__xludf.DUMMYFUNCTION("""COMPUTED_VALUE"""),"Countering Mushroom Coffee Trend")</f>
        <v>Countering Mushroom Coffee Trend</v>
      </c>
      <c r="H32" s="55">
        <f>IFERROR(__xludf.DUMMYFUNCTION("""COMPUTED_VALUE"""),54.0)</f>
        <v>54</v>
      </c>
      <c r="I32" s="55">
        <f>IFERROR(__xludf.DUMMYFUNCTION("""COMPUTED_VALUE"""),14.8)</f>
        <v>14.8</v>
      </c>
      <c r="J32" s="55" t="str">
        <f>IFERROR(__xludf.DUMMYFUNCTION("""COMPUTED_VALUE"""),"Consider")</f>
        <v>Consider</v>
      </c>
      <c r="K32" s="55" t="str">
        <f>IFERROR(__xludf.DUMMYFUNCTION("""COMPUTED_VALUE"""),"Yes")</f>
        <v>Yes</v>
      </c>
      <c r="L32" s="55" t="str">
        <f>IFERROR(__xludf.DUMMYFUNCTION("""COMPUTED_VALUE"""),"Score 15.2 nearing 20 threshold")</f>
        <v>Score 15.2 nearing 20 threshold</v>
      </c>
      <c r="M32" s="59" t="str">
        <f>IFERROR(__xludf.DUMMYFUNCTION("""COMPUTED_VALUE"""),"No Ad Data")</f>
        <v>No Ad Data</v>
      </c>
      <c r="N32" s="55" t="str">
        <f>IFERROR(__xludf.DUMMYFUNCTION("""COMPUTED_VALUE"""),"12UGC-Mushroom-CTA-tbugtreasures")</f>
        <v>12UGC-Mushroom-CTA-tbugtreasures</v>
      </c>
      <c r="O32" s="55"/>
      <c r="P32" s="59">
        <f>IFERROR(__xludf.DUMMYFUNCTION("""COMPUTED_VALUE"""),122.0)</f>
        <v>122</v>
      </c>
      <c r="Q32" s="59">
        <f>IFERROR(__xludf.DUMMYFUNCTION("""COMPUTED_VALUE"""),1.0)</f>
        <v>1</v>
      </c>
      <c r="R32" s="59">
        <f>IFERROR(__xludf.DUMMYFUNCTION("""COMPUTED_VALUE"""),0.0)</f>
        <v>0</v>
      </c>
      <c r="S32" s="55"/>
      <c r="T32" s="68">
        <f>IFERROR(__xludf.DUMMYFUNCTION("""COMPUTED_VALUE"""),0.0)</f>
        <v>0</v>
      </c>
      <c r="U32" s="55"/>
      <c r="V32" s="62">
        <f>IFERROR(__xludf.DUMMYFUNCTION("""COMPUTED_VALUE"""),0.0)</f>
        <v>0</v>
      </c>
      <c r="W32" s="63">
        <f>IFERROR(__xludf.DUMMYFUNCTION("""COMPUTED_VALUE"""),117.58)</f>
        <v>117.58</v>
      </c>
      <c r="X32" s="59">
        <f>IFERROR(__xludf.DUMMYFUNCTION("""COMPUTED_VALUE"""),122.0)</f>
        <v>122</v>
      </c>
      <c r="Y32" s="59">
        <f>IFERROR(__xludf.DUMMYFUNCTION("""COMPUTED_VALUE"""),1.0)</f>
        <v>1</v>
      </c>
      <c r="Z32" s="59">
        <f>IFERROR(__xludf.DUMMYFUNCTION("""COMPUTED_VALUE"""),0.0)</f>
        <v>0</v>
      </c>
      <c r="AA32" s="59">
        <f>IFERROR(__xludf.DUMMYFUNCTION("""COMPUTED_VALUE"""),0.0)</f>
        <v>0</v>
      </c>
      <c r="AB32" s="64">
        <f>IFERROR(__xludf.DUMMYFUNCTION("""COMPUTED_VALUE"""),0.0)</f>
        <v>0</v>
      </c>
      <c r="AC32" s="62">
        <f>IFERROR(__xludf.DUMMYFUNCTION("""COMPUTED_VALUE"""),0.0)</f>
        <v>0</v>
      </c>
      <c r="AD32" s="62">
        <f>IFERROR(__xludf.DUMMYFUNCTION("""COMPUTED_VALUE"""),0.0)</f>
        <v>0</v>
      </c>
      <c r="AE32" s="62">
        <f>IFERROR(__xludf.DUMMYFUNCTION("""COMPUTED_VALUE"""),0.0)</f>
        <v>0</v>
      </c>
      <c r="AF32" s="55"/>
      <c r="AG32" s="55"/>
      <c r="AH32" s="55"/>
      <c r="AI32" s="55"/>
      <c r="AJ32" s="55"/>
      <c r="AK32" s="55"/>
      <c r="AL32" s="55"/>
      <c r="AM32" s="55" t="str">
        <f>IFERROR(__xludf.DUMMYFUNCTION("""COMPUTED_VALUE"""),"Q9jTBBUtGB7MIA7Cpl3Lswuys08d_eUuyKr2_TjFv9_N_oBil16XZeQsxJL3SvcWPlU")</f>
        <v>Q9jTBBUtGB7MIA7Cpl3Lswuys08d_eUuyKr2_TjFv9_N_oBil16XZeQsxJL3SvcWPlU</v>
      </c>
      <c r="AN32" s="55"/>
      <c r="AO32" s="55" t="str">
        <f>IFERROR(__xludf.DUMMYFUNCTION("""COMPUTED_VALUE"""),"NA")</f>
        <v>NA</v>
      </c>
      <c r="AP32" s="55" t="str">
        <f>IFERROR(__xludf.DUMMYFUNCTION("""COMPUTED_VALUE"""),"NA")</f>
        <v>NA</v>
      </c>
      <c r="AQ32" s="55" t="str">
        <f>IFERROR(__xludf.DUMMYFUNCTION("""COMPUTED_VALUE"""),"NA")</f>
        <v>NA</v>
      </c>
      <c r="AR32" s="55" t="str">
        <f>IFERROR(__xludf.DUMMYFUNCTION("""COMPUTED_VALUE"""),"I didn't think switching my coffee would make that big of a difference, but this one actually surprised me.")</f>
        <v>I didn't think switching my coffee would make that big of a difference, but this one actually surprised me.</v>
      </c>
      <c r="AS32" s="55" t="str">
        <f>IFERROR(__xludf.DUMMYFUNCTION("""COMPUTED_VALUE"""),"Comparison / Counter")</f>
        <v>Comparison / Counter</v>
      </c>
      <c r="AT32" s="55" t="str">
        <f>IFERROR(__xludf.DUMMYFUNCTION("""COMPUTED_VALUE"""),"• It has ashwagandha, turmeric, l-theanine, lion's mane, and chaga mushrooms, all designed to give you calmer energy, lower cortisol, which we all need at our age, zero jitters and no crash.
• I saw this Vadam Ashwagandha coffee and honestly, I was curiou"&amp;"s because I've been wanting my morning coffee to feel a little bit more intentional.
• It's coffee that's been upgraded with five powerful ingredients in every cup.
• And it tastes delicious like regular coffee.")</f>
        <v>• It has ashwagandha, turmeric, l-theanine, lion's mane, and chaga mushrooms, all designed to give you calmer energy, lower cortisol, which we all need at our age, zero jitters and no crash.
• I saw this Vadam Ashwagandha coffee and honestly, I was curious because I've been wanting my morning coffee to feel a little bit more intentional.
• It's coffee that's been upgraded with five powerful ingredients in every cup.
• And it tastes delicious like regular coffee.</v>
      </c>
      <c r="AU32" s="55" t="str">
        <f>IFERROR(__xludf.DUMMYFUNCTION("""COMPUTED_VALUE"""),"You can find it in Target stores or on target.com.")</f>
        <v>You can find it in Target stores or on target.com.</v>
      </c>
      <c r="AV32" s="55" t="str">
        <f>IFERROR(__xludf.DUMMYFUNCTION("""COMPUTED_VALUE"""),"I didn't think switching my coffee would make that big of a difference, but this one actually surprised me. So the other day I was at Target doing what was supposed to be a quick little run and I ended up in the coffee aisle. I saw this Vadam Ashwagandha "&amp;"coffee and honestly, I was curious because I've been wanting my morning coffee to feel a little bit more intentional. The more I read the package, the more I realized this isn't just regular coffee. It's coffee that's been upgraded with five powerful ingr"&amp;"edients in every cup. It has ashwagandha, turmeric, l-theanine, lion's mane, and chaga mushrooms, all designed to give you calmer energy, lower cortisol, which we all need at our age, zero jitters and no crash. And it tastes delicious like regular coffee."&amp;" You can find it in Target stores or on target.com.")</f>
        <v>I didn't think switching my coffee would make that big of a difference, but this one actually surprised me. So the other day I was at Target doing what was supposed to be a quick little run and I ended up in the coffee aisle. I saw this Vadam Ashwagandha coffee and honestly, I was curious because I've been wanting my morning coffee to feel a little bit more intentional. The more I read the package, the more I realized this isn't just regular coffee. It's coffee that's been upgraded with five powerful ingredients in every cup. It has ashwagandha, turmeric, l-theanine, lion's mane, and chaga mushrooms, all designed to give you calmer energy, lower cortisol, which we all need at our age, zero jitters and no crash. And it tastes delicious like regular coffee. You can find it in Target stores or on target.com.</v>
      </c>
      <c r="AW32" s="35"/>
      <c r="AX32" s="35"/>
      <c r="AY32" s="35"/>
      <c r="AZ32" s="35"/>
      <c r="BA32" s="35"/>
      <c r="BB32" s="35"/>
      <c r="BC32" s="35"/>
      <c r="BD32" s="35"/>
      <c r="BE32" s="35"/>
      <c r="BF32" s="35"/>
      <c r="BG32" s="35"/>
    </row>
    <row r="33" ht="15.75" customHeight="1">
      <c r="A33" s="55" t="str">
        <f>IFERROR(__xludf.DUMMYFUNCTION("""COMPUTED_VALUE"""),"Instagram")</f>
        <v>Instagram</v>
      </c>
      <c r="B33" s="56">
        <f>IFERROR(__xludf.DUMMYFUNCTION("""COMPUTED_VALUE"""),46199.0)</f>
        <v>46199</v>
      </c>
      <c r="C33" s="55" t="str">
        <f>IFERROR(__xludf.DUMMYFUNCTION("""COMPUTED_VALUE"""),"June")</f>
        <v>June</v>
      </c>
      <c r="D33" s="58" t="str">
        <f>IFERROR(__xludf.DUMMYFUNCTION("""COMPUTED_VALUE"""),"https://www.instagram.com/reel/DaAnaluxtjx/")</f>
        <v>https://www.instagram.com/reel/DaAnaluxtjx/</v>
      </c>
      <c r="E33" s="55" t="str">
        <f>IFERROR(__xludf.DUMMYFUNCTION("""COMPUTED_VALUE"""),"@na")</f>
        <v>@na</v>
      </c>
      <c r="F33" s="55" t="str">
        <f>IFERROR(__xludf.DUMMYFUNCTION("""COMPUTED_VALUE"""),"NA")</f>
        <v>NA</v>
      </c>
      <c r="G33" s="55" t="str">
        <f>IFERROR(__xludf.DUMMYFUNCTION("""COMPUTED_VALUE"""),"Countering Mushroom Coffee Trend")</f>
        <v>Countering Mushroom Coffee Trend</v>
      </c>
      <c r="H33" s="55">
        <f>IFERROR(__xludf.DUMMYFUNCTION("""COMPUTED_VALUE"""),52.0)</f>
        <v>52</v>
      </c>
      <c r="I33" s="55">
        <f>IFERROR(__xludf.DUMMYFUNCTION("""COMPUTED_VALUE"""),17.6)</f>
        <v>17.6</v>
      </c>
      <c r="J33" s="55" t="str">
        <f>IFERROR(__xludf.DUMMYFUNCTION("""COMPUTED_VALUE"""),"Consider")</f>
        <v>Consider</v>
      </c>
      <c r="K33" s="55" t="str">
        <f>IFERROR(__xludf.DUMMYFUNCTION("""COMPUTED_VALUE"""),"No")</f>
        <v>No</v>
      </c>
      <c r="L33" s="55" t="str">
        <f>IFERROR(__xludf.DUMMYFUNCTION("""COMPUTED_VALUE"""),"Score 18.3 nearing 20 threshold")</f>
        <v>Score 18.3 nearing 20 threshold</v>
      </c>
      <c r="M33" s="59" t="str">
        <f>IFERROR(__xludf.DUMMYFUNCTION("""COMPUTED_VALUE"""),"No Ad Data")</f>
        <v>No Ad Data</v>
      </c>
      <c r="N33" s="59" t="str">
        <f>IFERROR(__xludf.DUMMYFUNCTION("""COMPUTED_VALUE"""),"Skip")</f>
        <v>Skip</v>
      </c>
      <c r="O33" s="55"/>
      <c r="P33" s="59">
        <f>IFERROR(__xludf.DUMMYFUNCTION("""COMPUTED_VALUE"""),111.0)</f>
        <v>111</v>
      </c>
      <c r="Q33" s="59">
        <f>IFERROR(__xludf.DUMMYFUNCTION("""COMPUTED_VALUE"""),3.0)</f>
        <v>3</v>
      </c>
      <c r="R33" s="59">
        <f>IFERROR(__xludf.DUMMYFUNCTION("""COMPUTED_VALUE"""),0.0)</f>
        <v>0</v>
      </c>
      <c r="S33" s="55"/>
      <c r="T33" s="68">
        <f>IFERROR(__xludf.DUMMYFUNCTION("""COMPUTED_VALUE"""),0.0)</f>
        <v>0</v>
      </c>
      <c r="U33" s="55"/>
      <c r="V33" s="62">
        <f>IFERROR(__xludf.DUMMYFUNCTION("""COMPUTED_VALUE"""),0.0)</f>
        <v>0</v>
      </c>
      <c r="W33" s="63">
        <f>IFERROR(__xludf.DUMMYFUNCTION("""COMPUTED_VALUE"""),117.58)</f>
        <v>117.58</v>
      </c>
      <c r="X33" s="59">
        <f>IFERROR(__xludf.DUMMYFUNCTION("""COMPUTED_VALUE"""),111.0)</f>
        <v>111</v>
      </c>
      <c r="Y33" s="59">
        <f>IFERROR(__xludf.DUMMYFUNCTION("""COMPUTED_VALUE"""),3.0)</f>
        <v>3</v>
      </c>
      <c r="Z33" s="59">
        <f>IFERROR(__xludf.DUMMYFUNCTION("""COMPUTED_VALUE"""),0.0)</f>
        <v>0</v>
      </c>
      <c r="AA33" s="59">
        <f>IFERROR(__xludf.DUMMYFUNCTION("""COMPUTED_VALUE"""),0.0)</f>
        <v>0</v>
      </c>
      <c r="AB33" s="64">
        <f>IFERROR(__xludf.DUMMYFUNCTION("""COMPUTED_VALUE"""),0.0)</f>
        <v>0</v>
      </c>
      <c r="AC33" s="62">
        <f>IFERROR(__xludf.DUMMYFUNCTION("""COMPUTED_VALUE"""),0.0)</f>
        <v>0</v>
      </c>
      <c r="AD33" s="62">
        <f>IFERROR(__xludf.DUMMYFUNCTION("""COMPUTED_VALUE"""),0.0)</f>
        <v>0</v>
      </c>
      <c r="AE33" s="62">
        <f>IFERROR(__xludf.DUMMYFUNCTION("""COMPUTED_VALUE"""),0.0)</f>
        <v>0</v>
      </c>
      <c r="AF33" s="55"/>
      <c r="AG33" s="55"/>
      <c r="AH33" s="55"/>
      <c r="AI33" s="55"/>
      <c r="AJ33" s="55"/>
      <c r="AK33" s="55"/>
      <c r="AL33" s="55"/>
      <c r="AM33" s="55" t="str">
        <f>IFERROR(__xludf.DUMMYFUNCTION("""COMPUTED_VALUE"""),"NA")</f>
        <v>NA</v>
      </c>
      <c r="AN33" s="55"/>
      <c r="AO33" s="55" t="str">
        <f>IFERROR(__xludf.DUMMYFUNCTION("""COMPUTED_VALUE"""),"NA")</f>
        <v>NA</v>
      </c>
      <c r="AP33" s="55" t="str">
        <f>IFERROR(__xludf.DUMMYFUNCTION("""COMPUTED_VALUE"""),"NA")</f>
        <v>NA</v>
      </c>
      <c r="AQ33" s="55" t="str">
        <f>IFERROR(__xludf.DUMMYFUNCTION("""COMPUTED_VALUE"""),"NA")</f>
        <v>NA</v>
      </c>
      <c r="AR33" s="55" t="str">
        <f>IFERROR(__xludf.DUMMYFUNCTION("""COMPUTED_VALUE"""),"like coffee this is a game changer I found this at Target last week I went to buy some groceries and I found this one so now I don't need to take ashw...")</f>
        <v>like coffee this is a game changer I found this at Target last week I went to buy some groceries and I found this one so now I don't need to take ashw...</v>
      </c>
      <c r="AS33" s="55" t="str">
        <f>IFERROR(__xludf.DUMMYFUNCTION("""COMPUTED_VALUE"""),"Personal Discovery")</f>
        <v>Personal Discovery</v>
      </c>
      <c r="AT33" s="55" t="str">
        <f>IFERROR(__xludf.DUMMYFUNCTION("""COMPUTED_VALUE"""),"• The Vadam India Ashwagandha coffee helps you with daily stress, calm energy and clarity, mood balance and focus plus tastes amazing.
• It's so easy to make you just need one spoon with hot water or milk you can add sweetener do iced coffee or even add t"&amp;"o smoothies it also has L-theanine, turmeric, lion's mane and chaga.
• Available at any target in the coffee section.
• Each serving has just 10 calories and is recommended to take 2 servings daily.")</f>
        <v>• The Vadam India Ashwagandha coffee helps you with daily stress, calm energy and clarity, mood balance and focus plus tastes amazing.
• It's so easy to make you just need one spoon with hot water or milk you can add sweetener do iced coffee or even add to smoothies it also has L-theanine, turmeric, lion's mane and chaga.
• Available at any target in the coffee section.
• Each serving has just 10 calories and is recommended to take 2 servings daily.</v>
      </c>
      <c r="AU33" s="55" t="str">
        <f>IFERROR(__xludf.DUMMYFUNCTION("""COMPUTED_VALUE"""),"Available at any target in the coffee section.")</f>
        <v>Available at any target in the coffee section.</v>
      </c>
      <c r="AV33" s="55" t="str">
        <f>IFERROR(__xludf.DUMMYFUNCTION("""COMPUTED_VALUE"""),"like coffee this is a game changer I found this at Target last week I went to buy some groceries and I found this one so now I don't need to take ashwagandha anymore this tastes like plain coffee but it has ashwagandha. It's so easy to make you just need "&amp;"one spoon with hot water or milk you can add sweetener do iced coffee or even add to smoothies it also has L-theanine, turmeric, lion's mane and chaga. The Vadam India Ashwagandha coffee helps you with daily stress, calm energy and clarity, mood balance a"&amp;"nd focus plus tastes amazing. Each serving has just 10 calories and is recommended to take 2 servings daily. Available at any target in the coffee section. Check it out and thank me later.")</f>
        <v>like coffee this is a game changer I found this at Target last week I went to buy some groceries and I found this one so now I don't need to take ashwagandha anymore this tastes like plain coffee but it has ashwagandha. It's so easy to make you just need one spoon with hot water or milk you can add sweetener do iced coffee or even add to smoothies it also has L-theanine, turmeric, lion's mane and chaga. The Vadam India Ashwagandha coffee helps you with daily stress, calm energy and clarity, mood balance and focus plus tastes amazing. Each serving has just 10 calories and is recommended to take 2 servings daily. Available at any target in the coffee section. Check it out and thank me later.</v>
      </c>
      <c r="AW33" s="35"/>
      <c r="AX33" s="35"/>
      <c r="AY33" s="35"/>
      <c r="AZ33" s="35"/>
      <c r="BA33" s="35"/>
      <c r="BB33" s="35"/>
      <c r="BC33" s="35"/>
      <c r="BD33" s="35"/>
      <c r="BE33" s="35"/>
      <c r="BF33" s="35"/>
      <c r="BG33" s="35"/>
    </row>
    <row r="34" ht="15.75" customHeight="1">
      <c r="A34" s="55" t="str">
        <f>IFERROR(__xludf.DUMMYFUNCTION("""COMPUTED_VALUE"""),"Tiktok")</f>
        <v>Tiktok</v>
      </c>
      <c r="B34" s="56">
        <f>IFERROR(__xludf.DUMMYFUNCTION("""COMPUTED_VALUE"""),46195.0)</f>
        <v>46195</v>
      </c>
      <c r="C34" s="55" t="str">
        <f>IFERROR(__xludf.DUMMYFUNCTION("""COMPUTED_VALUE"""),"June")</f>
        <v>June</v>
      </c>
      <c r="D34" s="58" t="str">
        <f>IFERROR(__xludf.DUMMYFUNCTION("""COMPUTED_VALUE"""),"https://www.tiktok.com/@fabiano.dosso/video/7654205750239137055")</f>
        <v>https://www.tiktok.com/@fabiano.dosso/video/7654205750239137055</v>
      </c>
      <c r="E34" s="55" t="str">
        <f>IFERROR(__xludf.DUMMYFUNCTION("""COMPUTED_VALUE"""),"@fabiano.dosso")</f>
        <v>@fabiano.dosso</v>
      </c>
      <c r="F34" s="55" t="str">
        <f>IFERROR(__xludf.DUMMYFUNCTION("""COMPUTED_VALUE"""),"Fabiano Dosso")</f>
        <v>Fabiano Dosso</v>
      </c>
      <c r="G34" s="55" t="str">
        <f>IFERROR(__xludf.DUMMYFUNCTION("""COMPUTED_VALUE"""),"Taste")</f>
        <v>Taste</v>
      </c>
      <c r="H34" s="55">
        <f>IFERROR(__xludf.DUMMYFUNCTION("""COMPUTED_VALUE"""),38.0)</f>
        <v>38</v>
      </c>
      <c r="I34" s="55">
        <f>IFERROR(__xludf.DUMMYFUNCTION("""COMPUTED_VALUE"""),28.6)</f>
        <v>28.6</v>
      </c>
      <c r="J34" s="55" t="str">
        <f>IFERROR(__xludf.DUMMYFUNCTION("""COMPUTED_VALUE"""),"Consider")</f>
        <v>Consider</v>
      </c>
      <c r="K34" s="55" t="str">
        <f>IFERROR(__xludf.DUMMYFUNCTION("""COMPUTED_VALUE"""),"No")</f>
        <v>No</v>
      </c>
      <c r="L34" s="55" t="str">
        <f>IFERROR(__xludf.DUMMYFUNCTION("""COMPUTED_VALUE"""),"Score 29.3 nearing 30 threshold; 6-sec 20.3% nearing 25% threshold")</f>
        <v>Score 29.3 nearing 30 threshold; 6-sec 20.3% nearing 25% threshold</v>
      </c>
      <c r="M34" s="59" t="str">
        <f>IFERROR(__xludf.DUMMYFUNCTION("""COMPUTED_VALUE"""),"No Ad Data")</f>
        <v>No Ad Data</v>
      </c>
      <c r="N34" s="55"/>
      <c r="O34" s="55"/>
      <c r="P34" s="59">
        <f>IFERROR(__xludf.DUMMYFUNCTION("""COMPUTED_VALUE"""),107.0)</f>
        <v>107</v>
      </c>
      <c r="Q34" s="59">
        <f>IFERROR(__xludf.DUMMYFUNCTION("""COMPUTED_VALUE"""),1.0)</f>
        <v>1</v>
      </c>
      <c r="R34" s="59">
        <f>IFERROR(__xludf.DUMMYFUNCTION("""COMPUTED_VALUE"""),0.0)</f>
        <v>0</v>
      </c>
      <c r="S34" s="62">
        <f>IFERROR(__xludf.DUMMYFUNCTION("""COMPUTED_VALUE"""),47.7)</f>
        <v>47.7</v>
      </c>
      <c r="T34" s="62">
        <f>IFERROR(__xludf.DUMMYFUNCTION("""COMPUTED_VALUE"""),20.3)</f>
        <v>20.3</v>
      </c>
      <c r="U34" s="64">
        <f>IFERROR(__xludf.DUMMYFUNCTION("""COMPUTED_VALUE"""),5.0)</f>
        <v>5</v>
      </c>
      <c r="V34" s="62">
        <f>IFERROR(__xludf.DUMMYFUNCTION("""COMPUTED_VALUE"""),0.93)</f>
        <v>0.93</v>
      </c>
      <c r="W34" s="63">
        <f>IFERROR(__xludf.DUMMYFUNCTION("""COMPUTED_VALUE"""),117.58)</f>
        <v>117.58</v>
      </c>
      <c r="X34" s="59">
        <f>IFERROR(__xludf.DUMMYFUNCTION("""COMPUTED_VALUE"""),107.0)</f>
        <v>107</v>
      </c>
      <c r="Y34" s="59">
        <f>IFERROR(__xludf.DUMMYFUNCTION("""COMPUTED_VALUE"""),1.0)</f>
        <v>1</v>
      </c>
      <c r="Z34" s="59">
        <f>IFERROR(__xludf.DUMMYFUNCTION("""COMPUTED_VALUE"""),0.0)</f>
        <v>0</v>
      </c>
      <c r="AA34" s="59">
        <f>IFERROR(__xludf.DUMMYFUNCTION("""COMPUTED_VALUE"""),0.0)</f>
        <v>0</v>
      </c>
      <c r="AB34" s="64">
        <f>IFERROR(__xludf.DUMMYFUNCTION("""COMPUTED_VALUE"""),5.0)</f>
        <v>5</v>
      </c>
      <c r="AC34" s="62">
        <f>IFERROR(__xludf.DUMMYFUNCTION("""COMPUTED_VALUE"""),0.93)</f>
        <v>0.93</v>
      </c>
      <c r="AD34" s="62">
        <f>IFERROR(__xludf.DUMMYFUNCTION("""COMPUTED_VALUE"""),47.7)</f>
        <v>47.7</v>
      </c>
      <c r="AE34" s="62">
        <f>IFERROR(__xludf.DUMMYFUNCTION("""COMPUTED_VALUE"""),20.3)</f>
        <v>20.3</v>
      </c>
      <c r="AF34" s="55"/>
      <c r="AG34" s="55"/>
      <c r="AH34" s="55"/>
      <c r="AI34" s="55"/>
      <c r="AJ34" s="55"/>
      <c r="AK34" s="55"/>
      <c r="AL34" s="55"/>
      <c r="AM34" s="55" t="str">
        <f>IFERROR(__xludf.DUMMYFUNCTION("""COMPUTED_VALUE"""),"#cbM/cIPsVEJ6kzZM0RUt1rt6khS0MGA7hWFTr6+hvzyENNZbpW8erhrIWlmWhp8=")</f>
        <v>#cbM/cIPsVEJ6kzZM0RUt1rt6khS0MGA7hWFTr6+hvzyENNZbpW8erhrIWlmWhp8=</v>
      </c>
      <c r="AN34" s="55"/>
      <c r="AO34" s="58" t="str">
        <f>IFERROR(__xludf.DUMMYFUNCTION("""COMPUTED_VALUE"""),"https://us.brand.joinbrands.com/job/691395")</f>
        <v>https://us.brand.joinbrands.com/job/691395</v>
      </c>
      <c r="AP34" s="55" t="str">
        <f>IFERROR(__xludf.DUMMYFUNCTION("""COMPUTED_VALUE"""),"Man - slow")</f>
        <v>Man - slow</v>
      </c>
      <c r="AQ34" s="55" t="str">
        <f>IFERROR(__xludf.DUMMYFUNCTION("""COMPUTED_VALUE"""),"#coffee #target #vahdam #ugg #ashwagandha")</f>
        <v>#coffee #target #vahdam #ugg #ashwagandha</v>
      </c>
      <c r="AR34" s="55" t="str">
        <f>IFERROR(__xludf.DUMMYFUNCTION("""COMPUTED_VALUE"""),"I found something new at target that really caught my attention Vadam Ashwagandha Coffee.")</f>
        <v>I found something new at target that really caught my attention Vadam Ashwagandha Coffee.</v>
      </c>
      <c r="AS34" s="55" t="str">
        <f>IFERROR(__xludf.DUMMYFUNCTION("""COMPUTED_VALUE"""),"Personal Discovery")</f>
        <v>Personal Discovery</v>
      </c>
      <c r="AT34" s="55" t="str">
        <f>IFERROR(__xludf.DUMMYFUNCTION("""COMPUTED_VALUE"""),"• It combines premium Arabica coffee with K S M66, Ashwagandha, L theanine, turmeric, and functional mushrooms all in one cup.
• I love the idea of upgrading my daily coffee with wellness ingredients without having to add a bunch of supplements to my rout"&amp;"ine.
• It actually tastes delicious just like regular coffee.
• And the best part?")</f>
        <v>• It combines premium Arabica coffee with K S M66, Ashwagandha, L theanine, turmeric, and functional mushrooms all in one cup.
• I love the idea of upgrading my daily coffee with wellness ingredients without having to add a bunch of supplements to my routine.
• It actually tastes delicious just like regular coffee.
• And the best part?</v>
      </c>
      <c r="AU34" s="55" t="str">
        <f>IFERROR(__xludf.DUMMYFUNCTION("""COMPUTED_VALUE"""),"If you spot Vadam Ashwagandha coffee at target or on target.com, give it a try!")</f>
        <v>If you spot Vadam Ashwagandha coffee at target or on target.com, give it a try!</v>
      </c>
      <c r="AV34" s="55" t="str">
        <f>IFERROR(__xludf.DUMMYFUNCTION("""COMPUTED_VALUE"""),"I found something new at target that really caught my attention Vadam Ashwagandha Coffee. It combines premium Arabica coffee with K S M66, Ashwagandha, L theanine, turmeric, and functional mushrooms all in one cup. I love the idea of upgrading my daily co"&amp;"ffee with wellness ingredients without having to add a bunch of supplements to my routine. And the best part? It actually tastes delicious just like regular coffee. If you spot Vadam Ashwagandha coffee at target or on target.com, give it a try!")</f>
        <v>I found something new at target that really caught my attention Vadam Ashwagandha Coffee. It combines premium Arabica coffee with K S M66, Ashwagandha, L theanine, turmeric, and functional mushrooms all in one cup. I love the idea of upgrading my daily coffee with wellness ingredients without having to add a bunch of supplements to my routine. And the best part? It actually tastes delicious just like regular coffee. If you spot Vadam Ashwagandha coffee at target or on target.com, give it a try!</v>
      </c>
      <c r="AW34" s="35"/>
      <c r="AX34" s="35"/>
      <c r="AY34" s="35"/>
      <c r="AZ34" s="35"/>
      <c r="BA34" s="35"/>
      <c r="BB34" s="35"/>
      <c r="BC34" s="35"/>
      <c r="BD34" s="35"/>
      <c r="BE34" s="35"/>
      <c r="BF34" s="35"/>
      <c r="BG34" s="35"/>
    </row>
    <row r="35" ht="15.75" customHeight="1">
      <c r="A35" s="55" t="str">
        <f>IFERROR(__xludf.DUMMYFUNCTION("""COMPUTED_VALUE"""),"Instagram")</f>
        <v>Instagram</v>
      </c>
      <c r="B35" s="56">
        <f>IFERROR(__xludf.DUMMYFUNCTION("""COMPUTED_VALUE"""),46192.0)</f>
        <v>46192</v>
      </c>
      <c r="C35" s="55" t="str">
        <f>IFERROR(__xludf.DUMMYFUNCTION("""COMPUTED_VALUE"""),"June")</f>
        <v>June</v>
      </c>
      <c r="D35" s="58" t="str">
        <f>IFERROR(__xludf.DUMMYFUNCTION("""COMPUTED_VALUE"""),"https://www.instagram.com/reel/DZugbWxR3pu/")</f>
        <v>https://www.instagram.com/reel/DZugbWxR3pu/</v>
      </c>
      <c r="E35" s="55" t="str">
        <f>IFERROR(__xludf.DUMMYFUNCTION("""COMPUTED_VALUE"""),"@na")</f>
        <v>@na</v>
      </c>
      <c r="F35" s="55" t="str">
        <f>IFERROR(__xludf.DUMMYFUNCTION("""COMPUTED_VALUE"""),"NA")</f>
        <v>NA</v>
      </c>
      <c r="G35" s="55" t="str">
        <f>IFERROR(__xludf.DUMMYFUNCTION("""COMPUTED_VALUE"""),"Cortisol")</f>
        <v>Cortisol</v>
      </c>
      <c r="H35" s="55">
        <f>IFERROR(__xludf.DUMMYFUNCTION("""COMPUTED_VALUE"""),46.0)</f>
        <v>46</v>
      </c>
      <c r="I35" s="55">
        <f>IFERROR(__xludf.DUMMYFUNCTION("""COMPUTED_VALUE"""),16.3)</f>
        <v>16.3</v>
      </c>
      <c r="J35" s="55" t="str">
        <f>IFERROR(__xludf.DUMMYFUNCTION("""COMPUTED_VALUE"""),"Consider")</f>
        <v>Consider</v>
      </c>
      <c r="K35" s="55" t="str">
        <f>IFERROR(__xludf.DUMMYFUNCTION("""COMPUTED_VALUE"""),"No")</f>
        <v>No</v>
      </c>
      <c r="L35" s="55" t="str">
        <f>IFERROR(__xludf.DUMMYFUNCTION("""COMPUTED_VALUE"""),"Score 16.8 nearing 20 threshold")</f>
        <v>Score 16.8 nearing 20 threshold</v>
      </c>
      <c r="M35" s="59" t="str">
        <f>IFERROR(__xludf.DUMMYFUNCTION("""COMPUTED_VALUE"""),"No Ad Data")</f>
        <v>No Ad Data</v>
      </c>
      <c r="N35" s="55"/>
      <c r="O35" s="55"/>
      <c r="P35" s="59">
        <f>IFERROR(__xludf.DUMMYFUNCTION("""COMPUTED_VALUE"""),107.0)</f>
        <v>107</v>
      </c>
      <c r="Q35" s="59">
        <f>IFERROR(__xludf.DUMMYFUNCTION("""COMPUTED_VALUE"""),2.0)</f>
        <v>2</v>
      </c>
      <c r="R35" s="59">
        <f>IFERROR(__xludf.DUMMYFUNCTION("""COMPUTED_VALUE"""),0.0)</f>
        <v>0</v>
      </c>
      <c r="S35" s="55"/>
      <c r="T35" s="68">
        <f>IFERROR(__xludf.DUMMYFUNCTION("""COMPUTED_VALUE"""),0.0)</f>
        <v>0</v>
      </c>
      <c r="U35" s="55"/>
      <c r="V35" s="62">
        <f>IFERROR(__xludf.DUMMYFUNCTION("""COMPUTED_VALUE"""),0.0186)</f>
        <v>0.0186</v>
      </c>
      <c r="W35" s="63">
        <f>IFERROR(__xludf.DUMMYFUNCTION("""COMPUTED_VALUE"""),117.58)</f>
        <v>117.58</v>
      </c>
      <c r="X35" s="59">
        <f>IFERROR(__xludf.DUMMYFUNCTION("""COMPUTED_VALUE"""),107.0)</f>
        <v>107</v>
      </c>
      <c r="Y35" s="59">
        <f>IFERROR(__xludf.DUMMYFUNCTION("""COMPUTED_VALUE"""),2.0)</f>
        <v>2</v>
      </c>
      <c r="Z35" s="59">
        <f>IFERROR(__xludf.DUMMYFUNCTION("""COMPUTED_VALUE"""),0.0)</f>
        <v>0</v>
      </c>
      <c r="AA35" s="59">
        <f>IFERROR(__xludf.DUMMYFUNCTION("""COMPUTED_VALUE"""),0.0)</f>
        <v>0</v>
      </c>
      <c r="AB35" s="64">
        <f>IFERROR(__xludf.DUMMYFUNCTION("""COMPUTED_VALUE"""),0.0)</f>
        <v>0</v>
      </c>
      <c r="AC35" s="62">
        <f>IFERROR(__xludf.DUMMYFUNCTION("""COMPUTED_VALUE"""),0.0186)</f>
        <v>0.0186</v>
      </c>
      <c r="AD35" s="62">
        <f>IFERROR(__xludf.DUMMYFUNCTION("""COMPUTED_VALUE"""),0.0)</f>
        <v>0</v>
      </c>
      <c r="AE35" s="62">
        <f>IFERROR(__xludf.DUMMYFUNCTION("""COMPUTED_VALUE"""),0.0)</f>
        <v>0</v>
      </c>
      <c r="AF35" s="55"/>
      <c r="AG35" s="55"/>
      <c r="AH35" s="55"/>
      <c r="AI35" s="55"/>
      <c r="AJ35" s="55"/>
      <c r="AK35" s="55"/>
      <c r="AL35" s="55"/>
      <c r="AM35" s="55" t="str">
        <f>IFERROR(__xludf.DUMMYFUNCTION("""COMPUTED_VALUE"""),"Q9jTBBUSII_T05O0_jjiMp6RC20Oc2Z85cqsriXpvO_UPMQCdJl44r5tz35s4bNhSj8")</f>
        <v>Q9jTBBUSII_T05O0_jjiMp6RC20Oc2Z85cqsriXpvO_UPMQCdJl44r5tz35s4bNhSj8</v>
      </c>
      <c r="AN35" s="55"/>
      <c r="AO35" s="55" t="str">
        <f>IFERROR(__xludf.DUMMYFUNCTION("""COMPUTED_VALUE"""),"NA")</f>
        <v>NA</v>
      </c>
      <c r="AP35" s="55" t="str">
        <f>IFERROR(__xludf.DUMMYFUNCTION("""COMPUTED_VALUE"""),"NA")</f>
        <v>NA</v>
      </c>
      <c r="AQ35" s="55" t="str">
        <f>IFERROR(__xludf.DUMMYFUNCTION("""COMPUTED_VALUE"""),"NA")</f>
        <v>NA</v>
      </c>
      <c r="AR35" s="55" t="str">
        <f>IFERROR(__xludf.DUMMYFUNCTION("""COMPUTED_VALUE"""),"Do not buy ashwagandha supplements at Target.")</f>
        <v>Do not buy ashwagandha supplements at Target.</v>
      </c>
      <c r="AS35" s="55" t="str">
        <f>IFERROR(__xludf.DUMMYFUNCTION("""COMPUTED_VALUE"""),"In-Store / Target Discovery")</f>
        <v>In-Store / Target Discovery</v>
      </c>
      <c r="AT35" s="55" t="str">
        <f>IFERROR(__xludf.DUMMYFUNCTION("""COMPUTED_VALUE"""),"• I am in the coffee aisle right now and I found the best way to consume ashwagandha and it's not a supplement.
• This is the Vodum ashwagandha coffee plus it has KSM-66 ashwagandha.
• It has 200 milligrams of L-theanine, 100 milligrams of curcuminoids, l"&amp;"ion's mane, and chaga.
• You may forget your supplements, but you never forget your morning coffee, so you will never miss your ashwagandha.")</f>
        <v>• I am in the coffee aisle right now and I found the best way to consume ashwagandha and it's not a supplement.
• This is the Vodum ashwagandha coffee plus it has KSM-66 ashwagandha.
• It has 200 milligrams of L-theanine, 100 milligrams of curcuminoids, lion's mane, and chaga.
• You may forget your supplements, but you never forget your morning coffee, so you will never miss your ashwagandha.</v>
      </c>
      <c r="AU35" s="55" t="str">
        <f>IFERROR(__xludf.DUMMYFUNCTION("""COMPUTED_VALUE"""),"Try this instead and you will thank me.")</f>
        <v>Try this instead and you will thank me.</v>
      </c>
      <c r="AV35" s="55" t="str">
        <f>IFERROR(__xludf.DUMMYFUNCTION("""COMPUTED_VALUE"""),"Do not buy ashwagandha supplements at Target. Try this instead and you will thank me. If you came to buy ashwagandha supplements at Target, I have news for you. Look at this, you guys. I am in the coffee aisle right now and I found the best way to consume"&amp;" ashwagandha and it's not a supplement. This is the Vodum ashwagandha coffee plus it has KSM-66 ashwagandha. It has 200 milligrams of L-theanine, 100 milligrams of curcuminoids, lion's mane, and chaga. So two cups of this coffee equals half the daily reco"&amp;"mmended dose of ashwagandha. You may forget your supplements, but you never forget your morning coffee, so you will never miss your ashwagandha. This is the smarter, simpler, and better way to take ashwagandha, and it's at Target, in stores, and online, s"&amp;"o go and get it.")</f>
        <v>Do not buy ashwagandha supplements at Target. Try this instead and you will thank me. If you came to buy ashwagandha supplements at Target, I have news for you. Look at this, you guys. I am in the coffee aisle right now and I found the best way to consume ashwagandha and it's not a supplement. This is the Vodum ashwagandha coffee plus it has KSM-66 ashwagandha. It has 200 milligrams of L-theanine, 100 milligrams of curcuminoids, lion's mane, and chaga. So two cups of this coffee equals half the daily recommended dose of ashwagandha. You may forget your supplements, but you never forget your morning coffee, so you will never miss your ashwagandha. This is the smarter, simpler, and better way to take ashwagandha, and it's at Target, in stores, and online, so go and get it.</v>
      </c>
      <c r="AW35" s="35"/>
      <c r="AX35" s="35"/>
      <c r="AY35" s="35"/>
      <c r="AZ35" s="35"/>
      <c r="BA35" s="35"/>
      <c r="BB35" s="35"/>
      <c r="BC35" s="35"/>
      <c r="BD35" s="35"/>
      <c r="BE35" s="35"/>
      <c r="BF35" s="35"/>
      <c r="BG35" s="35"/>
    </row>
    <row r="36" ht="15.75" customHeight="1">
      <c r="A36" s="55" t="str">
        <f>IFERROR(__xludf.DUMMYFUNCTION("""COMPUTED_VALUE"""),"Tiktok")</f>
        <v>Tiktok</v>
      </c>
      <c r="B36" s="56">
        <f>IFERROR(__xludf.DUMMYFUNCTION("""COMPUTED_VALUE"""),46197.0)</f>
        <v>46197</v>
      </c>
      <c r="C36" s="55" t="str">
        <f>IFERROR(__xludf.DUMMYFUNCTION("""COMPUTED_VALUE"""),"June")</f>
        <v>June</v>
      </c>
      <c r="D36" s="58" t="str">
        <f>IFERROR(__xludf.DUMMYFUNCTION("""COMPUTED_VALUE"""),"https://www.tiktok.com/@rumerican_mama/video/7655034353172499726")</f>
        <v>https://www.tiktok.com/@rumerican_mama/video/7655034353172499726</v>
      </c>
      <c r="E36" s="55" t="str">
        <f>IFERROR(__xludf.DUMMYFUNCTION("""COMPUTED_VALUE"""),"@rumerican_mama")</f>
        <v>@rumerican_mama</v>
      </c>
      <c r="F36" s="55" t="str">
        <f>IFERROR(__xludf.DUMMYFUNCTION("""COMPUTED_VALUE"""),"Dasha Christner")</f>
        <v>Dasha Christner</v>
      </c>
      <c r="G36" s="55" t="str">
        <f>IFERROR(__xludf.DUMMYFUNCTION("""COMPUTED_VALUE"""),"Target Shelf Showdown")</f>
        <v>Target Shelf Showdown</v>
      </c>
      <c r="H36" s="55">
        <f>IFERROR(__xludf.DUMMYFUNCTION("""COMPUTED_VALUE"""),59.0)</f>
        <v>59</v>
      </c>
      <c r="I36" s="55">
        <f>IFERROR(__xludf.DUMMYFUNCTION("""COMPUTED_VALUE"""),26.8)</f>
        <v>26.8</v>
      </c>
      <c r="J36" s="55" t="str">
        <f>IFERROR(__xludf.DUMMYFUNCTION("""COMPUTED_VALUE"""),"Consider")</f>
        <v>Consider</v>
      </c>
      <c r="K36" s="55" t="str">
        <f>IFERROR(__xludf.DUMMYFUNCTION("""COMPUTED_VALUE"""),"No")</f>
        <v>No</v>
      </c>
      <c r="L36" s="55" t="str">
        <f>IFERROR(__xludf.DUMMYFUNCTION("""COMPUTED_VALUE"""),"Score 26.5 nearing 30 threshold")</f>
        <v>Score 26.5 nearing 30 threshold</v>
      </c>
      <c r="M36" s="59" t="str">
        <f>IFERROR(__xludf.DUMMYFUNCTION("""COMPUTED_VALUE"""),"No Ad Data")</f>
        <v>No Ad Data</v>
      </c>
      <c r="N36" s="55"/>
      <c r="O36" s="55"/>
      <c r="P36" s="59">
        <f>IFERROR(__xludf.DUMMYFUNCTION("""COMPUTED_VALUE"""),106.0)</f>
        <v>106</v>
      </c>
      <c r="Q36" s="59">
        <f>IFERROR(__xludf.DUMMYFUNCTION("""COMPUTED_VALUE"""),3.0)</f>
        <v>3</v>
      </c>
      <c r="R36" s="59">
        <f>IFERROR(__xludf.DUMMYFUNCTION("""COMPUTED_VALUE"""),0.0)</f>
        <v>0</v>
      </c>
      <c r="S36" s="62">
        <f>IFERROR(__xludf.DUMMYFUNCTION("""COMPUTED_VALUE"""),29.2)</f>
        <v>29.2</v>
      </c>
      <c r="T36" s="62">
        <f>IFERROR(__xludf.DUMMYFUNCTION("""COMPUTED_VALUE"""),11.3)</f>
        <v>11.3</v>
      </c>
      <c r="U36" s="64">
        <f>IFERROR(__xludf.DUMMYFUNCTION("""COMPUTED_VALUE"""),4.0)</f>
        <v>4</v>
      </c>
      <c r="V36" s="62">
        <f>IFERROR(__xludf.DUMMYFUNCTION("""COMPUTED_VALUE"""),2.8)</f>
        <v>2.8</v>
      </c>
      <c r="W36" s="63">
        <f>IFERROR(__xludf.DUMMYFUNCTION("""COMPUTED_VALUE"""),72.99)</f>
        <v>72.99</v>
      </c>
      <c r="X36" s="59">
        <f>IFERROR(__xludf.DUMMYFUNCTION("""COMPUTED_VALUE"""),106.0)</f>
        <v>106</v>
      </c>
      <c r="Y36" s="59">
        <f>IFERROR(__xludf.DUMMYFUNCTION("""COMPUTED_VALUE"""),3.0)</f>
        <v>3</v>
      </c>
      <c r="Z36" s="59">
        <f>IFERROR(__xludf.DUMMYFUNCTION("""COMPUTED_VALUE"""),0.0)</f>
        <v>0</v>
      </c>
      <c r="AA36" s="59">
        <f>IFERROR(__xludf.DUMMYFUNCTION("""COMPUTED_VALUE"""),0.0)</f>
        <v>0</v>
      </c>
      <c r="AB36" s="64">
        <f>IFERROR(__xludf.DUMMYFUNCTION("""COMPUTED_VALUE"""),4.0)</f>
        <v>4</v>
      </c>
      <c r="AC36" s="62">
        <f>IFERROR(__xludf.DUMMYFUNCTION("""COMPUTED_VALUE"""),2.8)</f>
        <v>2.8</v>
      </c>
      <c r="AD36" s="62">
        <f>IFERROR(__xludf.DUMMYFUNCTION("""COMPUTED_VALUE"""),29.2)</f>
        <v>29.2</v>
      </c>
      <c r="AE36" s="62">
        <f>IFERROR(__xludf.DUMMYFUNCTION("""COMPUTED_VALUE"""),11.3)</f>
        <v>11.3</v>
      </c>
      <c r="AF36" s="55"/>
      <c r="AG36" s="55"/>
      <c r="AH36" s="55"/>
      <c r="AI36" s="55"/>
      <c r="AJ36" s="55"/>
      <c r="AK36" s="55"/>
      <c r="AL36" s="55"/>
      <c r="AM36" s="55" t="str">
        <f>IFERROR(__xludf.DUMMYFUNCTION("""COMPUTED_VALUE"""),"#Bkro4MODhjUtTbNKVVNgZEb/vFGOPEwutKHaWct98KZ6cJweQdQB/vOQaIqkSx0=")</f>
        <v>#Bkro4MODhjUtTbNKVVNgZEb/vFGOPEwutKHaWct98KZ6cJweQdQB/vOQaIqkSx0=</v>
      </c>
      <c r="AN36" s="55"/>
      <c r="AO36" s="58" t="str">
        <f>IFERROR(__xludf.DUMMYFUNCTION("""COMPUTED_VALUE"""),"https://us.brand.joinbrands.com/job/687395")</f>
        <v>https://us.brand.joinbrands.com/job/687395</v>
      </c>
      <c r="AP36" s="55" t="str">
        <f>IFERROR(__xludf.DUMMYFUNCTION("""COMPUTED_VALUE"""),"NA")</f>
        <v>NA</v>
      </c>
      <c r="AQ36" s="55" t="str">
        <f>IFERROR(__xludf.DUMMYFUNCTION("""COMPUTED_VALUE"""),"My new favorite coffee!")</f>
        <v>My new favorite coffee!</v>
      </c>
      <c r="AR36" s="55" t="str">
        <f>IFERROR(__xludf.DUMMYFUNCTION("""COMPUTED_VALUE"""),"I think I just found my favorite functional coffee at Target.")</f>
        <v>I think I just found my favorite functional coffee at Target.</v>
      </c>
      <c r="AS36" s="55" t="str">
        <f>IFERROR(__xludf.DUMMYFUNCTION("""COMPUTED_VALUE"""),"Personal Discovery")</f>
        <v>Personal Discovery</v>
      </c>
      <c r="AT36" s="55" t="str">
        <f>IFERROR(__xludf.DUMMYFUNCTION("""COMPUTED_VALUE"""),"• Of course, I started reading labels. what stood out to me about this one was the KSM 66 ashwagandha plus L-theanine, lime's mane, chaga, and turmeric.
• If you know me, you know I love coffee, but I don't like jitters or anxiety or that afternoon crush."&amp;"
• This is Vagdam Ashwagandha coffee.
• I'm not reaching for another cup at 2 p.m. and I still get to enjoy my morning coffee.")</f>
        <v>• Of course, I started reading labels. what stood out to me about this one was the KSM 66 ashwagandha plus L-theanine, lime's mane, chaga, and turmeric.
• If you know me, you know I love coffee, but I don't like jitters or anxiety or that afternoon crush.
• This is Vagdam Ashwagandha coffee.
• I'm not reaching for another cup at 2 p.m. and I still get to enjoy my morning coffee.</v>
      </c>
      <c r="AU36" s="55" t="str">
        <f>IFERROR(__xludf.DUMMYFUNCTION("""COMPUTED_VALUE"""),"And yes, this is already my second bag.")</f>
        <v>And yes, this is already my second bag.</v>
      </c>
      <c r="AV36" s="55" t="str">
        <f>IFERROR(__xludf.DUMMYFUNCTION("""COMPUTED_VALUE"""),"I think I just found my favorite functional coffee at Target. If you know me, you know I love coffee, but I don't like jitters or anxiety or that afternoon crush. This is Vagdam Ashwagandha coffee. And after trying, but it feels like every single coffee f"&amp;"rom Target, this is the one I stick to. Of course, I started reading labels. what stood out to me about this one was the KSM 66 ashwagandha plus L-theanine, lime's mane, chaga, and turmeric. I've been drinking it for the last couple of weeks and the diffe"&amp;"rence isn't dramatic. It's just better. My energy feels more steady. I'm not reaching for another cup at 2 p.m. and I still get to enjoy my morning coffee. Maybe I finally found a coffee that actually likes me back. So good. And yes, this is already my se"&amp;"cond bag.")</f>
        <v>I think I just found my favorite functional coffee at Target. If you know me, you know I love coffee, but I don't like jitters or anxiety or that afternoon crush. This is Vagdam Ashwagandha coffee. And after trying, but it feels like every single coffee from Target, this is the one I stick to. Of course, I started reading labels. what stood out to me about this one was the KSM 66 ashwagandha plus L-theanine, lime's mane, chaga, and turmeric. I've been drinking it for the last couple of weeks and the difference isn't dramatic. It's just better. My energy feels more steady. I'm not reaching for another cup at 2 p.m. and I still get to enjoy my morning coffee. Maybe I finally found a coffee that actually likes me back. So good. And yes, this is already my second bag.</v>
      </c>
      <c r="AW36" s="35"/>
      <c r="AX36" s="35"/>
      <c r="AY36" s="35"/>
      <c r="AZ36" s="35"/>
      <c r="BA36" s="35"/>
      <c r="BB36" s="35"/>
      <c r="BC36" s="35"/>
      <c r="BD36" s="35"/>
      <c r="BE36" s="35"/>
      <c r="BF36" s="35"/>
      <c r="BG36" s="35"/>
    </row>
    <row r="37" ht="15.75" customHeight="1">
      <c r="A37" s="55" t="str">
        <f>IFERROR(__xludf.DUMMYFUNCTION("""COMPUTED_VALUE"""),"Tiktok")</f>
        <v>Tiktok</v>
      </c>
      <c r="B37" s="56">
        <f>IFERROR(__xludf.DUMMYFUNCTION("""COMPUTED_VALUE"""),46190.0)</f>
        <v>46190</v>
      </c>
      <c r="C37" s="55" t="str">
        <f>IFERROR(__xludf.DUMMYFUNCTION("""COMPUTED_VALUE"""),"June")</f>
        <v>June</v>
      </c>
      <c r="D37" s="58" t="str">
        <f>IFERROR(__xludf.DUMMYFUNCTION("""COMPUTED_VALUE"""),"https://www.tiktok.com/@gringagoiana/video/7652295293744024862")</f>
        <v>https://www.tiktok.com/@gringagoiana/video/7652295293744024862</v>
      </c>
      <c r="E37" s="55" t="str">
        <f>IFERROR(__xludf.DUMMYFUNCTION("""COMPUTED_VALUE"""),"@gringagoiana")</f>
        <v>@gringagoiana</v>
      </c>
      <c r="F37" s="55" t="str">
        <f>IFERROR(__xludf.DUMMYFUNCTION("""COMPUTED_VALUE"""),"Joyce Ribeiro")</f>
        <v>Joyce Ribeiro</v>
      </c>
      <c r="G37" s="55" t="str">
        <f>IFERROR(__xludf.DUMMYFUNCTION("""COMPUTED_VALUE"""),"Over 40/ High Performer")</f>
        <v>Over 40/ High Performer</v>
      </c>
      <c r="H37" s="55">
        <f>IFERROR(__xludf.DUMMYFUNCTION("""COMPUTED_VALUE"""),18.0)</f>
        <v>18</v>
      </c>
      <c r="I37" s="55">
        <f>IFERROR(__xludf.DUMMYFUNCTION("""COMPUTED_VALUE"""),24.6)</f>
        <v>24.6</v>
      </c>
      <c r="J37" s="55" t="str">
        <f>IFERROR(__xludf.DUMMYFUNCTION("""COMPUTED_VALUE"""),"Consider")</f>
        <v>Consider</v>
      </c>
      <c r="K37" s="55" t="str">
        <f>IFERROR(__xludf.DUMMYFUNCTION("""COMPUTED_VALUE"""),"No")</f>
        <v>No</v>
      </c>
      <c r="L37" s="55" t="str">
        <f>IFERROR(__xludf.DUMMYFUNCTION("""COMPUTED_VALUE"""),"Score 25.3 nearing 30 threshold")</f>
        <v>Score 25.3 nearing 30 threshold</v>
      </c>
      <c r="M37" s="59" t="str">
        <f>IFERROR(__xludf.DUMMYFUNCTION("""COMPUTED_VALUE"""),"No Ad Data")</f>
        <v>No Ad Data</v>
      </c>
      <c r="N37" s="55"/>
      <c r="O37" s="55"/>
      <c r="P37" s="59">
        <f>IFERROR(__xludf.DUMMYFUNCTION("""COMPUTED_VALUE"""),100.0)</f>
        <v>100</v>
      </c>
      <c r="Q37" s="59">
        <f>IFERROR(__xludf.DUMMYFUNCTION("""COMPUTED_VALUE"""),1.0)</f>
        <v>1</v>
      </c>
      <c r="R37" s="59">
        <f>IFERROR(__xludf.DUMMYFUNCTION("""COMPUTED_VALUE"""),0.0)</f>
        <v>0</v>
      </c>
      <c r="S37" s="62">
        <f>IFERROR(__xludf.DUMMYFUNCTION("""COMPUTED_VALUE"""),31.4)</f>
        <v>31.4</v>
      </c>
      <c r="T37" s="62">
        <f>IFERROR(__xludf.DUMMYFUNCTION("""COMPUTED_VALUE"""),11.1)</f>
        <v>11.1</v>
      </c>
      <c r="U37" s="64">
        <f>IFERROR(__xludf.DUMMYFUNCTION("""COMPUTED_VALUE"""),2.0)</f>
        <v>2</v>
      </c>
      <c r="V37" s="62">
        <f>IFERROR(__xludf.DUMMYFUNCTION("""COMPUTED_VALUE"""),1.0)</f>
        <v>1</v>
      </c>
      <c r="W37" s="63">
        <f>IFERROR(__xludf.DUMMYFUNCTION("""COMPUTED_VALUE"""),117.58)</f>
        <v>117.58</v>
      </c>
      <c r="X37" s="59">
        <f>IFERROR(__xludf.DUMMYFUNCTION("""COMPUTED_VALUE"""),100.0)</f>
        <v>100</v>
      </c>
      <c r="Y37" s="59">
        <f>IFERROR(__xludf.DUMMYFUNCTION("""COMPUTED_VALUE"""),1.0)</f>
        <v>1</v>
      </c>
      <c r="Z37" s="59">
        <f>IFERROR(__xludf.DUMMYFUNCTION("""COMPUTED_VALUE"""),0.0)</f>
        <v>0</v>
      </c>
      <c r="AA37" s="59">
        <f>IFERROR(__xludf.DUMMYFUNCTION("""COMPUTED_VALUE"""),0.0)</f>
        <v>0</v>
      </c>
      <c r="AB37" s="64">
        <f>IFERROR(__xludf.DUMMYFUNCTION("""COMPUTED_VALUE"""),2.0)</f>
        <v>2</v>
      </c>
      <c r="AC37" s="62">
        <f>IFERROR(__xludf.DUMMYFUNCTION("""COMPUTED_VALUE"""),1.0)</f>
        <v>1</v>
      </c>
      <c r="AD37" s="62">
        <f>IFERROR(__xludf.DUMMYFUNCTION("""COMPUTED_VALUE"""),31.4)</f>
        <v>31.4</v>
      </c>
      <c r="AE37" s="62">
        <f>IFERROR(__xludf.DUMMYFUNCTION("""COMPUTED_VALUE"""),11.1)</f>
        <v>11.1</v>
      </c>
      <c r="AF37" s="55"/>
      <c r="AG37" s="55"/>
      <c r="AH37" s="55"/>
      <c r="AI37" s="55"/>
      <c r="AJ37" s="55"/>
      <c r="AK37" s="55"/>
      <c r="AL37" s="55"/>
      <c r="AM37" s="55" t="str">
        <f>IFERROR(__xludf.DUMMYFUNCTION("""COMPUTED_VALUE"""),"#UJ5pOtXnTSzgopgtwPbKB5zQgqM8/jrU3AG74hpZ4tAuW26m2B5PpiuEFXlVrFI=")</f>
        <v>#UJ5pOtXnTSzgopgtwPbKB5zQgqM8/jrU3AG74hpZ4tAuW26m2B5PpiuEFXlVrFI=</v>
      </c>
      <c r="AN37" s="55"/>
      <c r="AO37" s="58" t="str">
        <f>IFERROR(__xludf.DUMMYFUNCTION("""COMPUTED_VALUE"""),"https://us.brand.joinbrands.com/job/691413")</f>
        <v>https://us.brand.joinbrands.com/job/691413</v>
      </c>
      <c r="AP37" s="55" t="str">
        <f>IFERROR(__xludf.DUMMYFUNCTION("""COMPUTED_VALUE"""),"Not great")</f>
        <v>Not great</v>
      </c>
      <c r="AQ37" s="55" t="str">
        <f>IFERROR(__xludf.DUMMYFUNCTION("""COMPUTED_VALUE"""),"It actually tastes like delicious regular coffee. Run to @target and get your @VAHDAM USA")</f>
        <v>It actually tastes like delicious regular coffee. Run to @target and get your @VAHDAM USA</v>
      </c>
      <c r="AR37" s="55" t="str">
        <f>IFERROR(__xludf.DUMMYFUNCTION("""COMPUTED_VALUE"""),"I found this coffee at Target and I had to try it.")</f>
        <v>I found this coffee at Target and I had to try it.</v>
      </c>
      <c r="AS37" s="55" t="str">
        <f>IFERROR(__xludf.DUMMYFUNCTION("""COMPUTED_VALUE"""),"Personal Discovery")</f>
        <v>Personal Discovery</v>
      </c>
      <c r="AT37" s="55" t="str">
        <f>IFERROR(__xludf.DUMMYFUNCTION("""COMPUTED_VALUE"""),"• It's the Vadam Ashagandha coffee and it has ingredients like Ashagandha, Lion's Man and L.E.T.I.
• But honestly what surprised me the most was the taste.
• It actually tastes like a regular coffee.")</f>
        <v>• It's the Vadam Ashagandha coffee and it has ingredients like Ashagandha, Lion's Man and L.E.T.I.
• But honestly what surprised me the most was the taste.
• It actually tastes like a regular coffee.</v>
      </c>
      <c r="AU37" s="55" t="str">
        <f>IFERROR(__xludf.DUMMYFUNCTION("""COMPUTED_VALUE"""),"If you like trying new wellness products but don't want to give up your coffee, this one is worth checking out.")</f>
        <v>If you like trying new wellness products but don't want to give up your coffee, this one is worth checking out.</v>
      </c>
      <c r="AV37" s="55" t="str">
        <f>IFERROR(__xludf.DUMMYFUNCTION("""COMPUTED_VALUE"""),"I found this coffee at Target and I had to try it. It's the Vadam Ashagandha coffee and it has ingredients like Ashagandha, Lion's Man and L.E.T.I. But honestly what surprised me the most was the taste. It actually tastes like a regular coffee. If you lik"&amp;"e trying new wellness products but don't want to give up your coffee, this one is worth checking out.")</f>
        <v>I found this coffee at Target and I had to try it. It's the Vadam Ashagandha coffee and it has ingredients like Ashagandha, Lion's Man and L.E.T.I. But honestly what surprised me the most was the taste. It actually tastes like a regular coffee. If you like trying new wellness products but don't want to give up your coffee, this one is worth checking out.</v>
      </c>
      <c r="AW37" s="35"/>
      <c r="AX37" s="35"/>
      <c r="AY37" s="35"/>
      <c r="AZ37" s="35"/>
      <c r="BA37" s="35"/>
      <c r="BB37" s="35"/>
      <c r="BC37" s="35"/>
      <c r="BD37" s="35"/>
      <c r="BE37" s="35"/>
      <c r="BF37" s="35"/>
      <c r="BG37" s="35"/>
    </row>
    <row r="38" ht="15.75" customHeight="1">
      <c r="A38" s="55" t="str">
        <f>IFERROR(__xludf.DUMMYFUNCTION("""COMPUTED_VALUE"""),"Tiktok")</f>
        <v>Tiktok</v>
      </c>
      <c r="B38" s="56">
        <f>IFERROR(__xludf.DUMMYFUNCTION("""COMPUTED_VALUE"""),46195.0)</f>
        <v>46195</v>
      </c>
      <c r="C38" s="55" t="str">
        <f>IFERROR(__xludf.DUMMYFUNCTION("""COMPUTED_VALUE"""),"June")</f>
        <v>June</v>
      </c>
      <c r="D38" s="58" t="str">
        <f>IFERROR(__xludf.DUMMYFUNCTION("""COMPUTED_VALUE"""),"https://www.tiktok.com/@ugc_by_shalom/video/7654250716323663117")</f>
        <v>https://www.tiktok.com/@ugc_by_shalom/video/7654250716323663117</v>
      </c>
      <c r="E38" s="55" t="str">
        <f>IFERROR(__xludf.DUMMYFUNCTION("""COMPUTED_VALUE"""),"@ugc_by_shalom")</f>
        <v>@ugc_by_shalom</v>
      </c>
      <c r="F38" s="55" t="str">
        <f>IFERROR(__xludf.DUMMYFUNCTION("""COMPUTED_VALUE"""),"Dayana Silva")</f>
        <v>Dayana Silva</v>
      </c>
      <c r="G38" s="55" t="str">
        <f>IFERROR(__xludf.DUMMYFUNCTION("""COMPUTED_VALUE"""),"Taste")</f>
        <v>Taste</v>
      </c>
      <c r="H38" s="55">
        <f>IFERROR(__xludf.DUMMYFUNCTION("""COMPUTED_VALUE"""),39.0)</f>
        <v>39</v>
      </c>
      <c r="I38" s="55">
        <f>IFERROR(__xludf.DUMMYFUNCTION("""COMPUTED_VALUE"""),27.4)</f>
        <v>27.4</v>
      </c>
      <c r="J38" s="55" t="str">
        <f>IFERROR(__xludf.DUMMYFUNCTION("""COMPUTED_VALUE"""),"Consider")</f>
        <v>Consider</v>
      </c>
      <c r="K38" s="55" t="str">
        <f>IFERROR(__xludf.DUMMYFUNCTION("""COMPUTED_VALUE"""),"No")</f>
        <v>No</v>
      </c>
      <c r="L38" s="55" t="str">
        <f>IFERROR(__xludf.DUMMYFUNCTION("""COMPUTED_VALUE"""),"Score 27.1 nearing 30 threshold")</f>
        <v>Score 27.1 nearing 30 threshold</v>
      </c>
      <c r="M38" s="59" t="str">
        <f>IFERROR(__xludf.DUMMYFUNCTION("""COMPUTED_VALUE"""),"No Ad Data")</f>
        <v>No Ad Data</v>
      </c>
      <c r="N38" s="55"/>
      <c r="O38" s="55"/>
      <c r="P38" s="59">
        <f>IFERROR(__xludf.DUMMYFUNCTION("""COMPUTED_VALUE"""),99.0)</f>
        <v>99</v>
      </c>
      <c r="Q38" s="59">
        <f>IFERROR(__xludf.DUMMYFUNCTION("""COMPUTED_VALUE"""),3.0)</f>
        <v>3</v>
      </c>
      <c r="R38" s="59">
        <f>IFERROR(__xludf.DUMMYFUNCTION("""COMPUTED_VALUE"""),0.0)</f>
        <v>0</v>
      </c>
      <c r="S38" s="62">
        <f>IFERROR(__xludf.DUMMYFUNCTION("""COMPUTED_VALUE"""),38.7)</f>
        <v>38.7</v>
      </c>
      <c r="T38" s="62">
        <f>IFERROR(__xludf.DUMMYFUNCTION("""COMPUTED_VALUE"""),12.6)</f>
        <v>12.6</v>
      </c>
      <c r="U38" s="64">
        <f>IFERROR(__xludf.DUMMYFUNCTION("""COMPUTED_VALUE"""),4.0)</f>
        <v>4</v>
      </c>
      <c r="V38" s="62">
        <f>IFERROR(__xludf.DUMMYFUNCTION("""COMPUTED_VALUE"""),3.0)</f>
        <v>3</v>
      </c>
      <c r="W38" s="63">
        <f>IFERROR(__xludf.DUMMYFUNCTION("""COMPUTED_VALUE"""),117.58)</f>
        <v>117.58</v>
      </c>
      <c r="X38" s="59">
        <f>IFERROR(__xludf.DUMMYFUNCTION("""COMPUTED_VALUE"""),99.0)</f>
        <v>99</v>
      </c>
      <c r="Y38" s="59">
        <f>IFERROR(__xludf.DUMMYFUNCTION("""COMPUTED_VALUE"""),3.0)</f>
        <v>3</v>
      </c>
      <c r="Z38" s="59">
        <f>IFERROR(__xludf.DUMMYFUNCTION("""COMPUTED_VALUE"""),0.0)</f>
        <v>0</v>
      </c>
      <c r="AA38" s="59">
        <f>IFERROR(__xludf.DUMMYFUNCTION("""COMPUTED_VALUE"""),0.0)</f>
        <v>0</v>
      </c>
      <c r="AB38" s="64">
        <f>IFERROR(__xludf.DUMMYFUNCTION("""COMPUTED_VALUE"""),4.0)</f>
        <v>4</v>
      </c>
      <c r="AC38" s="62">
        <f>IFERROR(__xludf.DUMMYFUNCTION("""COMPUTED_VALUE"""),3.0)</f>
        <v>3</v>
      </c>
      <c r="AD38" s="62">
        <f>IFERROR(__xludf.DUMMYFUNCTION("""COMPUTED_VALUE"""),38.7)</f>
        <v>38.7</v>
      </c>
      <c r="AE38" s="62">
        <f>IFERROR(__xludf.DUMMYFUNCTION("""COMPUTED_VALUE"""),12.6)</f>
        <v>12.6</v>
      </c>
      <c r="AF38" s="55"/>
      <c r="AG38" s="55"/>
      <c r="AH38" s="55"/>
      <c r="AI38" s="55"/>
      <c r="AJ38" s="55"/>
      <c r="AK38" s="55"/>
      <c r="AL38" s="55"/>
      <c r="AM38" s="55" t="str">
        <f>IFERROR(__xludf.DUMMYFUNCTION("""COMPUTED_VALUE"""),"#+mNUoFA2fsytJrPUvbR0DD4M49fIoawvZHzskTuiX7SFMX4k0TaUAUuVFZk70WI=")</f>
        <v>#+mNUoFA2fsytJrPUvbR0DD4M49fIoawvZHzskTuiX7SFMX4k0TaUAUuVFZk70WI=</v>
      </c>
      <c r="AN38" s="55"/>
      <c r="AO38" s="58" t="str">
        <f>IFERROR(__xludf.DUMMYFUNCTION("""COMPUTED_VALUE"""),"https://us.brand.joinbrands.com/job/690450")</f>
        <v>https://us.brand.joinbrands.com/job/690450</v>
      </c>
      <c r="AP38" s="55" t="str">
        <f>IFERROR(__xludf.DUMMYFUNCTION("""COMPUTED_VALUE"""),"Not english")</f>
        <v>Not english</v>
      </c>
      <c r="AQ38" s="55" t="str">
        <f>IFERROR(__xludf.DUMMYFUNCTION("""COMPUTED_VALUE"""),"If you already drink coffee and take supplements, why not have it all in one delicious cup? â˜•âœ¨ A simple way to upgrade your morning routine with coffee plus wellness ingredients you already know...")</f>
        <v>If you already drink coffee and take supplements, why not have it all in one delicious cup? â˜•âœ¨ A simple way to upgrade your morning routine with coffee plus wellness ingredients you already know...</v>
      </c>
      <c r="AR38" s="55" t="str">
        <f>IFERROR(__xludf.DUMMYFUNCTION("""COMPUTED_VALUE"""),"have you heard that mushroom coffee tastes like earthy coffee?")</f>
        <v>have you heard that mushroom coffee tastes like earthy coffee?</v>
      </c>
      <c r="AS38" s="55" t="str">
        <f>IFERROR(__xludf.DUMMYFUNCTION("""COMPUTED_VALUE"""),"Curiosity / Question")</f>
        <v>Curiosity / Question</v>
      </c>
      <c r="AT38" s="55" t="str">
        <f>IFERROR(__xludf.DUMMYFUNCTION("""COMPUTED_VALUE"""),"• have you heard that mushroom coffee tastes like earthy coffee? it is true because I have learned them but I decided to give baron machuaganda coffee a chance. which is made from premium instant coffee one hundred percent Arabica and, in addition, one hu"&amp;"ndred percent enriched with the five most popular ingredients in routines ayoaganda wellness to manage daily stress turmeric, which reduces inflammatory processes l of anina to promote calm and focus the lion and chaga mane fungus used to improve conditio"&amp;"n and concentration and just think about it if you already drink coffee every day and also supplements why not have it all in one cup and also know how to paint if you are curious to try you can find it in stores targets across the united states")</f>
        <v>• have you heard that mushroom coffee tastes like earthy coffee? it is true because I have learned them but I decided to give baron machuaganda coffee a chance. which is made from premium instant coffee one hundred percent Arabica and, in addition, one hundred percent enriched with the five most popular ingredients in routines ayoaganda wellness to manage daily stress turmeric, which reduces inflammatory processes l of anina to promote calm and focus the lion and chaga mane fungus used to improve condition and concentration and just think about it if you already drink coffee every day and also supplements why not have it all in one cup and also know how to paint if you are curious to try you can find it in stores targets across the united states</v>
      </c>
      <c r="AU38" s="55" t="str">
        <f>IFERROR(__xludf.DUMMYFUNCTION("""COMPUTED_VALUE"""),"which is made from premium instant coffee one hundred percent Arabica and, in addition, one hundred percent enriched with the five most popular ingredients in routines ayoaganda wellness to manage dai...")</f>
        <v>which is made from premium instant coffee one hundred percent Arabica and, in addition, one hundred percent enriched with the five most popular ingredients in routines ayoaganda wellness to manage dai...</v>
      </c>
      <c r="AV38" s="55" t="str">
        <f>IFERROR(__xludf.DUMMYFUNCTION("""COMPUTED_VALUE"""),"have you heard that mushroom coffee tastes like earthy coffee? it is true because I have learned them but I decided to give baron machuaganda coffee a chance. which is made from premium instant coffee one hundred percent Arabica and, in addition, one hund"&amp;"red percent enriched with the five most popular ingredients in routines ayoaganda wellness to manage daily stress turmeric, which reduces inflammatory processes l of anina to promote calm and focus the lion and chaga mane fungus used to improve condition "&amp;"and concentration and just think about it if you already drink coffee every day and also supplements why not have it all in one cup and also know how to paint if you are curious to try you can find it in stores targets across the united states")</f>
        <v>have you heard that mushroom coffee tastes like earthy coffee? it is true because I have learned them but I decided to give baron machuaganda coffee a chance. which is made from premium instant coffee one hundred percent Arabica and, in addition, one hundred percent enriched with the five most popular ingredients in routines ayoaganda wellness to manage daily stress turmeric, which reduces inflammatory processes l of anina to promote calm and focus the lion and chaga mane fungus used to improve condition and concentration and just think about it if you already drink coffee every day and also supplements why not have it all in one cup and also know how to paint if you are curious to try you can find it in stores targets across the united states</v>
      </c>
      <c r="AW38" s="35"/>
      <c r="AX38" s="35"/>
      <c r="AY38" s="35"/>
      <c r="AZ38" s="35"/>
      <c r="BA38" s="35"/>
      <c r="BB38" s="35"/>
      <c r="BC38" s="35"/>
      <c r="BD38" s="35"/>
      <c r="BE38" s="35"/>
      <c r="BF38" s="35"/>
      <c r="BG38" s="35"/>
    </row>
    <row r="39" ht="15.75" customHeight="1">
      <c r="A39" s="55" t="str">
        <f>IFERROR(__xludf.DUMMYFUNCTION("""COMPUTED_VALUE"""),"Tiktok")</f>
        <v>Tiktok</v>
      </c>
      <c r="B39" s="56">
        <f>IFERROR(__xludf.DUMMYFUNCTION("""COMPUTED_VALUE"""),46193.0)</f>
        <v>46193</v>
      </c>
      <c r="C39" s="55" t="str">
        <f>IFERROR(__xludf.DUMMYFUNCTION("""COMPUTED_VALUE"""),"June")</f>
        <v>June</v>
      </c>
      <c r="D39" s="58" t="str">
        <f>IFERROR(__xludf.DUMMYFUNCTION("""COMPUTED_VALUE"""),"https://www.tiktok.com/@chandaraj51/video/7653277829286694175")</f>
        <v>https://www.tiktok.com/@chandaraj51/video/7653277829286694175</v>
      </c>
      <c r="E39" s="55" t="str">
        <f>IFERROR(__xludf.DUMMYFUNCTION("""COMPUTED_VALUE"""),"@chandaraj51")</f>
        <v>@chandaraj51</v>
      </c>
      <c r="F39" s="55" t="str">
        <f>IFERROR(__xludf.DUMMYFUNCTION("""COMPUTED_VALUE"""),"Chanda Raj")</f>
        <v>Chanda Raj</v>
      </c>
      <c r="G39" s="55" t="str">
        <f>IFERROR(__xludf.DUMMYFUNCTION("""COMPUTED_VALUE"""),"Target Shelf Showdown")</f>
        <v>Target Shelf Showdown</v>
      </c>
      <c r="H39" s="55">
        <f>IFERROR(__xludf.DUMMYFUNCTION("""COMPUTED_VALUE"""),65.0)</f>
        <v>65</v>
      </c>
      <c r="I39" s="55">
        <f>IFERROR(__xludf.DUMMYFUNCTION("""COMPUTED_VALUE"""),23.2)</f>
        <v>23.2</v>
      </c>
      <c r="J39" s="55" t="str">
        <f>IFERROR(__xludf.DUMMYFUNCTION("""COMPUTED_VALUE"""),"Consider")</f>
        <v>Consider</v>
      </c>
      <c r="K39" s="55" t="str">
        <f>IFERROR(__xludf.DUMMYFUNCTION("""COMPUTED_VALUE"""),"No")</f>
        <v>No</v>
      </c>
      <c r="L39" s="55" t="str">
        <f>IFERROR(__xludf.DUMMYFUNCTION("""COMPUTED_VALUE"""),"Score 23.9 nearing 30 threshold")</f>
        <v>Score 23.9 nearing 30 threshold</v>
      </c>
      <c r="M39" s="59" t="str">
        <f>IFERROR(__xludf.DUMMYFUNCTION("""COMPUTED_VALUE"""),"No Ad Data")</f>
        <v>No Ad Data</v>
      </c>
      <c r="N39" s="55"/>
      <c r="O39" s="55"/>
      <c r="P39" s="59">
        <f>IFERROR(__xludf.DUMMYFUNCTION("""COMPUTED_VALUE"""),99.0)</f>
        <v>99</v>
      </c>
      <c r="Q39" s="59">
        <f>IFERROR(__xludf.DUMMYFUNCTION("""COMPUTED_VALUE"""),1.0)</f>
        <v>1</v>
      </c>
      <c r="R39" s="59">
        <f>IFERROR(__xludf.DUMMYFUNCTION("""COMPUTED_VALUE"""),0.0)</f>
        <v>0</v>
      </c>
      <c r="S39" s="62">
        <f>IFERROR(__xludf.DUMMYFUNCTION("""COMPUTED_VALUE"""),22.7)</f>
        <v>22.7</v>
      </c>
      <c r="T39" s="62">
        <f>IFERROR(__xludf.DUMMYFUNCTION("""COMPUTED_VALUE"""),8.9)</f>
        <v>8.9</v>
      </c>
      <c r="U39" s="64">
        <f>IFERROR(__xludf.DUMMYFUNCTION("""COMPUTED_VALUE"""),2.0)</f>
        <v>2</v>
      </c>
      <c r="V39" s="62">
        <f>IFERROR(__xludf.DUMMYFUNCTION("""COMPUTED_VALUE"""),1.0)</f>
        <v>1</v>
      </c>
      <c r="W39" s="63">
        <f>IFERROR(__xludf.DUMMYFUNCTION("""COMPUTED_VALUE"""),67.58)</f>
        <v>67.58</v>
      </c>
      <c r="X39" s="59">
        <f>IFERROR(__xludf.DUMMYFUNCTION("""COMPUTED_VALUE"""),99.0)</f>
        <v>99</v>
      </c>
      <c r="Y39" s="59">
        <f>IFERROR(__xludf.DUMMYFUNCTION("""COMPUTED_VALUE"""),1.0)</f>
        <v>1</v>
      </c>
      <c r="Z39" s="59">
        <f>IFERROR(__xludf.DUMMYFUNCTION("""COMPUTED_VALUE"""),0.0)</f>
        <v>0</v>
      </c>
      <c r="AA39" s="59">
        <f>IFERROR(__xludf.DUMMYFUNCTION("""COMPUTED_VALUE"""),0.0)</f>
        <v>0</v>
      </c>
      <c r="AB39" s="64">
        <f>IFERROR(__xludf.DUMMYFUNCTION("""COMPUTED_VALUE"""),2.0)</f>
        <v>2</v>
      </c>
      <c r="AC39" s="62">
        <f>IFERROR(__xludf.DUMMYFUNCTION("""COMPUTED_VALUE"""),1.0)</f>
        <v>1</v>
      </c>
      <c r="AD39" s="62">
        <f>IFERROR(__xludf.DUMMYFUNCTION("""COMPUTED_VALUE"""),22.7)</f>
        <v>22.7</v>
      </c>
      <c r="AE39" s="62">
        <f>IFERROR(__xludf.DUMMYFUNCTION("""COMPUTED_VALUE"""),8.9)</f>
        <v>8.9</v>
      </c>
      <c r="AF39" s="55"/>
      <c r="AG39" s="55"/>
      <c r="AH39" s="55"/>
      <c r="AI39" s="55"/>
      <c r="AJ39" s="55"/>
      <c r="AK39" s="55"/>
      <c r="AL39" s="55"/>
      <c r="AM39" s="55" t="str">
        <f>IFERROR(__xludf.DUMMYFUNCTION("""COMPUTED_VALUE"""),"#4VaI3bW9hUIwj9qXIC2HS4UauUM4E7NTxTrMhR7h5S17SnHht+TtzXZrLaX0cZA=")</f>
        <v>#4VaI3bW9hUIwj9qXIC2HS4UauUM4E7NTxTrMhR7h5S17SnHht+TtzXZrLaX0cZA=</v>
      </c>
      <c r="AN39" s="55"/>
      <c r="AO39" s="58" t="str">
        <f>IFERROR(__xludf.DUMMYFUNCTION("""COMPUTED_VALUE"""),"https://us.brand.joinbrands.com/job/688861")</f>
        <v>https://us.brand.joinbrands.com/job/688861</v>
      </c>
      <c r="AP39" s="55" t="str">
        <f>IFERROR(__xludf.DUMMYFUNCTION("""COMPUTED_VALUE"""),"Poorly Executed")</f>
        <v>Poorly Executed</v>
      </c>
      <c r="AQ39" s="55" t="str">
        <f>IFERROR(__xludf.DUMMYFUNCTION("""COMPUTED_VALUE"""),"I spotted VAHDAM Ashwagandha Coffee at Target and had to give it a try. @vahdamusa @target")</f>
        <v>I spotted VAHDAM Ashwagandha Coffee at Target and had to give it a try. @vahdamusa @target</v>
      </c>
      <c r="AR39" s="55" t="str">
        <f>IFERROR(__xludf.DUMMYFUNCTION("""COMPUTED_VALUE"""),"Seriously, why is no one talking about the Vadham Ashwagandha coffee at Target?")</f>
        <v>Seriously, why is no one talking about the Vadham Ashwagandha coffee at Target?</v>
      </c>
      <c r="AS39" s="55" t="str">
        <f>IFERROR(__xludf.DUMMYFUNCTION("""COMPUTED_VALUE"""),"Curiosity / Question")</f>
        <v>Curiosity / Question</v>
      </c>
      <c r="AT39" s="55" t="str">
        <f>IFERROR(__xludf.DUMMYFUNCTION("""COMPUTED_VALUE"""),"• 300 milligrams of ashwagandha coffee will help you reduce the stress and cortisol level.
• KSM66 is one of the most researched forms of ashwagandha.
• Studies have shown that KSM66 may reduce stress.
• It's the number one best-selling coffee on TikTok s"&amp;"hop UK.")</f>
        <v>• 300 milligrams of ashwagandha coffee will help you reduce the stress and cortisol level.
• KSM66 is one of the most researched forms of ashwagandha.
• Studies have shown that KSM66 may reduce stress.
• It's the number one best-selling coffee on TikTok shop UK.</v>
      </c>
      <c r="AU39" s="55" t="str">
        <f>IFERROR(__xludf.DUMMYFUNCTION("""COMPUTED_VALUE"""),"Check out the Ashwagandha coffee at Target.com or at any Target location near you.")</f>
        <v>Check out the Ashwagandha coffee at Target.com or at any Target location near you.</v>
      </c>
      <c r="AV39" s="55" t="str">
        <f>IFERROR(__xludf.DUMMYFUNCTION("""COMPUTED_VALUE"""),"Seriously, why is no one talking about the Vadham Ashwagandha coffee at Target? KSM66 is one of the most researched forms of ashwagandha. Studies have shown that KSM66 may reduce stress. 300 milligrams of ashwagandha coffee will help you reduce the stress"&amp;" and cortisol level. And here is the part that surprised me the most. It's the number one best-selling coffee on TikTok shop UK. So if you're looking for a coffee that does more than just wake you up, this might be worth checking out. Check out the Ashwag"&amp;"andha coffee at Target.com or at any Target location near you.")</f>
        <v>Seriously, why is no one talking about the Vadham Ashwagandha coffee at Target? KSM66 is one of the most researched forms of ashwagandha. Studies have shown that KSM66 may reduce stress. 300 milligrams of ashwagandha coffee will help you reduce the stress and cortisol level. And here is the part that surprised me the most. It's the number one best-selling coffee on TikTok shop UK. So if you're looking for a coffee that does more than just wake you up, this might be worth checking out. Check out the Ashwagandha coffee at Target.com or at any Target location near you.</v>
      </c>
      <c r="AW39" s="35"/>
      <c r="AX39" s="35"/>
      <c r="AY39" s="35"/>
      <c r="AZ39" s="35"/>
      <c r="BA39" s="35"/>
      <c r="BB39" s="35"/>
      <c r="BC39" s="35"/>
      <c r="BD39" s="35"/>
      <c r="BE39" s="35"/>
      <c r="BF39" s="35"/>
      <c r="BG39" s="35"/>
    </row>
    <row r="40" ht="15.75" customHeight="1">
      <c r="A40" s="55" t="str">
        <f>IFERROR(__xludf.DUMMYFUNCTION("""COMPUTED_VALUE"""),"Tiktok")</f>
        <v>Tiktok</v>
      </c>
      <c r="B40" s="56">
        <f>IFERROR(__xludf.DUMMYFUNCTION("""COMPUTED_VALUE"""),46196.0)</f>
        <v>46196</v>
      </c>
      <c r="C40" s="55" t="str">
        <f>IFERROR(__xludf.DUMMYFUNCTION("""COMPUTED_VALUE"""),"June")</f>
        <v>June</v>
      </c>
      <c r="D40" s="58" t="str">
        <f>IFERROR(__xludf.DUMMYFUNCTION("""COMPUTED_VALUE"""),"https://www.tiktok.com/@strawberry19838/video/7654564368121679134")</f>
        <v>https://www.tiktok.com/@strawberry19838/video/7654564368121679134</v>
      </c>
      <c r="E40" s="55" t="str">
        <f>IFERROR(__xludf.DUMMYFUNCTION("""COMPUTED_VALUE"""),"@strawberry19838")</f>
        <v>@strawberry19838</v>
      </c>
      <c r="F40" s="55" t="str">
        <f>IFERROR(__xludf.DUMMYFUNCTION("""COMPUTED_VALUE"""),"Christina McMichael")</f>
        <v>Christina McMichael</v>
      </c>
      <c r="G40" s="55" t="str">
        <f>IFERROR(__xludf.DUMMYFUNCTION("""COMPUTED_VALUE"""),"Target In-Store Discovery")</f>
        <v>Target In-Store Discovery</v>
      </c>
      <c r="H40" s="55">
        <f>IFERROR(__xludf.DUMMYFUNCTION("""COMPUTED_VALUE"""),46.0)</f>
        <v>46</v>
      </c>
      <c r="I40" s="55">
        <f>IFERROR(__xludf.DUMMYFUNCTION("""COMPUTED_VALUE"""),27.4)</f>
        <v>27.4</v>
      </c>
      <c r="J40" s="55" t="str">
        <f>IFERROR(__xludf.DUMMYFUNCTION("""COMPUTED_VALUE"""),"Consider")</f>
        <v>Consider</v>
      </c>
      <c r="K40" s="55" t="str">
        <f>IFERROR(__xludf.DUMMYFUNCTION("""COMPUTED_VALUE"""),"No")</f>
        <v>No</v>
      </c>
      <c r="L40" s="55" t="str">
        <f>IFERROR(__xludf.DUMMYFUNCTION("""COMPUTED_VALUE"""),"Score 26.8 nearing 30 threshold")</f>
        <v>Score 26.8 nearing 30 threshold</v>
      </c>
      <c r="M40" s="59" t="str">
        <f>IFERROR(__xludf.DUMMYFUNCTION("""COMPUTED_VALUE"""),"No Ad Data")</f>
        <v>No Ad Data</v>
      </c>
      <c r="N40" s="55"/>
      <c r="O40" s="55"/>
      <c r="P40" s="59">
        <f>IFERROR(__xludf.DUMMYFUNCTION("""COMPUTED_VALUE"""),96.0)</f>
        <v>96</v>
      </c>
      <c r="Q40" s="59">
        <f>IFERROR(__xludf.DUMMYFUNCTION("""COMPUTED_VALUE"""),4.0)</f>
        <v>4</v>
      </c>
      <c r="R40" s="59">
        <f>IFERROR(__xludf.DUMMYFUNCTION("""COMPUTED_VALUE"""),0.0)</f>
        <v>0</v>
      </c>
      <c r="S40" s="62">
        <f>IFERROR(__xludf.DUMMYFUNCTION("""COMPUTED_VALUE"""),25.2)</f>
        <v>25.2</v>
      </c>
      <c r="T40" s="62">
        <f>IFERROR(__xludf.DUMMYFUNCTION("""COMPUTED_VALUE"""),11.5)</f>
        <v>11.5</v>
      </c>
      <c r="U40" s="64">
        <f>IFERROR(__xludf.DUMMYFUNCTION("""COMPUTED_VALUE"""),3.0)</f>
        <v>3</v>
      </c>
      <c r="V40" s="62">
        <f>IFERROR(__xludf.DUMMYFUNCTION("""COMPUTED_VALUE"""),4.1)</f>
        <v>4.1</v>
      </c>
      <c r="W40" s="63">
        <f>IFERROR(__xludf.DUMMYFUNCTION("""COMPUTED_VALUE"""),52.58)</f>
        <v>52.58</v>
      </c>
      <c r="X40" s="59">
        <f>IFERROR(__xludf.DUMMYFUNCTION("""COMPUTED_VALUE"""),96.0)</f>
        <v>96</v>
      </c>
      <c r="Y40" s="59">
        <f>IFERROR(__xludf.DUMMYFUNCTION("""COMPUTED_VALUE"""),4.0)</f>
        <v>4</v>
      </c>
      <c r="Z40" s="59">
        <f>IFERROR(__xludf.DUMMYFUNCTION("""COMPUTED_VALUE"""),0.0)</f>
        <v>0</v>
      </c>
      <c r="AA40" s="59">
        <f>IFERROR(__xludf.DUMMYFUNCTION("""COMPUTED_VALUE"""),0.0)</f>
        <v>0</v>
      </c>
      <c r="AB40" s="64">
        <f>IFERROR(__xludf.DUMMYFUNCTION("""COMPUTED_VALUE"""),3.0)</f>
        <v>3</v>
      </c>
      <c r="AC40" s="62">
        <f>IFERROR(__xludf.DUMMYFUNCTION("""COMPUTED_VALUE"""),4.1)</f>
        <v>4.1</v>
      </c>
      <c r="AD40" s="62">
        <f>IFERROR(__xludf.DUMMYFUNCTION("""COMPUTED_VALUE"""),25.2)</f>
        <v>25.2</v>
      </c>
      <c r="AE40" s="62">
        <f>IFERROR(__xludf.DUMMYFUNCTION("""COMPUTED_VALUE"""),11.5)</f>
        <v>11.5</v>
      </c>
      <c r="AF40" s="55"/>
      <c r="AG40" s="55"/>
      <c r="AH40" s="55"/>
      <c r="AI40" s="55"/>
      <c r="AJ40" s="55"/>
      <c r="AK40" s="55"/>
      <c r="AL40" s="55"/>
      <c r="AM40" s="55" t="str">
        <f>IFERROR(__xludf.DUMMYFUNCTION("""COMPUTED_VALUE"""),"#bGMTErQvLw7izc4PzLLHOElHDInl/mZBm4iSAJsU4Dgm3R9iv7uHSHR4/2gbMhU=")</f>
        <v>#bGMTErQvLw7izc4PzLLHOElHDInl/mZBm4iSAJsU4Dgm3R9iv7uHSHR4/2gbMhU=</v>
      </c>
      <c r="AN40" s="55"/>
      <c r="AO40" s="58" t="str">
        <f>IFERROR(__xludf.DUMMYFUNCTION("""COMPUTED_VALUE"""),"https://us.brand.joinbrands.com/job/691335")</f>
        <v>https://us.brand.joinbrands.com/job/691335</v>
      </c>
      <c r="AP40" s="55" t="str">
        <f>IFERROR(__xludf.DUMMYFUNCTION("""COMPUTED_VALUE"""),"Not great")</f>
        <v>Not great</v>
      </c>
      <c r="AQ40" s="55" t="str">
        <f>IFERROR(__xludf.DUMMYFUNCTION("""COMPUTED_VALUE"""),"@vahdamusa and @target")</f>
        <v>@vahdamusa and @target</v>
      </c>
      <c r="AR40" s="55" t="str">
        <f>IFERROR(__xludf.DUMMYFUNCTION("""COMPUTED_VALUE"""),"Work can be stressful, so I've been reaching for my iced ashwagandha coffee to help me stay calm and focused throughout the day.")</f>
        <v>Work can be stressful, so I've been reaching for my iced ashwagandha coffee to help me stay calm and focused throughout the day.</v>
      </c>
      <c r="AS40" s="55" t="str">
        <f>IFERROR(__xludf.DUMMYFUNCTION("""COMPUTED_VALUE"""),"Problem / Pain Point")</f>
        <v>Problem / Pain Point</v>
      </c>
      <c r="AT40" s="55" t="str">
        <f>IFERROR(__xludf.DUMMYFUNCTION("""COMPUTED_VALUE"""),"• What I love the most is that it also contains L theanine, turmeric, and lion's mane, ingredients that perfectly fit into my wellness routine.
• It's more than just a coffee to me.
• It's my little moment of calm during a hectic work day.
• It's my favor"&amp;"ite stressless work drink.")</f>
        <v>• What I love the most is that it also contains L theanine, turmeric, and lion's mane, ingredients that perfectly fit into my wellness routine.
• It's more than just a coffee to me.
• It's my little moment of calm during a hectic work day.
• It's my favorite stressless work drink.</v>
      </c>
      <c r="AU40" s="55" t="str">
        <f>IFERROR(__xludf.DUMMYFUNCTION("""COMPUTED_VALUE"""),"Stressful day at work, this is what's in my cup.")</f>
        <v>Stressful day at work, this is what's in my cup.</v>
      </c>
      <c r="AV40" s="55" t="str">
        <f>IFERROR(__xludf.DUMMYFUNCTION("""COMPUTED_VALUE"""),"Work can be stressful, so I've been reaching for my iced ashwagandha coffee to help me stay calm and focused throughout the day. It's my favorite stressless work drink. Pour it over ice and top it with creamy cold foam and add a dash of espresso powder fo"&amp;"r the perfect little boost. What I love the most is that it also contains L theanine, turmeric, and lion's mane, ingredients that perfectly fit into my wellness routine. It's more than just a coffee to me. It's my little moment of calm during a hectic wor"&amp;"k day. Stressful day at work, this is what's in my cup.")</f>
        <v>Work can be stressful, so I've been reaching for my iced ashwagandha coffee to help me stay calm and focused throughout the day. It's my favorite stressless work drink. Pour it over ice and top it with creamy cold foam and add a dash of espresso powder for the perfect little boost. What I love the most is that it also contains L theanine, turmeric, and lion's mane, ingredients that perfectly fit into my wellness routine. It's more than just a coffee to me. It's my little moment of calm during a hectic work day. Stressful day at work, this is what's in my cup.</v>
      </c>
      <c r="AW40" s="35"/>
      <c r="AX40" s="35"/>
      <c r="AY40" s="35"/>
      <c r="AZ40" s="35"/>
      <c r="BA40" s="35"/>
      <c r="BB40" s="35"/>
      <c r="BC40" s="35"/>
      <c r="BD40" s="35"/>
      <c r="BE40" s="35"/>
      <c r="BF40" s="35"/>
      <c r="BG40" s="35"/>
    </row>
    <row r="41" ht="15.75" customHeight="1">
      <c r="A41" s="55" t="str">
        <f>IFERROR(__xludf.DUMMYFUNCTION("""COMPUTED_VALUE"""),"Tiktok")</f>
        <v>Tiktok</v>
      </c>
      <c r="B41" s="56">
        <f>IFERROR(__xludf.DUMMYFUNCTION("""COMPUTED_VALUE"""),46198.0)</f>
        <v>46198</v>
      </c>
      <c r="C41" s="55" t="str">
        <f>IFERROR(__xludf.DUMMYFUNCTION("""COMPUTED_VALUE"""),"June")</f>
        <v>June</v>
      </c>
      <c r="D41" s="58" t="str">
        <f>IFERROR(__xludf.DUMMYFUNCTION("""COMPUTED_VALUE"""),"https://www.tiktok.com/@preetiikumar/video/7655317628528954654")</f>
        <v>https://www.tiktok.com/@preetiikumar/video/7655317628528954654</v>
      </c>
      <c r="E41" s="55" t="str">
        <f>IFERROR(__xludf.DUMMYFUNCTION("""COMPUTED_VALUE"""),"@preetiikumar")</f>
        <v>@preetiikumar</v>
      </c>
      <c r="F41" s="55" t="str">
        <f>IFERROR(__xludf.DUMMYFUNCTION("""COMPUTED_VALUE"""),"Preeti Kumar")</f>
        <v>Preeti Kumar</v>
      </c>
      <c r="G41" s="55" t="str">
        <f>IFERROR(__xludf.DUMMYFUNCTION("""COMPUTED_VALUE"""),"Cortisol")</f>
        <v>Cortisol</v>
      </c>
      <c r="H41" s="55">
        <f>IFERROR(__xludf.DUMMYFUNCTION("""COMPUTED_VALUE"""),21.0)</f>
        <v>21</v>
      </c>
      <c r="I41" s="55">
        <f>IFERROR(__xludf.DUMMYFUNCTION("""COMPUTED_VALUE"""),25.3)</f>
        <v>25.3</v>
      </c>
      <c r="J41" s="55" t="str">
        <f>IFERROR(__xludf.DUMMYFUNCTION("""COMPUTED_VALUE"""),"Consider")</f>
        <v>Consider</v>
      </c>
      <c r="K41" s="55" t="str">
        <f>IFERROR(__xludf.DUMMYFUNCTION("""COMPUTED_VALUE"""),"No")</f>
        <v>No</v>
      </c>
      <c r="L41" s="55" t="str">
        <f>IFERROR(__xludf.DUMMYFUNCTION("""COMPUTED_VALUE"""),"Score 24.7 nearing 30 threshold")</f>
        <v>Score 24.7 nearing 30 threshold</v>
      </c>
      <c r="M41" s="59" t="str">
        <f>IFERROR(__xludf.DUMMYFUNCTION("""COMPUTED_VALUE"""),"No Ad Data")</f>
        <v>No Ad Data</v>
      </c>
      <c r="N41" s="55"/>
      <c r="O41" s="55"/>
      <c r="P41" s="59">
        <f>IFERROR(__xludf.DUMMYFUNCTION("""COMPUTED_VALUE"""),92.0)</f>
        <v>92</v>
      </c>
      <c r="Q41" s="59">
        <f>IFERROR(__xludf.DUMMYFUNCTION("""COMPUTED_VALUE"""),4.0)</f>
        <v>4</v>
      </c>
      <c r="R41" s="59">
        <f>IFERROR(__xludf.DUMMYFUNCTION("""COMPUTED_VALUE"""),0.0)</f>
        <v>0</v>
      </c>
      <c r="S41" s="62">
        <f>IFERROR(__xludf.DUMMYFUNCTION("""COMPUTED_VALUE"""),23.7)</f>
        <v>23.7</v>
      </c>
      <c r="T41" s="62">
        <f>IFERROR(__xludf.DUMMYFUNCTION("""COMPUTED_VALUE"""),8.2)</f>
        <v>8.2</v>
      </c>
      <c r="U41" s="64">
        <f>IFERROR(__xludf.DUMMYFUNCTION("""COMPUTED_VALUE"""),2.0)</f>
        <v>2</v>
      </c>
      <c r="V41" s="62">
        <f>IFERROR(__xludf.DUMMYFUNCTION("""COMPUTED_VALUE"""),4.3)</f>
        <v>4.3</v>
      </c>
      <c r="W41" s="63">
        <f>IFERROR(__xludf.DUMMYFUNCTION("""COMPUTED_VALUE"""),117.58)</f>
        <v>117.58</v>
      </c>
      <c r="X41" s="59">
        <f>IFERROR(__xludf.DUMMYFUNCTION("""COMPUTED_VALUE"""),92.0)</f>
        <v>92</v>
      </c>
      <c r="Y41" s="59">
        <f>IFERROR(__xludf.DUMMYFUNCTION("""COMPUTED_VALUE"""),4.0)</f>
        <v>4</v>
      </c>
      <c r="Z41" s="59">
        <f>IFERROR(__xludf.DUMMYFUNCTION("""COMPUTED_VALUE"""),0.0)</f>
        <v>0</v>
      </c>
      <c r="AA41" s="59">
        <f>IFERROR(__xludf.DUMMYFUNCTION("""COMPUTED_VALUE"""),0.0)</f>
        <v>0</v>
      </c>
      <c r="AB41" s="64">
        <f>IFERROR(__xludf.DUMMYFUNCTION("""COMPUTED_VALUE"""),2.0)</f>
        <v>2</v>
      </c>
      <c r="AC41" s="62">
        <f>IFERROR(__xludf.DUMMYFUNCTION("""COMPUTED_VALUE"""),4.3)</f>
        <v>4.3</v>
      </c>
      <c r="AD41" s="62">
        <f>IFERROR(__xludf.DUMMYFUNCTION("""COMPUTED_VALUE"""),23.7)</f>
        <v>23.7</v>
      </c>
      <c r="AE41" s="62">
        <f>IFERROR(__xludf.DUMMYFUNCTION("""COMPUTED_VALUE"""),8.2)</f>
        <v>8.2</v>
      </c>
      <c r="AF41" s="55"/>
      <c r="AG41" s="55"/>
      <c r="AH41" s="55"/>
      <c r="AI41" s="55"/>
      <c r="AJ41" s="55"/>
      <c r="AK41" s="55"/>
      <c r="AL41" s="55"/>
      <c r="AM41" s="55" t="str">
        <f>IFERROR(__xludf.DUMMYFUNCTION("""COMPUTED_VALUE"""),"#CoeiGsKuHNGlOQTH7+ecvUvPx/9iA6eLrIdrj64zlsYJcuGsfId/goCqHmjiVBU=")</f>
        <v>#CoeiGsKuHNGlOQTH7+ecvUvPx/9iA6eLrIdrj64zlsYJcuGsfId/goCqHmjiVBU=</v>
      </c>
      <c r="AN41" s="55"/>
      <c r="AO41" s="58" t="str">
        <f>IFERROR(__xludf.DUMMYFUNCTION("""COMPUTED_VALUE"""),"https://us.brand.joinbrands.com/job/690148")</f>
        <v>https://us.brand.joinbrands.com/job/690148</v>
      </c>
      <c r="AP41" s="55" t="str">
        <f>IFERROR(__xludf.DUMMYFUNCTION("""COMPUTED_VALUE"""),"NA")</f>
        <v>NA</v>
      </c>
      <c r="AQ41" s="55" t="str">
        <f>IFERROR(__xludf.DUMMYFUNCTION("""COMPUTED_VALUE"""),"Taste delicious &amp; no jitters! ðŸ¤â˜•ï¸ @VAHDAM USA is now available in stores and online at @target #targetfinds #coffeealternative #wellnesstips")</f>
        <v>Taste delicious &amp; no jitters! ðŸ¤_x008d_â˜•ï¸_x008f_ @VAHDAM USA is now available in stores and online at @target #targetfinds #coffeealternative #wellnesstips</v>
      </c>
      <c r="AR41" s="55" t="str">
        <f>IFERROR(__xludf.DUMMYFUNCTION("""COMPUTED_VALUE"""),"I thought I had to quit coffee, but then I found Vadam Ashwagandha Coffee.")</f>
        <v>I thought I had to quit coffee, but then I found Vadam Ashwagandha Coffee.</v>
      </c>
      <c r="AS41" s="55" t="str">
        <f>IFERROR(__xludf.DUMMYFUNCTION("""COMPUTED_VALUE"""),"Personal Discovery")</f>
        <v>Personal Discovery</v>
      </c>
      <c r="AT41" s="55" t="str">
        <f>IFERROR(__xludf.DUMMYFUNCTION("""COMPUTED_VALUE"""),"• It's the first to market wellness coffee that features five powerful ingredients in one single cup, including KSM66 Ashwagandha to manage stress.
• It gives me such a calm, focused energy with zero jitters and no afternoon crash.
• And it tastes delicio"&amp;"us.")</f>
        <v>• It's the first to market wellness coffee that features five powerful ingredients in one single cup, including KSM66 Ashwagandha to manage stress.
• It gives me such a calm, focused energy with zero jitters and no afternoon crash.
• And it tastes delicious.</v>
      </c>
      <c r="AU41" s="55" t="str">
        <f>IFERROR(__xludf.DUMMYFUNCTION("""COMPUTED_VALUE"""),"It's available right now at target stores across the US and on Target com.")</f>
        <v>It's available right now at target stores across the US and on Target com.</v>
      </c>
      <c r="AV41" s="55" t="str">
        <f>IFERROR(__xludf.DUMMYFUNCTION("""COMPUTED_VALUE"""),"I thought I had to quit coffee, but then I found Vadam Ashwagandha Coffee. It's the first to market wellness coffee that features five powerful ingredients in one single cup, including KSM66 Ashwagandha to manage stress. It gives me such a calm, focused e"&amp;"nergy with zero jitters and no afternoon crash. And it tastes delicious. It's available right now at target stores across the US and on Target com.")</f>
        <v>I thought I had to quit coffee, but then I found Vadam Ashwagandha Coffee. It's the first to market wellness coffee that features five powerful ingredients in one single cup, including KSM66 Ashwagandha to manage stress. It gives me such a calm, focused energy with zero jitters and no afternoon crash. And it tastes delicious. It's available right now at target stores across the US and on Target com.</v>
      </c>
      <c r="AW41" s="35"/>
      <c r="AX41" s="35"/>
      <c r="AY41" s="35"/>
      <c r="AZ41" s="35"/>
      <c r="BA41" s="35"/>
      <c r="BB41" s="35"/>
      <c r="BC41" s="35"/>
      <c r="BD41" s="35"/>
      <c r="BE41" s="35"/>
      <c r="BF41" s="35"/>
      <c r="BG41" s="35"/>
    </row>
    <row r="42" ht="15.75" customHeight="1">
      <c r="A42" s="55" t="str">
        <f>IFERROR(__xludf.DUMMYFUNCTION("""COMPUTED_VALUE"""),"Tiktok")</f>
        <v>Tiktok</v>
      </c>
      <c r="B42" s="56">
        <f>IFERROR(__xludf.DUMMYFUNCTION("""COMPUTED_VALUE"""),46195.0)</f>
        <v>46195</v>
      </c>
      <c r="C42" s="55" t="str">
        <f>IFERROR(__xludf.DUMMYFUNCTION("""COMPUTED_VALUE"""),"June")</f>
        <v>June</v>
      </c>
      <c r="D42" s="58" t="str">
        <f>IFERROR(__xludf.DUMMYFUNCTION("""COMPUTED_VALUE"""),"https://www.tiktok.com/@anderling.creates/video/7654332579859926303")</f>
        <v>https://www.tiktok.com/@anderling.creates/video/7654332579859926303</v>
      </c>
      <c r="E42" s="55" t="str">
        <f>IFERROR(__xludf.DUMMYFUNCTION("""COMPUTED_VALUE"""),"@anderling.creates")</f>
        <v>@anderling.creates</v>
      </c>
      <c r="F42" s="55" t="str">
        <f>IFERROR(__xludf.DUMMYFUNCTION("""COMPUTED_VALUE"""),"NA")</f>
        <v>NA</v>
      </c>
      <c r="G42" s="55" t="str">
        <f>IFERROR(__xludf.DUMMYFUNCTION("""COMPUTED_VALUE"""),"Gummies vs Coffee")</f>
        <v>Gummies vs Coffee</v>
      </c>
      <c r="H42" s="55">
        <f>IFERROR(__xludf.DUMMYFUNCTION("""COMPUTED_VALUE"""),66.0)</f>
        <v>66</v>
      </c>
      <c r="I42" s="55">
        <f>IFERROR(__xludf.DUMMYFUNCTION("""COMPUTED_VALUE"""),24.5)</f>
        <v>24.5</v>
      </c>
      <c r="J42" s="55" t="str">
        <f>IFERROR(__xludf.DUMMYFUNCTION("""COMPUTED_VALUE"""),"Consider")</f>
        <v>Consider</v>
      </c>
      <c r="K42" s="55" t="str">
        <f>IFERROR(__xludf.DUMMYFUNCTION("""COMPUTED_VALUE"""),"No")</f>
        <v>No</v>
      </c>
      <c r="L42" s="55" t="str">
        <f>IFERROR(__xludf.DUMMYFUNCTION("""COMPUTED_VALUE"""),"Score 24.6 nearing 30 threshold")</f>
        <v>Score 24.6 nearing 30 threshold</v>
      </c>
      <c r="M42" s="59" t="str">
        <f>IFERROR(__xludf.DUMMYFUNCTION("""COMPUTED_VALUE"""),"No Ad Data")</f>
        <v>No Ad Data</v>
      </c>
      <c r="N42" s="55"/>
      <c r="O42" s="55"/>
      <c r="P42" s="59">
        <f>IFERROR(__xludf.DUMMYFUNCTION("""COMPUTED_VALUE"""),91.0)</f>
        <v>91</v>
      </c>
      <c r="Q42" s="59">
        <f>IFERROR(__xludf.DUMMYFUNCTION("""COMPUTED_VALUE"""),2.0)</f>
        <v>2</v>
      </c>
      <c r="R42" s="59">
        <f>IFERROR(__xludf.DUMMYFUNCTION("""COMPUTED_VALUE"""),0.0)</f>
        <v>0</v>
      </c>
      <c r="S42" s="62">
        <f>IFERROR(__xludf.DUMMYFUNCTION("""COMPUTED_VALUE"""),18.5)</f>
        <v>18.5</v>
      </c>
      <c r="T42" s="62">
        <f>IFERROR(__xludf.DUMMYFUNCTION("""COMPUTED_VALUE"""),9.2)</f>
        <v>9.2</v>
      </c>
      <c r="U42" s="64">
        <f>IFERROR(__xludf.DUMMYFUNCTION("""COMPUTED_VALUE"""),3.0)</f>
        <v>3</v>
      </c>
      <c r="V42" s="62">
        <f>IFERROR(__xludf.DUMMYFUNCTION("""COMPUTED_VALUE"""),2.1)</f>
        <v>2.1</v>
      </c>
      <c r="W42" s="63">
        <f>IFERROR(__xludf.DUMMYFUNCTION("""COMPUTED_VALUE"""),72.99)</f>
        <v>72.99</v>
      </c>
      <c r="X42" s="59">
        <f>IFERROR(__xludf.DUMMYFUNCTION("""COMPUTED_VALUE"""),91.0)</f>
        <v>91</v>
      </c>
      <c r="Y42" s="59">
        <f>IFERROR(__xludf.DUMMYFUNCTION("""COMPUTED_VALUE"""),2.0)</f>
        <v>2</v>
      </c>
      <c r="Z42" s="59">
        <f>IFERROR(__xludf.DUMMYFUNCTION("""COMPUTED_VALUE"""),0.0)</f>
        <v>0</v>
      </c>
      <c r="AA42" s="59">
        <f>IFERROR(__xludf.DUMMYFUNCTION("""COMPUTED_VALUE"""),0.0)</f>
        <v>0</v>
      </c>
      <c r="AB42" s="64">
        <f>IFERROR(__xludf.DUMMYFUNCTION("""COMPUTED_VALUE"""),3.0)</f>
        <v>3</v>
      </c>
      <c r="AC42" s="62">
        <f>IFERROR(__xludf.DUMMYFUNCTION("""COMPUTED_VALUE"""),2.1)</f>
        <v>2.1</v>
      </c>
      <c r="AD42" s="62">
        <f>IFERROR(__xludf.DUMMYFUNCTION("""COMPUTED_VALUE"""),18.5)</f>
        <v>18.5</v>
      </c>
      <c r="AE42" s="62">
        <f>IFERROR(__xludf.DUMMYFUNCTION("""COMPUTED_VALUE"""),9.2)</f>
        <v>9.2</v>
      </c>
      <c r="AF42" s="55"/>
      <c r="AG42" s="55"/>
      <c r="AH42" s="55"/>
      <c r="AI42" s="55"/>
      <c r="AJ42" s="55"/>
      <c r="AK42" s="55"/>
      <c r="AL42" s="55"/>
      <c r="AM42" s="55" t="str">
        <f>IFERROR(__xludf.DUMMYFUNCTION("""COMPUTED_VALUE"""),"#O4arOMFxKFqONLEdAPkDdsMJcNkOaEqQ6Udh7x5DEMtlrnfwtXRJeKsPrP/iDCw=")</f>
        <v>#O4arOMFxKFqONLEdAPkDdsMJcNkOaEqQ6Udh7x5DEMtlrnfwtXRJeKsPrP/iDCw=</v>
      </c>
      <c r="AN42" s="55"/>
      <c r="AO42" s="55" t="str">
        <f>IFERROR(__xludf.DUMMYFUNCTION("""COMPUTED_VALUE"""),"NA")</f>
        <v>NA</v>
      </c>
      <c r="AP42" s="55" t="str">
        <f>IFERROR(__xludf.DUMMYFUNCTION("""COMPUTED_VALUE"""),"Too slow")</f>
        <v>Too slow</v>
      </c>
      <c r="AQ42" s="55" t="str">
        <f>IFERROR(__xludf.DUMMYFUNCTION("""COMPUTED_VALUE"""),"TikTok Video")</f>
        <v>TikTok Video</v>
      </c>
      <c r="AR42" s="55" t="str">
        <f>IFERROR(__xludf.DUMMYFUNCTION("""COMPUTED_VALUE"""),"I'm too grown to be eating wellness candy every day.")</f>
        <v>I'm too grown to be eating wellness candy every day.</v>
      </c>
      <c r="AS42" s="55" t="str">
        <f>IFERROR(__xludf.DUMMYFUNCTION("""COMPUTED_VALUE"""),"General / Lifestyle")</f>
        <v>General / Lifestyle</v>
      </c>
      <c r="AT42" s="55" t="str">
        <f>IFERROR(__xludf.DUMMYFUNCTION("""COMPUTED_VALUE"""),"• It has KSM 66 ashwagandha, turmeric, Eltyanim, lion's mane and chaga.
• One day I realized I was basically eating candy every morning and calling it wellness.
• Then I found Badum ashwagandha coffee.
• Mmm, it actually tastes like delicious regular coff"&amp;"ee.")</f>
        <v>• It has KSM 66 ashwagandha, turmeric, Eltyanim, lion's mane and chaga.
• One day I realized I was basically eating candy every morning and calling it wellness.
• Then I found Badum ashwagandha coffee.
• Mmm, it actually tastes like delicious regular coffee.</v>
      </c>
      <c r="AU42" s="55" t="str">
        <f>IFERROR(__xludf.DUMMYFUNCTION("""COMPUTED_VALUE"""),"You can find Vadum Ashwagandha Coffee at Target stores or on Target.com")</f>
        <v>You can find Vadum Ashwagandha Coffee at Target stores or on Target.com</v>
      </c>
      <c r="AV42" s="55" t="str">
        <f>IFERROR(__xludf.DUMMYFUNCTION("""COMPUTED_VALUE"""),"I'm too grown to be eating wellness candy every day. No shade to anyone who loves gummies. One day I realized I was basically eating candy every morning and calling it wellness. Then I found Badum ashwagandha coffee. Mmm, it actually tastes like delicious"&amp;" regular coffee. It has KSM 66 ashwagandha, turmeric, Eltyanim, lion's mane and chaga. I'd rather get my ashwagandha through something I'd rather do every morning. You can find Vadum Ashwagandha Coffee at Target stores or on Target.com")</f>
        <v>I'm too grown to be eating wellness candy every day. No shade to anyone who loves gummies. One day I realized I was basically eating candy every morning and calling it wellness. Then I found Badum ashwagandha coffee. Mmm, it actually tastes like delicious regular coffee. It has KSM 66 ashwagandha, turmeric, Eltyanim, lion's mane and chaga. I'd rather get my ashwagandha through something I'd rather do every morning. You can find Vadum Ashwagandha Coffee at Target stores or on Target.com</v>
      </c>
      <c r="AW42" s="35"/>
      <c r="AX42" s="35"/>
      <c r="AY42" s="35"/>
      <c r="AZ42" s="35"/>
      <c r="BA42" s="35"/>
      <c r="BB42" s="35"/>
      <c r="BC42" s="35"/>
      <c r="BD42" s="35"/>
      <c r="BE42" s="35"/>
      <c r="BF42" s="35"/>
      <c r="BG42" s="35"/>
    </row>
    <row r="43" ht="15.75" customHeight="1">
      <c r="A43" s="55" t="str">
        <f>IFERROR(__xludf.DUMMYFUNCTION("""COMPUTED_VALUE"""),"Instagram")</f>
        <v>Instagram</v>
      </c>
      <c r="B43" s="56">
        <f>IFERROR(__xludf.DUMMYFUNCTION("""COMPUTED_VALUE"""),46191.0)</f>
        <v>46191</v>
      </c>
      <c r="C43" s="55" t="str">
        <f>IFERROR(__xludf.DUMMYFUNCTION("""COMPUTED_VALUE"""),"June")</f>
        <v>June</v>
      </c>
      <c r="D43" s="58" t="str">
        <f>IFERROR(__xludf.DUMMYFUNCTION("""COMPUTED_VALUE"""),"https://www.instagram.com/reel/DZsRQ7iM4c9/")</f>
        <v>https://www.instagram.com/reel/DZsRQ7iM4c9/</v>
      </c>
      <c r="E43" s="55" t="str">
        <f>IFERROR(__xludf.DUMMYFUNCTION("""COMPUTED_VALUE"""),"@na")</f>
        <v>@na</v>
      </c>
      <c r="F43" s="55" t="str">
        <f>IFERROR(__xludf.DUMMYFUNCTION("""COMPUTED_VALUE"""),"NA")</f>
        <v>NA</v>
      </c>
      <c r="G43" s="55" t="str">
        <f>IFERROR(__xludf.DUMMYFUNCTION("""COMPUTED_VALUE"""),"Cortisol")</f>
        <v>Cortisol</v>
      </c>
      <c r="H43" s="55">
        <f>IFERROR(__xludf.DUMMYFUNCTION("""COMPUTED_VALUE"""),30.0)</f>
        <v>30</v>
      </c>
      <c r="I43" s="55">
        <f>IFERROR(__xludf.DUMMYFUNCTION("""COMPUTED_VALUE"""),15.3)</f>
        <v>15.3</v>
      </c>
      <c r="J43" s="55" t="str">
        <f>IFERROR(__xludf.DUMMYFUNCTION("""COMPUTED_VALUE"""),"Consider")</f>
        <v>Consider</v>
      </c>
      <c r="K43" s="55" t="str">
        <f>IFERROR(__xludf.DUMMYFUNCTION("""COMPUTED_VALUE"""),"No")</f>
        <v>No</v>
      </c>
      <c r="L43" s="55" t="str">
        <f>IFERROR(__xludf.DUMMYFUNCTION("""COMPUTED_VALUE"""),"Score 16.0 nearing 20 threshold; Like rate 9.7% — strong engagement signal")</f>
        <v>Score 16.0 nearing 20 threshold; Like rate 9.7% — strong engagement signal</v>
      </c>
      <c r="M43" s="59" t="str">
        <f>IFERROR(__xludf.DUMMYFUNCTION("""COMPUTED_VALUE"""),"No Ad Data")</f>
        <v>No Ad Data</v>
      </c>
      <c r="N43" s="55"/>
      <c r="O43" s="55"/>
      <c r="P43" s="59">
        <f>IFERROR(__xludf.DUMMYFUNCTION("""COMPUTED_VALUE"""),72.0)</f>
        <v>72</v>
      </c>
      <c r="Q43" s="59">
        <f>IFERROR(__xludf.DUMMYFUNCTION("""COMPUTED_VALUE"""),7.0)</f>
        <v>7</v>
      </c>
      <c r="R43" s="59">
        <f>IFERROR(__xludf.DUMMYFUNCTION("""COMPUTED_VALUE"""),3.0)</f>
        <v>3</v>
      </c>
      <c r="S43" s="55"/>
      <c r="T43" s="68">
        <f>IFERROR(__xludf.DUMMYFUNCTION("""COMPUTED_VALUE"""),0.0)</f>
        <v>0</v>
      </c>
      <c r="U43" s="55"/>
      <c r="V43" s="62">
        <f>IFERROR(__xludf.DUMMYFUNCTION("""COMPUTED_VALUE"""),0.1388)</f>
        <v>0.1388</v>
      </c>
      <c r="W43" s="63">
        <f>IFERROR(__xludf.DUMMYFUNCTION("""COMPUTED_VALUE"""),117.58)</f>
        <v>117.58</v>
      </c>
      <c r="X43" s="59">
        <f>IFERROR(__xludf.DUMMYFUNCTION("""COMPUTED_VALUE"""),72.0)</f>
        <v>72</v>
      </c>
      <c r="Y43" s="59">
        <f>IFERROR(__xludf.DUMMYFUNCTION("""COMPUTED_VALUE"""),7.0)</f>
        <v>7</v>
      </c>
      <c r="Z43" s="59">
        <f>IFERROR(__xludf.DUMMYFUNCTION("""COMPUTED_VALUE"""),3.0)</f>
        <v>3</v>
      </c>
      <c r="AA43" s="59">
        <f>IFERROR(__xludf.DUMMYFUNCTION("""COMPUTED_VALUE"""),0.0)</f>
        <v>0</v>
      </c>
      <c r="AB43" s="64">
        <f>IFERROR(__xludf.DUMMYFUNCTION("""COMPUTED_VALUE"""),0.0)</f>
        <v>0</v>
      </c>
      <c r="AC43" s="62">
        <f>IFERROR(__xludf.DUMMYFUNCTION("""COMPUTED_VALUE"""),0.1388)</f>
        <v>0.1388</v>
      </c>
      <c r="AD43" s="62">
        <f>IFERROR(__xludf.DUMMYFUNCTION("""COMPUTED_VALUE"""),0.0)</f>
        <v>0</v>
      </c>
      <c r="AE43" s="62">
        <f>IFERROR(__xludf.DUMMYFUNCTION("""COMPUTED_VALUE"""),0.0)</f>
        <v>0</v>
      </c>
      <c r="AF43" s="55"/>
      <c r="AG43" s="55"/>
      <c r="AH43" s="55"/>
      <c r="AI43" s="55"/>
      <c r="AJ43" s="55"/>
      <c r="AK43" s="55"/>
      <c r="AL43" s="55"/>
      <c r="AM43" s="55" t="str">
        <f>IFERROR(__xludf.DUMMYFUNCTION("""COMPUTED_VALUE"""),"Q9jTBBWips7yvLHTWVwHuhO-P0Ef-1kobwyZGfj4ITBFdbRwrUew4iR8IdDHOX9qFw")</f>
        <v>Q9jTBBWips7yvLHTWVwHuhO-P0Ef-1kobwyZGfj4ITBFdbRwrUew4iR8IdDHOX9qFw</v>
      </c>
      <c r="AN43" s="55"/>
      <c r="AO43" s="55" t="str">
        <f>IFERROR(__xludf.DUMMYFUNCTION("""COMPUTED_VALUE"""),"NA")</f>
        <v>NA</v>
      </c>
      <c r="AP43" s="55" t="str">
        <f>IFERROR(__xludf.DUMMYFUNCTION("""COMPUTED_VALUE"""),"NA")</f>
        <v>NA</v>
      </c>
      <c r="AQ43" s="55" t="str">
        <f>IFERROR(__xludf.DUMMYFUNCTION("""COMPUTED_VALUE"""),"NA")</f>
        <v>NA</v>
      </c>
      <c r="AR43" s="55" t="str">
        <f>IFERROR(__xludf.DUMMYFUNCTION("""COMPUTED_VALUE"""),"If coffee usually leaves you feeling shaky or jittery, you need to try this.")</f>
        <v>If coffee usually leaves you feeling shaky or jittery, you need to try this.</v>
      </c>
      <c r="AS43" s="55" t="str">
        <f>IFERROR(__xludf.DUMMYFUNCTION("""COMPUTED_VALUE"""),"Problem / Pain Point")</f>
        <v>Problem / Pain Point</v>
      </c>
      <c r="AT43" s="55" t="str">
        <f>IFERROR(__xludf.DUMMYFUNCTION("""COMPUTED_VALUE"""),"• I found it at Target and it's still coffee, but upgraded with KSM 66 ashwagandha, curcumin, L-theanine, lion's mane, and chaga mushrooms.
• I blend frozen milk, brew my Vadam ashwagandha coffee, whip up a little coffee foam with some syrup, and pour eve"&amp;"rything together.
• And honestly, it tastes like delicious regular coffee.
• And since it's summer, my favorite way to enjoy it is iced.")</f>
        <v>• I found it at Target and it's still coffee, but upgraded with KSM 66 ashwagandha, curcumin, L-theanine, lion's mane, and chaga mushrooms.
• I blend frozen milk, brew my Vadam ashwagandha coffee, whip up a little coffee foam with some syrup, and pour everything together.
• And honestly, it tastes like delicious regular coffee.
• And since it's summer, my favorite way to enjoy it is iced.</v>
      </c>
      <c r="AU43" s="55" t="str">
        <f>IFERROR(__xludf.DUMMYFUNCTION("""COMPUTED_VALUE"""),"If coffee usually leaves you feeling shaky or jittery, you need to try this.")</f>
        <v>If coffee usually leaves you feeling shaky or jittery, you need to try this.</v>
      </c>
      <c r="AV43" s="55" t="str">
        <f>IFERROR(__xludf.DUMMYFUNCTION("""COMPUTED_VALUE"""),"If coffee usually leaves you feeling shaky or jittery, you need to try this. I found it at Target and it's still coffee, but upgraded with KSM 66 ashwagandha, curcumin, L-theanine, lion's mane, and chaga mushrooms. And honestly, it tastes like delicious r"&amp;"egular coffee. And since it's summer, my favorite way to enjoy it is iced. I blend frozen milk, brew my Vadam ashwagandha coffee, whip up a little coffee foam with some syrup, and pour everything together. So refreshing and seriously delicious.")</f>
        <v>If coffee usually leaves you feeling shaky or jittery, you need to try this. I found it at Target and it's still coffee, but upgraded with KSM 66 ashwagandha, curcumin, L-theanine, lion's mane, and chaga mushrooms. And honestly, it tastes like delicious regular coffee. And since it's summer, my favorite way to enjoy it is iced. I blend frozen milk, brew my Vadam ashwagandha coffee, whip up a little coffee foam with some syrup, and pour everything together. So refreshing and seriously delicious.</v>
      </c>
      <c r="AW43" s="35"/>
      <c r="AX43" s="35"/>
      <c r="AY43" s="35"/>
      <c r="AZ43" s="35"/>
      <c r="BA43" s="35"/>
      <c r="BB43" s="35"/>
      <c r="BC43" s="35"/>
      <c r="BD43" s="35"/>
      <c r="BE43" s="35"/>
      <c r="BF43" s="35"/>
      <c r="BG43" s="35"/>
    </row>
    <row r="44" ht="15.75" customHeight="1">
      <c r="A44" s="55" t="str">
        <f>IFERROR(__xludf.DUMMYFUNCTION("""COMPUTED_VALUE"""),"Tiktok")</f>
        <v>Tiktok</v>
      </c>
      <c r="B44" s="56">
        <f>IFERROR(__xludf.DUMMYFUNCTION("""COMPUTED_VALUE"""),46195.0)</f>
        <v>46195</v>
      </c>
      <c r="C44" s="55" t="str">
        <f>IFERROR(__xludf.DUMMYFUNCTION("""COMPUTED_VALUE"""),"June")</f>
        <v>June</v>
      </c>
      <c r="D44" s="58" t="str">
        <f>IFERROR(__xludf.DUMMYFUNCTION("""COMPUTED_VALUE"""),"https://www.tiktok.com/@thecoryann/video/7654204089936514334")</f>
        <v>https://www.tiktok.com/@thecoryann/video/7654204089936514334</v>
      </c>
      <c r="E44" s="55" t="str">
        <f>IFERROR(__xludf.DUMMYFUNCTION("""COMPUTED_VALUE"""),"@thecoryann")</f>
        <v>@thecoryann</v>
      </c>
      <c r="F44" s="55" t="str">
        <f>IFERROR(__xludf.DUMMYFUNCTION("""COMPUTED_VALUE"""),"Cory Jones")</f>
        <v>Cory Jones</v>
      </c>
      <c r="G44" s="55" t="str">
        <f>IFERROR(__xludf.DUMMYFUNCTION("""COMPUTED_VALUE"""),"Taste")</f>
        <v>Taste</v>
      </c>
      <c r="H44" s="55">
        <f>IFERROR(__xludf.DUMMYFUNCTION("""COMPUTED_VALUE"""),42.0)</f>
        <v>42</v>
      </c>
      <c r="I44" s="55">
        <f>IFERROR(__xludf.DUMMYFUNCTION("""COMPUTED_VALUE"""),27.8)</f>
        <v>27.8</v>
      </c>
      <c r="J44" s="55" t="str">
        <f>IFERROR(__xludf.DUMMYFUNCTION("""COMPUTED_VALUE"""),"Consider")</f>
        <v>Consider</v>
      </c>
      <c r="K44" s="55" t="str">
        <f>IFERROR(__xludf.DUMMYFUNCTION("""COMPUTED_VALUE"""),"No")</f>
        <v>No</v>
      </c>
      <c r="L44" s="55" t="str">
        <f>IFERROR(__xludf.DUMMYFUNCTION("""COMPUTED_VALUE"""),"Score 27.1 nearing 30 threshold")</f>
        <v>Score 27.1 nearing 30 threshold</v>
      </c>
      <c r="M44" s="59" t="str">
        <f>IFERROR(__xludf.DUMMYFUNCTION("""COMPUTED_VALUE"""),"No Ad Data")</f>
        <v>No Ad Data</v>
      </c>
      <c r="N44" s="55"/>
      <c r="O44" s="55"/>
      <c r="P44" s="59">
        <f>IFERROR(__xludf.DUMMYFUNCTION("""COMPUTED_VALUE"""),67.0)</f>
        <v>67</v>
      </c>
      <c r="Q44" s="59">
        <f>IFERROR(__xludf.DUMMYFUNCTION("""COMPUTED_VALUE"""),4.0)</f>
        <v>4</v>
      </c>
      <c r="R44" s="59">
        <f>IFERROR(__xludf.DUMMYFUNCTION("""COMPUTED_VALUE"""),0.0)</f>
        <v>0</v>
      </c>
      <c r="S44" s="62">
        <f>IFERROR(__xludf.DUMMYFUNCTION("""COMPUTED_VALUE"""),39.7)</f>
        <v>39.7</v>
      </c>
      <c r="T44" s="62">
        <f>IFERROR(__xludf.DUMMYFUNCTION("""COMPUTED_VALUE"""),13.2)</f>
        <v>13.2</v>
      </c>
      <c r="U44" s="64">
        <f>IFERROR(__xludf.DUMMYFUNCTION("""COMPUTED_VALUE"""),4.0)</f>
        <v>4</v>
      </c>
      <c r="V44" s="62">
        <f>IFERROR(__xludf.DUMMYFUNCTION("""COMPUTED_VALUE"""),5.9)</f>
        <v>5.9</v>
      </c>
      <c r="W44" s="63">
        <f>IFERROR(__xludf.DUMMYFUNCTION("""COMPUTED_VALUE"""),117.58)</f>
        <v>117.58</v>
      </c>
      <c r="X44" s="59">
        <f>IFERROR(__xludf.DUMMYFUNCTION("""COMPUTED_VALUE"""),67.0)</f>
        <v>67</v>
      </c>
      <c r="Y44" s="59">
        <f>IFERROR(__xludf.DUMMYFUNCTION("""COMPUTED_VALUE"""),4.0)</f>
        <v>4</v>
      </c>
      <c r="Z44" s="59">
        <f>IFERROR(__xludf.DUMMYFUNCTION("""COMPUTED_VALUE"""),0.0)</f>
        <v>0</v>
      </c>
      <c r="AA44" s="59">
        <f>IFERROR(__xludf.DUMMYFUNCTION("""COMPUTED_VALUE"""),0.0)</f>
        <v>0</v>
      </c>
      <c r="AB44" s="64">
        <f>IFERROR(__xludf.DUMMYFUNCTION("""COMPUTED_VALUE"""),4.0)</f>
        <v>4</v>
      </c>
      <c r="AC44" s="62">
        <f>IFERROR(__xludf.DUMMYFUNCTION("""COMPUTED_VALUE"""),5.9)</f>
        <v>5.9</v>
      </c>
      <c r="AD44" s="62">
        <f>IFERROR(__xludf.DUMMYFUNCTION("""COMPUTED_VALUE"""),39.7)</f>
        <v>39.7</v>
      </c>
      <c r="AE44" s="62">
        <f>IFERROR(__xludf.DUMMYFUNCTION("""COMPUTED_VALUE"""),13.2)</f>
        <v>13.2</v>
      </c>
      <c r="AF44" s="55"/>
      <c r="AG44" s="55"/>
      <c r="AH44" s="55"/>
      <c r="AI44" s="55"/>
      <c r="AJ44" s="55"/>
      <c r="AK44" s="55"/>
      <c r="AL44" s="55"/>
      <c r="AM44" s="55" t="str">
        <f>IFERROR(__xludf.DUMMYFUNCTION("""COMPUTED_VALUE"""),"#UhWhHWjnTVGMO5k0E4jfxa7zQfLbhHn0Tds3TmQxcM+kwollwP2c7qaY00ZCnNM=")</f>
        <v>#UhWhHWjnTVGMO5k0E4jfxa7zQfLbhHn0Tds3TmQxcM+kwollwP2c7qaY00ZCnNM=</v>
      </c>
      <c r="AN44" s="55"/>
      <c r="AO44" s="58" t="str">
        <f>IFERROR(__xludf.DUMMYFUNCTION("""COMPUTED_VALUE"""),"https://us.brand.joinbrands.com/job/690620")</f>
        <v>https://us.brand.joinbrands.com/job/690620</v>
      </c>
      <c r="AP44" s="55" t="str">
        <f>IFERROR(__xludf.DUMMYFUNCTION("""COMPUTED_VALUE"""),"NA")</f>
        <v>NA</v>
      </c>
      <c r="AQ44" s="55" t="str">
        <f>IFERROR(__xludf.DUMMYFUNCTION("""COMPUTED_VALUE"""),"my favorite coffee!!! @VAHDAM USA @target #coffee #coffeetiktok")</f>
        <v>my favorite coffee!!! @VAHDAM USA @target #coffee #coffeetiktok</v>
      </c>
      <c r="AR44" s="55" t="str">
        <f>IFERROR(__xludf.DUMMYFUNCTION("""COMPUTED_VALUE"""),"If you're looking for that midday pick-me-up, you need to check out Vadam Ashwagandha Coffee Plus.")</f>
        <v>If you're looking for that midday pick-me-up, you need to check out Vadam Ashwagandha Coffee Plus.</v>
      </c>
      <c r="AS44" s="55" t="str">
        <f>IFERROR(__xludf.DUMMYFUNCTION("""COMPUTED_VALUE"""),"Call-Out / If You")</f>
        <v>Call-Out / If You</v>
      </c>
      <c r="AT44" s="55" t="str">
        <f>IFERROR(__xludf.DUMMYFUNCTION("""COMPUTED_VALUE"""),"• It has daily stress support, calm energy and clarity, and mood balance and focus.
• And did I mention they use 100% Arabica coffee in this mix?
• Add sweetener to taste.
• You can consume it hot, iced, or add it to your regular coffee or smoothie.")</f>
        <v>• It has daily stress support, calm energy and clarity, and mood balance and focus.
• And did I mention they use 100% Arabica coffee in this mix?
• Add sweetener to taste.
• You can consume it hot, iced, or add it to your regular coffee or smoothie.</v>
      </c>
      <c r="AU44" s="55" t="str">
        <f>IFERROR(__xludf.DUMMYFUNCTION("""COMPUTED_VALUE"""),"If you're looking for that midday pick-me-up, you need to check out Vadam Ashwagandha Coffee Plus.")</f>
        <v>If you're looking for that midday pick-me-up, you need to check out Vadam Ashwagandha Coffee Plus.</v>
      </c>
      <c r="AV44" s="55" t="str">
        <f>IFERROR(__xludf.DUMMYFUNCTION("""COMPUTED_VALUE"""),"If you're looking for that midday pick-me-up, you need to check out Vadam Ashwagandha Coffee Plus. It has daily stress support, calm energy and clarity, and mood balance and focus. It's super easy to make. You just take one scoop and put it in 3-7 ounces "&amp;"of hot water or milk. Add sweetener to taste. You can consume it hot, iced, or add it to your regular coffee or smoothie. And did I mention they use 100% Arabica coffee in this mix? And boy, is it delicious. The ashwagandha relieves stress The L-thionine "&amp;"supports sustained energy The turmeric has anti-inflammatory benefits And the lion's mane of mushrooms sharpens focus and boosts immunity You definitely need to check this out")</f>
        <v>If you're looking for that midday pick-me-up, you need to check out Vadam Ashwagandha Coffee Plus. It has daily stress support, calm energy and clarity, and mood balance and focus. It's super easy to make. You just take one scoop and put it in 3-7 ounces of hot water or milk. Add sweetener to taste. You can consume it hot, iced, or add it to your regular coffee or smoothie. And did I mention they use 100% Arabica coffee in this mix? And boy, is it delicious. The ashwagandha relieves stress The L-thionine supports sustained energy The turmeric has anti-inflammatory benefits And the lion's mane of mushrooms sharpens focus and boosts immunity You definitely need to check this out</v>
      </c>
      <c r="AW44" s="35"/>
      <c r="AX44" s="35"/>
      <c r="AY44" s="35"/>
      <c r="AZ44" s="35"/>
      <c r="BA44" s="35"/>
      <c r="BB44" s="35"/>
      <c r="BC44" s="35"/>
      <c r="BD44" s="35"/>
      <c r="BE44" s="35"/>
      <c r="BF44" s="35"/>
      <c r="BG44" s="35"/>
    </row>
    <row r="45" ht="15.75" customHeight="1">
      <c r="A45" s="55" t="str">
        <f>IFERROR(__xludf.DUMMYFUNCTION("""COMPUTED_VALUE"""),"Tiktok")</f>
        <v>Tiktok</v>
      </c>
      <c r="B45" s="56">
        <f>IFERROR(__xludf.DUMMYFUNCTION("""COMPUTED_VALUE"""),46190.0)</f>
        <v>46190</v>
      </c>
      <c r="C45" s="55" t="str">
        <f>IFERROR(__xludf.DUMMYFUNCTION("""COMPUTED_VALUE"""),"June")</f>
        <v>June</v>
      </c>
      <c r="D45" s="58" t="str">
        <f>IFERROR(__xludf.DUMMYFUNCTION("""COMPUTED_VALUE"""),"https://www.tiktok.com/@laurynwithay89/video/7652407243505192206")</f>
        <v>https://www.tiktok.com/@laurynwithay89/video/7652407243505192206</v>
      </c>
      <c r="E45" s="55" t="str">
        <f>IFERROR(__xludf.DUMMYFUNCTION("""COMPUTED_VALUE"""),"@laurynwithay89")</f>
        <v>@laurynwithay89</v>
      </c>
      <c r="F45" s="55" t="str">
        <f>IFERROR(__xludf.DUMMYFUNCTION("""COMPUTED_VALUE"""),"Lauryn Wilk")</f>
        <v>Lauryn Wilk</v>
      </c>
      <c r="G45" s="55" t="str">
        <f>IFERROR(__xludf.DUMMYFUNCTION("""COMPUTED_VALUE"""),"Cortisol")</f>
        <v>Cortisol</v>
      </c>
      <c r="H45" s="55">
        <f>IFERROR(__xludf.DUMMYFUNCTION("""COMPUTED_VALUE"""),41.0)</f>
        <v>41</v>
      </c>
      <c r="I45" s="55">
        <f>IFERROR(__xludf.DUMMYFUNCTION("""COMPUTED_VALUE"""),27.8)</f>
        <v>27.8</v>
      </c>
      <c r="J45" s="55" t="str">
        <f>IFERROR(__xludf.DUMMYFUNCTION("""COMPUTED_VALUE"""),"Consider")</f>
        <v>Consider</v>
      </c>
      <c r="K45" s="55" t="str">
        <f>IFERROR(__xludf.DUMMYFUNCTION("""COMPUTED_VALUE"""),"No")</f>
        <v>No</v>
      </c>
      <c r="L45" s="55" t="str">
        <f>IFERROR(__xludf.DUMMYFUNCTION("""COMPUTED_VALUE"""),"Score 28.3 nearing 30 threshold; 6-sec 20.0% nearing 25% threshold")</f>
        <v>Score 28.3 nearing 30 threshold; 6-sec 20.0% nearing 25% threshold</v>
      </c>
      <c r="M45" s="59" t="str">
        <f>IFERROR(__xludf.DUMMYFUNCTION("""COMPUTED_VALUE"""),"No Ad Data")</f>
        <v>No Ad Data</v>
      </c>
      <c r="N45" s="55"/>
      <c r="O45" s="55"/>
      <c r="P45" s="59">
        <f>IFERROR(__xludf.DUMMYFUNCTION("""COMPUTED_VALUE"""),61.0)</f>
        <v>61</v>
      </c>
      <c r="Q45" s="59">
        <f>IFERROR(__xludf.DUMMYFUNCTION("""COMPUTED_VALUE"""),1.0)</f>
        <v>1</v>
      </c>
      <c r="R45" s="59">
        <f>IFERROR(__xludf.DUMMYFUNCTION("""COMPUTED_VALUE"""),0.0)</f>
        <v>0</v>
      </c>
      <c r="S45" s="62">
        <f>IFERROR(__xludf.DUMMYFUNCTION("""COMPUTED_VALUE"""),57.1)</f>
        <v>57.1</v>
      </c>
      <c r="T45" s="62">
        <f>IFERROR(__xludf.DUMMYFUNCTION("""COMPUTED_VALUE"""),20.0)</f>
        <v>20</v>
      </c>
      <c r="U45" s="64">
        <f>IFERROR(__xludf.DUMMYFUNCTION("""COMPUTED_VALUE"""),5.0)</f>
        <v>5</v>
      </c>
      <c r="V45" s="62">
        <f>IFERROR(__xludf.DUMMYFUNCTION("""COMPUTED_VALUE"""),1.6)</f>
        <v>1.6</v>
      </c>
      <c r="W45" s="63">
        <f>IFERROR(__xludf.DUMMYFUNCTION("""COMPUTED_VALUE"""),117.58)</f>
        <v>117.58</v>
      </c>
      <c r="X45" s="59">
        <f>IFERROR(__xludf.DUMMYFUNCTION("""COMPUTED_VALUE"""),61.0)</f>
        <v>61</v>
      </c>
      <c r="Y45" s="59">
        <f>IFERROR(__xludf.DUMMYFUNCTION("""COMPUTED_VALUE"""),1.0)</f>
        <v>1</v>
      </c>
      <c r="Z45" s="59">
        <f>IFERROR(__xludf.DUMMYFUNCTION("""COMPUTED_VALUE"""),0.0)</f>
        <v>0</v>
      </c>
      <c r="AA45" s="59">
        <f>IFERROR(__xludf.DUMMYFUNCTION("""COMPUTED_VALUE"""),0.0)</f>
        <v>0</v>
      </c>
      <c r="AB45" s="64">
        <f>IFERROR(__xludf.DUMMYFUNCTION("""COMPUTED_VALUE"""),5.0)</f>
        <v>5</v>
      </c>
      <c r="AC45" s="62">
        <f>IFERROR(__xludf.DUMMYFUNCTION("""COMPUTED_VALUE"""),1.6)</f>
        <v>1.6</v>
      </c>
      <c r="AD45" s="62">
        <f>IFERROR(__xludf.DUMMYFUNCTION("""COMPUTED_VALUE"""),57.1)</f>
        <v>57.1</v>
      </c>
      <c r="AE45" s="62">
        <f>IFERROR(__xludf.DUMMYFUNCTION("""COMPUTED_VALUE"""),20.0)</f>
        <v>20</v>
      </c>
      <c r="AF45" s="55"/>
      <c r="AG45" s="55"/>
      <c r="AH45" s="55"/>
      <c r="AI45" s="55"/>
      <c r="AJ45" s="55"/>
      <c r="AK45" s="55"/>
      <c r="AL45" s="55"/>
      <c r="AM45" s="55" t="str">
        <f>IFERROR(__xludf.DUMMYFUNCTION("""COMPUTED_VALUE"""),"#pEgw6TShp+LiHVlMoSCpCqThBUW+2cBIZDjdF960IsqPjFYnhbvloPw64gFN2zM=")</f>
        <v>#pEgw6TShp+LiHVlMoSCpCqThBUW+2cBIZDjdF960IsqPjFYnhbvloPw64gFN2zM=</v>
      </c>
      <c r="AN45" s="55"/>
      <c r="AO45" s="58" t="str">
        <f>IFERROR(__xludf.DUMMYFUNCTION("""COMPUTED_VALUE"""),"https://us.brand.joinbrands.com/job/689720")</f>
        <v>https://us.brand.joinbrands.com/job/689720</v>
      </c>
      <c r="AP45" s="55" t="str">
        <f>IFERROR(__xludf.DUMMYFUNCTION("""COMPUTED_VALUE"""),"Bad qaulity")</f>
        <v>Bad qaulity</v>
      </c>
      <c r="AQ45" s="55" t="str">
        <f>IFERROR(__xludf.DUMMYFUNCTION("""COMPUTED_VALUE"""),"#vahdam #target #ashwagandha #coffee @Vahdam India @target")</f>
        <v>#vahdam #target #ashwagandha #coffee @Vahdam India @target</v>
      </c>
      <c r="AR45" s="55" t="str">
        <f>IFERROR(__xludf.DUMMYFUNCTION("""COMPUTED_VALUE"""),"guys, I am completely obsessed with Vadam their ashwagandha coffee.")</f>
        <v>guys, I am completely obsessed with Vadam their ashwagandha coffee.</v>
      </c>
      <c r="AS45" s="55" t="str">
        <f>IFERROR(__xludf.DUMMYFUNCTION("""COMPUTED_VALUE"""),"General / Lifestyle")</f>
        <v>General / Lifestyle</v>
      </c>
      <c r="AT45" s="55" t="str">
        <f>IFERROR(__xludf.DUMMYFUNCTION("""COMPUTED_VALUE"""),"• It helps with daily stress support, calm energy and clarity and mood balance and focus.
• It has L cysteine, turmeric, lions mane and shaga and K S M66 Ashwagandha.
• I think it tastes just like regular coffee, if not even better.
• Here's a close up of"&amp;" what the product looks like.")</f>
        <v>• It helps with daily stress support, calm energy and clarity and mood balance and focus.
• It has L cysteine, turmeric, lions mane and shaga and K S M66 Ashwagandha.
• I think it tastes just like regular coffee, if not even better.
• Here's a close up of what the product looks like.</v>
      </c>
      <c r="AU45" s="55" t="str">
        <f>IFERROR(__xludf.DUMMYFUNCTION("""COMPUTED_VALUE"""),"You can get this product at target at any store or online at target.com.")</f>
        <v>You can get this product at target at any store or online at target.com.</v>
      </c>
      <c r="AV45" s="55" t="str">
        <f>IFERROR(__xludf.DUMMYFUNCTION("""COMPUTED_VALUE"""),"Hey guys, I am completely obsessed with Vadam their ashwagandha coffee. Here's a close up of what the product looks like. It has so many good benefits. It has L cysteine, turmeric, lions mane and shaga and K S M66 Ashwagandha. It helps with daily stress s"&amp;"upport, calm energy and clarity and mood balance and focus. I think it tastes just like regular coffee, if not even better. You can get this product at target at any store or online at target.com. Again, check this out guys. It's absolutely delicious.")</f>
        <v>Hey guys, I am completely obsessed with Vadam their ashwagandha coffee. Here's a close up of what the product looks like. It has so many good benefits. It has L cysteine, turmeric, lions mane and shaga and K S M66 Ashwagandha. It helps with daily stress support, calm energy and clarity and mood balance and focus. I think it tastes just like regular coffee, if not even better. You can get this product at target at any store or online at target.com. Again, check this out guys. It's absolutely delicious.</v>
      </c>
      <c r="AW45" s="35"/>
      <c r="AX45" s="35"/>
      <c r="AY45" s="35"/>
      <c r="AZ45" s="35"/>
      <c r="BA45" s="35"/>
      <c r="BB45" s="35"/>
      <c r="BC45" s="35"/>
      <c r="BD45" s="35"/>
      <c r="BE45" s="35"/>
      <c r="BF45" s="35"/>
      <c r="BG45" s="35"/>
    </row>
    <row r="46" ht="15.75" customHeight="1">
      <c r="A46" s="55" t="str">
        <f>IFERROR(__xludf.DUMMYFUNCTION("""COMPUTED_VALUE"""),"Tiktok")</f>
        <v>Tiktok</v>
      </c>
      <c r="B46" s="56">
        <f>IFERROR(__xludf.DUMMYFUNCTION("""COMPUTED_VALUE"""),46199.0)</f>
        <v>46199</v>
      </c>
      <c r="C46" s="55" t="str">
        <f>IFERROR(__xludf.DUMMYFUNCTION("""COMPUTED_VALUE"""),"June")</f>
        <v>June</v>
      </c>
      <c r="D46" s="58" t="str">
        <f>IFERROR(__xludf.DUMMYFUNCTION("""COMPUTED_VALUE"""),"https://www.tiktok.com/@carrievee2022/video/7655507260193459486")</f>
        <v>https://www.tiktok.com/@carrievee2022/video/7655507260193459486</v>
      </c>
      <c r="E46" s="55" t="str">
        <f>IFERROR(__xludf.DUMMYFUNCTION("""COMPUTED_VALUE"""),"@carrievee2022")</f>
        <v>@carrievee2022</v>
      </c>
      <c r="F46" s="55" t="str">
        <f>IFERROR(__xludf.DUMMYFUNCTION("""COMPUTED_VALUE"""),"Carrie Verrocchio")</f>
        <v>Carrie Verrocchio</v>
      </c>
      <c r="G46" s="55" t="str">
        <f>IFERROR(__xludf.DUMMYFUNCTION("""COMPUTED_VALUE"""),"Target Shelf Showdown")</f>
        <v>Target Shelf Showdown</v>
      </c>
      <c r="H46" s="55">
        <f>IFERROR(__xludf.DUMMYFUNCTION("""COMPUTED_VALUE"""),87.0)</f>
        <v>87</v>
      </c>
      <c r="I46" s="55">
        <f>IFERROR(__xludf.DUMMYFUNCTION("""COMPUTED_VALUE"""),29.3)</f>
        <v>29.3</v>
      </c>
      <c r="J46" s="55" t="str">
        <f>IFERROR(__xludf.DUMMYFUNCTION("""COMPUTED_VALUE"""),"Consider")</f>
        <v>Consider</v>
      </c>
      <c r="K46" s="55" t="str">
        <f>IFERROR(__xludf.DUMMYFUNCTION("""COMPUTED_VALUE"""),"No")</f>
        <v>No</v>
      </c>
      <c r="L46" s="55" t="str">
        <f>IFERROR(__xludf.DUMMYFUNCTION("""COMPUTED_VALUE"""),"Score 28.5 nearing 30 threshold")</f>
        <v>Score 28.5 nearing 30 threshold</v>
      </c>
      <c r="M46" s="59" t="str">
        <f>IFERROR(__xludf.DUMMYFUNCTION("""COMPUTED_VALUE"""),"No Ad Data")</f>
        <v>No Ad Data</v>
      </c>
      <c r="N46" s="55"/>
      <c r="O46" s="55"/>
      <c r="P46" s="59">
        <f>IFERROR(__xludf.DUMMYFUNCTION("""COMPUTED_VALUE"""),60.0)</f>
        <v>60</v>
      </c>
      <c r="Q46" s="59">
        <f>IFERROR(__xludf.DUMMYFUNCTION("""COMPUTED_VALUE"""),4.0)</f>
        <v>4</v>
      </c>
      <c r="R46" s="59">
        <f>IFERROR(__xludf.DUMMYFUNCTION("""COMPUTED_VALUE"""),0.0)</f>
        <v>0</v>
      </c>
      <c r="S46" s="62">
        <f>IFERROR(__xludf.DUMMYFUNCTION("""COMPUTED_VALUE"""),50.7)</f>
        <v>50.7</v>
      </c>
      <c r="T46" s="62">
        <f>IFERROR(__xludf.DUMMYFUNCTION("""COMPUTED_VALUE"""),16.9)</f>
        <v>16.9</v>
      </c>
      <c r="U46" s="64">
        <f>IFERROR(__xludf.DUMMYFUNCTION("""COMPUTED_VALUE"""),6.0)</f>
        <v>6</v>
      </c>
      <c r="V46" s="62">
        <f>IFERROR(__xludf.DUMMYFUNCTION("""COMPUTED_VALUE"""),6.6)</f>
        <v>6.6</v>
      </c>
      <c r="W46" s="63">
        <f>IFERROR(__xludf.DUMMYFUNCTION("""COMPUTED_VALUE"""),72.99)</f>
        <v>72.99</v>
      </c>
      <c r="X46" s="59">
        <f>IFERROR(__xludf.DUMMYFUNCTION("""COMPUTED_VALUE"""),60.0)</f>
        <v>60</v>
      </c>
      <c r="Y46" s="59">
        <f>IFERROR(__xludf.DUMMYFUNCTION("""COMPUTED_VALUE"""),4.0)</f>
        <v>4</v>
      </c>
      <c r="Z46" s="59">
        <f>IFERROR(__xludf.DUMMYFUNCTION("""COMPUTED_VALUE"""),0.0)</f>
        <v>0</v>
      </c>
      <c r="AA46" s="59">
        <f>IFERROR(__xludf.DUMMYFUNCTION("""COMPUTED_VALUE"""),0.0)</f>
        <v>0</v>
      </c>
      <c r="AB46" s="64">
        <f>IFERROR(__xludf.DUMMYFUNCTION("""COMPUTED_VALUE"""),6.0)</f>
        <v>6</v>
      </c>
      <c r="AC46" s="62">
        <f>IFERROR(__xludf.DUMMYFUNCTION("""COMPUTED_VALUE"""),6.6)</f>
        <v>6.6</v>
      </c>
      <c r="AD46" s="62">
        <f>IFERROR(__xludf.DUMMYFUNCTION("""COMPUTED_VALUE"""),50.7)</f>
        <v>50.7</v>
      </c>
      <c r="AE46" s="62">
        <f>IFERROR(__xludf.DUMMYFUNCTION("""COMPUTED_VALUE"""),16.9)</f>
        <v>16.9</v>
      </c>
      <c r="AF46" s="55"/>
      <c r="AG46" s="55"/>
      <c r="AH46" s="55"/>
      <c r="AI46" s="55"/>
      <c r="AJ46" s="55"/>
      <c r="AK46" s="55"/>
      <c r="AL46" s="55"/>
      <c r="AM46" s="55" t="str">
        <f>IFERROR(__xludf.DUMMYFUNCTION("""COMPUTED_VALUE"""),"#LP6H1LyA0IwWgS9NrIzKw6soFUWsCjKJXBKvRbeSAKkJZn4vCvAsRnlha8LWrtU=")</f>
        <v>#LP6H1LyA0IwWgS9NrIzKw6soFUWsCjKJXBKvRbeSAKkJZn4vCvAsRnlha8LWrtU=</v>
      </c>
      <c r="AN46" s="55"/>
      <c r="AO46" s="58" t="str">
        <f>IFERROR(__xludf.DUMMYFUNCTION("""COMPUTED_VALUE"""),"https://us.brand.joinbrands.com/job/687394")</f>
        <v>https://us.brand.joinbrands.com/job/687394</v>
      </c>
      <c r="AP46" s="55" t="str">
        <f>IFERROR(__xludf.DUMMYFUNCTION("""COMPUTED_VALUE"""),"NA")</f>
        <v>NA</v>
      </c>
      <c r="AQ46" s="55" t="str">
        <f>IFERROR(__xludf.DUMMYFUNCTION("""COMPUTED_VALUE"""),"#ad #vahdamcoffee @VAHDAM USA @target #ashwagandha")</f>
        <v>#ad #vahdamcoffee @VAHDAM USA @target #ashwagandha</v>
      </c>
      <c r="AR46" s="55" t="str">
        <f>IFERROR(__xludf.DUMMYFUNCTION("""COMPUTED_VALUE"""),"I asked which functional coffee at target actually works, and the answer surprised me.")</f>
        <v>I asked which functional coffee at target actually works, and the answer surprised me.</v>
      </c>
      <c r="AS46" s="55" t="str">
        <f>IFERROR(__xludf.DUMMYFUNCTION("""COMPUTED_VALUE"""),"In-Store / Target Discovery")</f>
        <v>In-Store / Target Discovery</v>
      </c>
      <c r="AT46" s="55" t="str">
        <f>IFERROR(__xludf.DUMMYFUNCTION("""COMPUTED_VALUE"""),"• Plus it has 200 mg L theanine, 100 mg curcumin from Turmeric, Linseman Chaga.
• And if you know me, you know that I have bought every functional coffee on target shelves to find the one that actually agrees with me.
• You see, coffee spikes my cortisol "&amp;"levels.
• So I wanted a coffee that actually helps me focus without the cortisol spike.")</f>
        <v>• Plus it has 200 mg L theanine, 100 mg curcumin from Turmeric, Linseman Chaga.
• And if you know me, you know that I have bought every functional coffee on target shelves to find the one that actually agrees with me.
• You see, coffee spikes my cortisol levels.
• So I wanted a coffee that actually helps me focus without the cortisol spike.</v>
      </c>
      <c r="AU46" s="55" t="str">
        <f>IFERROR(__xludf.DUMMYFUNCTION("""COMPUTED_VALUE"""),"It's available at target, online and in stores.")</f>
        <v>It's available at target, online and in stores.</v>
      </c>
      <c r="AV46" s="55" t="str">
        <f>IFERROR(__xludf.DUMMYFUNCTION("""COMPUTED_VALUE"""),"I asked which functional coffee at target actually works, and the answer surprised me. I love coffee. And if you know me, you know that I have bought every functional coffee on target shelves to find the one that actually agrees with me. You see, coffee s"&amp;"pikes my cortisol levels. Actually, it spikes everyone's cortisol levels. So I wanted a coffee that actually helps me focus without the cortisol spike. So I read labels. I tried every brand, rise, Everyday Dose, MUD, water. But none, not one, addressed co"&amp;"rtisol until I found this brand. This is the VAHDAM ashwagandha coffee. You may not know, but this coffee is very popular in the U K. In fact, it was the best seller on U K. TikTok. So I delve deeper. This is the only coffee in target that has the K S M66"&amp;" Ashwagandha in it. Yes, ashwagandha. But KSM-A66 is the patented form with the most clinical evidence. Studies show it reduces cortisol by 28%. Two cups, half your daily recommended dose. Plus it has 200 mg L theanine, 100 mg curcumin from Turmeric, Lins"&amp;"eman Chaga. I mean, I've been having this coffee for the last 15 days, and I can definitely feel a difference. It's subtle. My energy is stable. I'm not crashing at two PM. I mean, I think I finally found a coffee that loves me back. And I'm here for my s"&amp;"econd pack. This, my friends, is the best functional coffee on The shelf. Buy this and you can thank me later. It's available at target, online and in stores.")</f>
        <v>I asked which functional coffee at target actually works, and the answer surprised me. I love coffee. And if you know me, you know that I have bought every functional coffee on target shelves to find the one that actually agrees with me. You see, coffee spikes my cortisol levels. Actually, it spikes everyone's cortisol levels. So I wanted a coffee that actually helps me focus without the cortisol spike. So I read labels. I tried every brand, rise, Everyday Dose, MUD, water. But none, not one, addressed cortisol until I found this brand. This is the VAHDAM ashwagandha coffee. You may not know, but this coffee is very popular in the U K. In fact, it was the best seller on U K. TikTok. So I delve deeper. This is the only coffee in target that has the K S M66 Ashwagandha in it. Yes, ashwagandha. But KSM-A66 is the patented form with the most clinical evidence. Studies show it reduces cortisol by 28%. Two cups, half your daily recommended dose. Plus it has 200 mg L theanine, 100 mg curcumin from Turmeric, Linseman Chaga. I mean, I've been having this coffee for the last 15 days, and I can definitely feel a difference. It's subtle. My energy is stable. I'm not crashing at two PM. I mean, I think I finally found a coffee that loves me back. And I'm here for my second pack. This, my friends, is the best functional coffee on The shelf. Buy this and you can thank me later. It's available at target, online and in stores.</v>
      </c>
      <c r="AW46" s="35"/>
      <c r="AX46" s="35"/>
      <c r="AY46" s="35"/>
      <c r="AZ46" s="35"/>
      <c r="BA46" s="35"/>
      <c r="BB46" s="35"/>
      <c r="BC46" s="35"/>
      <c r="BD46" s="35"/>
      <c r="BE46" s="35"/>
      <c r="BF46" s="35"/>
      <c r="BG46" s="35"/>
    </row>
    <row r="47" ht="15.75" customHeight="1">
      <c r="A47" s="55" t="str">
        <f>IFERROR(__xludf.DUMMYFUNCTION("""COMPUTED_VALUE"""),"Tiktok")</f>
        <v>Tiktok</v>
      </c>
      <c r="B47" s="56">
        <f>IFERROR(__xludf.DUMMYFUNCTION("""COMPUTED_VALUE"""),46203.0)</f>
        <v>46203</v>
      </c>
      <c r="C47" s="55" t="str">
        <f>IFERROR(__xludf.DUMMYFUNCTION("""COMPUTED_VALUE"""),"June")</f>
        <v>June</v>
      </c>
      <c r="D47" s="58" t="str">
        <f>IFERROR(__xludf.DUMMYFUNCTION("""COMPUTED_VALUE"""),"https://www.tiktok.com/@morebalancetrng/video/7656869895551864077")</f>
        <v>https://www.tiktok.com/@morebalancetrng/video/7656869895551864077</v>
      </c>
      <c r="E47" s="55" t="str">
        <f>IFERROR(__xludf.DUMMYFUNCTION("""COMPUTED_VALUE"""),"@morebalancetrng")</f>
        <v>@morebalancetrng</v>
      </c>
      <c r="F47" s="55"/>
      <c r="G47" s="55" t="str">
        <f>IFERROR(__xludf.DUMMYFUNCTION("""COMPUTED_VALUE"""),"Countering Mushroom Coffee Trend")</f>
        <v>Countering Mushroom Coffee Trend</v>
      </c>
      <c r="H47" s="55"/>
      <c r="I47" s="55">
        <f>IFERROR(__xludf.DUMMYFUNCTION("""COMPUTED_VALUE"""),25.6)</f>
        <v>25.6</v>
      </c>
      <c r="J47" s="55" t="str">
        <f>IFERROR(__xludf.DUMMYFUNCTION("""COMPUTED_VALUE"""),"Consider")</f>
        <v>Consider</v>
      </c>
      <c r="K47" s="55" t="str">
        <f>IFERROR(__xludf.DUMMYFUNCTION("""COMPUTED_VALUE"""),"No")</f>
        <v>No</v>
      </c>
      <c r="L47" s="55" t="str">
        <f>IFERROR(__xludf.DUMMYFUNCTION("""COMPUTED_VALUE"""),"Score 25.6 nearing 30 threshold")</f>
        <v>Score 25.6 nearing 30 threshold</v>
      </c>
      <c r="M47" s="59" t="str">
        <f>IFERROR(__xludf.DUMMYFUNCTION("""COMPUTED_VALUE"""),"No Ad Data")</f>
        <v>No Ad Data</v>
      </c>
      <c r="N47" s="55"/>
      <c r="O47" s="55"/>
      <c r="P47" s="59">
        <f>IFERROR(__xludf.DUMMYFUNCTION("""COMPUTED_VALUE"""),59.0)</f>
        <v>59</v>
      </c>
      <c r="Q47" s="59">
        <f>IFERROR(__xludf.DUMMYFUNCTION("""COMPUTED_VALUE"""),2.0)</f>
        <v>2</v>
      </c>
      <c r="R47" s="59">
        <f>IFERROR(__xludf.DUMMYFUNCTION("""COMPUTED_VALUE"""),0.0)</f>
        <v>0</v>
      </c>
      <c r="S47" s="62">
        <f>IFERROR(__xludf.DUMMYFUNCTION("""COMPUTED_VALUE"""),52.0)</f>
        <v>52</v>
      </c>
      <c r="T47" s="62">
        <f>IFERROR(__xludf.DUMMYFUNCTION("""COMPUTED_VALUE"""),12.0)</f>
        <v>12</v>
      </c>
      <c r="U47" s="64">
        <f>IFERROR(__xludf.DUMMYFUNCTION("""COMPUTED_VALUE"""),5.0)</f>
        <v>5</v>
      </c>
      <c r="V47" s="62">
        <f>IFERROR(__xludf.DUMMYFUNCTION("""COMPUTED_VALUE"""),3.3)</f>
        <v>3.3</v>
      </c>
      <c r="W47" s="63">
        <f>IFERROR(__xludf.DUMMYFUNCTION("""COMPUTED_VALUE"""),117.58)</f>
        <v>117.58</v>
      </c>
      <c r="X47" s="59">
        <f>IFERROR(__xludf.DUMMYFUNCTION("""COMPUTED_VALUE"""),59.0)</f>
        <v>59</v>
      </c>
      <c r="Y47" s="59">
        <f>IFERROR(__xludf.DUMMYFUNCTION("""COMPUTED_VALUE"""),2.0)</f>
        <v>2</v>
      </c>
      <c r="Z47" s="59">
        <f>IFERROR(__xludf.DUMMYFUNCTION("""COMPUTED_VALUE"""),0.0)</f>
        <v>0</v>
      </c>
      <c r="AA47" s="59">
        <f>IFERROR(__xludf.DUMMYFUNCTION("""COMPUTED_VALUE"""),0.0)</f>
        <v>0</v>
      </c>
      <c r="AB47" s="64">
        <f>IFERROR(__xludf.DUMMYFUNCTION("""COMPUTED_VALUE"""),5.0)</f>
        <v>5</v>
      </c>
      <c r="AC47" s="62">
        <f>IFERROR(__xludf.DUMMYFUNCTION("""COMPUTED_VALUE"""),3.3)</f>
        <v>3.3</v>
      </c>
      <c r="AD47" s="62">
        <f>IFERROR(__xludf.DUMMYFUNCTION("""COMPUTED_VALUE"""),52.0)</f>
        <v>52</v>
      </c>
      <c r="AE47" s="62">
        <f>IFERROR(__xludf.DUMMYFUNCTION("""COMPUTED_VALUE"""),12.0)</f>
        <v>12</v>
      </c>
      <c r="AF47" s="55"/>
      <c r="AG47" s="55"/>
      <c r="AH47" s="55"/>
      <c r="AI47" s="55"/>
      <c r="AJ47" s="55"/>
      <c r="AK47" s="55"/>
      <c r="AL47" s="55"/>
      <c r="AM47" s="55" t="str">
        <f>IFERROR(__xludf.DUMMYFUNCTION("""COMPUTED_VALUE"""),"#47K/LR0gOVwtVKhI+X5LeRoyDTjNRs7SglfhxSQgvWDSMgtu1S3fUyEM+bG39Og=")</f>
        <v>#47K/LR0gOVwtVKhI+X5LeRoyDTjNRs7SglfhxSQgvWDSMgtu1S3fUyEM+bG39Og=</v>
      </c>
      <c r="AN47" s="55"/>
      <c r="AO47" s="55"/>
      <c r="AP47" s="55"/>
      <c r="AQ47" s="55"/>
      <c r="AR47" s="55" t="str">
        <f>IFERROR(__xludf.DUMMYFUNCTION("""COMPUTED_VALUE"""),"N/A")</f>
        <v>N/A</v>
      </c>
      <c r="AS47" s="55" t="str">
        <f>IFERROR(__xludf.DUMMYFUNCTION("""COMPUTED_VALUE"""),"N/A")</f>
        <v>N/A</v>
      </c>
      <c r="AT47" s="55" t="str">
        <f>IFERROR(__xludf.DUMMYFUNCTION("""COMPUTED_VALUE"""),"N/A")</f>
        <v>N/A</v>
      </c>
      <c r="AU47" s="55" t="str">
        <f>IFERROR(__xludf.DUMMYFUNCTION("""COMPUTED_VALUE"""),"N/A")</f>
        <v>N/A</v>
      </c>
      <c r="AV47" s="55"/>
      <c r="AW47" s="35"/>
      <c r="AX47" s="35"/>
      <c r="AY47" s="35"/>
      <c r="AZ47" s="35"/>
      <c r="BA47" s="35"/>
      <c r="BB47" s="35"/>
      <c r="BC47" s="35"/>
      <c r="BD47" s="35"/>
      <c r="BE47" s="35"/>
      <c r="BF47" s="35"/>
      <c r="BG47" s="35"/>
    </row>
    <row r="48" ht="15.75" customHeight="1">
      <c r="A48" s="55" t="str">
        <f>IFERROR(__xludf.DUMMYFUNCTION("""COMPUTED_VALUE"""),"Tiktok")</f>
        <v>Tiktok</v>
      </c>
      <c r="B48" s="56">
        <f>IFERROR(__xludf.DUMMYFUNCTION("""COMPUTED_VALUE"""),46192.0)</f>
        <v>46192</v>
      </c>
      <c r="C48" s="55" t="str">
        <f>IFERROR(__xludf.DUMMYFUNCTION("""COMPUTED_VALUE"""),"June")</f>
        <v>June</v>
      </c>
      <c r="D48" s="58" t="str">
        <f>IFERROR(__xludf.DUMMYFUNCTION("""COMPUTED_VALUE"""),"https://www.tiktok.com/@ugc_by_shalom/video/7653114258028268814")</f>
        <v>https://www.tiktok.com/@ugc_by_shalom/video/7653114258028268814</v>
      </c>
      <c r="E48" s="55" t="str">
        <f>IFERROR(__xludf.DUMMYFUNCTION("""COMPUTED_VALUE"""),"@ugc_by_shalom")</f>
        <v>@ugc_by_shalom</v>
      </c>
      <c r="F48" s="55" t="str">
        <f>IFERROR(__xludf.DUMMYFUNCTION("""COMPUTED_VALUE"""),"Dayana Silva")</f>
        <v>Dayana Silva</v>
      </c>
      <c r="G48" s="55" t="str">
        <f>IFERROR(__xludf.DUMMYFUNCTION("""COMPUTED_VALUE"""),"Cortisol")</f>
        <v>Cortisol</v>
      </c>
      <c r="H48" s="55">
        <f>IFERROR(__xludf.DUMMYFUNCTION("""COMPUTED_VALUE"""),54.0)</f>
        <v>54</v>
      </c>
      <c r="I48" s="55">
        <f>IFERROR(__xludf.DUMMYFUNCTION("""COMPUTED_VALUE"""),27.7)</f>
        <v>27.7</v>
      </c>
      <c r="J48" s="55" t="str">
        <f>IFERROR(__xludf.DUMMYFUNCTION("""COMPUTED_VALUE"""),"Consider")</f>
        <v>Consider</v>
      </c>
      <c r="K48" s="55" t="str">
        <f>IFERROR(__xludf.DUMMYFUNCTION("""COMPUTED_VALUE"""),"No")</f>
        <v>No</v>
      </c>
      <c r="L48" s="55" t="str">
        <f>IFERROR(__xludf.DUMMYFUNCTION("""COMPUTED_VALUE"""),"Score 27.6 nearing 30 threshold")</f>
        <v>Score 27.6 nearing 30 threshold</v>
      </c>
      <c r="M48" s="59" t="str">
        <f>IFERROR(__xludf.DUMMYFUNCTION("""COMPUTED_VALUE"""),"No Ad Data")</f>
        <v>No Ad Data</v>
      </c>
      <c r="N48" s="55"/>
      <c r="O48" s="55"/>
      <c r="P48" s="59">
        <f>IFERROR(__xludf.DUMMYFUNCTION("""COMPUTED_VALUE"""),57.0)</f>
        <v>57</v>
      </c>
      <c r="Q48" s="59">
        <f>IFERROR(__xludf.DUMMYFUNCTION("""COMPUTED_VALUE"""),2.0)</f>
        <v>2</v>
      </c>
      <c r="R48" s="59">
        <f>IFERROR(__xludf.DUMMYFUNCTION("""COMPUTED_VALUE"""),0.0)</f>
        <v>0</v>
      </c>
      <c r="S48" s="62">
        <f>IFERROR(__xludf.DUMMYFUNCTION("""COMPUTED_VALUE"""),38.8)</f>
        <v>38.8</v>
      </c>
      <c r="T48" s="62">
        <f>IFERROR(__xludf.DUMMYFUNCTION("""COMPUTED_VALUE"""),16.6)</f>
        <v>16.6</v>
      </c>
      <c r="U48" s="64">
        <f>IFERROR(__xludf.DUMMYFUNCTION("""COMPUTED_VALUE"""),6.0)</f>
        <v>6</v>
      </c>
      <c r="V48" s="62">
        <f>IFERROR(__xludf.DUMMYFUNCTION("""COMPUTED_VALUE"""),3.5)</f>
        <v>3.5</v>
      </c>
      <c r="W48" s="63">
        <f>IFERROR(__xludf.DUMMYFUNCTION("""COMPUTED_VALUE"""),117.58)</f>
        <v>117.58</v>
      </c>
      <c r="X48" s="59">
        <f>IFERROR(__xludf.DUMMYFUNCTION("""COMPUTED_VALUE"""),57.0)</f>
        <v>57</v>
      </c>
      <c r="Y48" s="59">
        <f>IFERROR(__xludf.DUMMYFUNCTION("""COMPUTED_VALUE"""),2.0)</f>
        <v>2</v>
      </c>
      <c r="Z48" s="59">
        <f>IFERROR(__xludf.DUMMYFUNCTION("""COMPUTED_VALUE"""),0.0)</f>
        <v>0</v>
      </c>
      <c r="AA48" s="59">
        <f>IFERROR(__xludf.DUMMYFUNCTION("""COMPUTED_VALUE"""),0.0)</f>
        <v>0</v>
      </c>
      <c r="AB48" s="64">
        <f>IFERROR(__xludf.DUMMYFUNCTION("""COMPUTED_VALUE"""),6.0)</f>
        <v>6</v>
      </c>
      <c r="AC48" s="62">
        <f>IFERROR(__xludf.DUMMYFUNCTION("""COMPUTED_VALUE"""),3.5)</f>
        <v>3.5</v>
      </c>
      <c r="AD48" s="62">
        <f>IFERROR(__xludf.DUMMYFUNCTION("""COMPUTED_VALUE"""),38.8)</f>
        <v>38.8</v>
      </c>
      <c r="AE48" s="62">
        <f>IFERROR(__xludf.DUMMYFUNCTION("""COMPUTED_VALUE"""),16.6)</f>
        <v>16.6</v>
      </c>
      <c r="AF48" s="55"/>
      <c r="AG48" s="55"/>
      <c r="AH48" s="55"/>
      <c r="AI48" s="55"/>
      <c r="AJ48" s="55"/>
      <c r="AK48" s="55"/>
      <c r="AL48" s="55"/>
      <c r="AM48" s="55" t="str">
        <f>IFERROR(__xludf.DUMMYFUNCTION("""COMPUTED_VALUE"""),"#5wWB+wMmX+IXAwmOO8XvNPrPHzUQEv7zVf92zQ56YvuKVqQI/FhxRQl10m4ifhA=")</f>
        <v>#5wWB+wMmX+IXAwmOO8XvNPrPHzUQEv7zVf92zQ56YvuKVqQI/FhxRQl10m4ifhA=</v>
      </c>
      <c r="AN48" s="55"/>
      <c r="AO48" s="58" t="str">
        <f>IFERROR(__xludf.DUMMYFUNCTION("""COMPUTED_VALUE"""),"https://us.brand.joinbrands.com/job/689642")</f>
        <v>https://us.brand.joinbrands.com/job/689642</v>
      </c>
      <c r="AP48" s="55" t="str">
        <f>IFERROR(__xludf.DUMMYFUNCTION("""COMPUTED_VALUE"""),"Not english")</f>
        <v>Not english</v>
      </c>
      <c r="AQ48" s="55" t="str">
        <f>IFERROR(__xludf.DUMMYFUNCTION("""COMPUTED_VALUE"""),"Tan delicioso como el cafÃ© regular pero cargado de bienestar @VAHDAM USA @target #wellnescoffee #ashwagandhacoffee#coffee#viralCoffee")</f>
        <v>Tan delicioso como el cafÃ© regular pero cargado de bienestar @VAHDAM USA @target #wellnescoffee #ashwagandhacoffee#coffee#viralCoffee</v>
      </c>
      <c r="AR48" s="55" t="str">
        <f>IFERROR(__xludf.DUMMYFUNCTION("""COMPUTED_VALUE"""),"Fun fact, only in the united states the seventy percent of women in their forties to sixties already consumes coffee daily and sixty percent consumes ...")</f>
        <v>Fun fact, only in the united states the seventy percent of women in their forties to sixties already consumes coffee daily and sixty percent consumes ...</v>
      </c>
      <c r="AS48" s="55" t="str">
        <f>IFERROR(__xludf.DUMMYFUNCTION("""COMPUTED_VALUE"""),"General / Lifestyle")</f>
        <v>General / Lifestyle</v>
      </c>
      <c r="AT48" s="55" t="str">
        <f>IFERROR(__xludf.DUMMYFUNCTION("""COMPUTED_VALUE"""),"• Lion and chad mane mushrooms, which are functional fungi used in all modern wellness routines because they favor concentration and cognition and it is one hundred percent Arabica coffee, no weird flavors.
• Turmeric with ninety-five percent curcuminoids"&amp;" to reduce inflammation, anine gels to keep us a little calmer, relaxed and to promote sleep quality.
• We know that after the age of forty we need simple improvements, avoid energy collapses, control swelling and weight and.
• It contains five key ingred"&amp;"ients for wellness.")</f>
        <v>• Lion and chad mane mushrooms, which are functional fungi used in all modern wellness routines because they favor concentration and cognition and it is one hundred percent Arabica coffee, no weird flavors.
• Turmeric with ninety-five percent curcuminoids to reduce inflammation, anine gels to keep us a little calmer, relaxed and to promote sleep quality.
• We know that after the age of forty we need simple improvements, avoid energy collapses, control swelling and weight and.
• It contains five key ingredients for wellness.</v>
      </c>
      <c r="AU48" s="55" t="str">
        <f>IFERROR(__xludf.DUMMYFUNCTION("""COMPUTED_VALUE"""),"Now launched nationwide in targeting")</f>
        <v>Now launched nationwide in targeting</v>
      </c>
      <c r="AV48" s="55" t="str">
        <f>IFERROR(__xludf.DUMMYFUNCTION("""COMPUTED_VALUE"""),"Fun fact, only in the united states the seventy percent of women in their forties to sixties already consumes coffee daily and sixty percent consumes wellness supplements. We know that after the age of forty we need simple improvements, avoid energy colla"&amp;"pses, control swelling and weight and. Batoma shuagan dakofi is a pioneering solution innovative in the market. It contains five key ingredients for wellness. Scientifically proven yoaganda that reduces cortisol by twenty-eight percent in just eight weeks"&amp;". Turmeric with ninety-five percent curcuminoids to reduce inflammation, anine gels to keep us a little calmer, relaxed and to promote sleep quality. Lion and chad mane mushrooms, which are functional fungi used in all modern wellness routines because the"&amp;"y favor concentration and cognition and it is one hundred percent Arabica coffee, no weird flavors. Now launched nationwide in targeting")</f>
        <v>Fun fact, only in the united states the seventy percent of women in their forties to sixties already consumes coffee daily and sixty percent consumes wellness supplements. We know that after the age of forty we need simple improvements, avoid energy collapses, control swelling and weight and. Batoma shuagan dakofi is a pioneering solution innovative in the market. It contains five key ingredients for wellness. Scientifically proven yoaganda that reduces cortisol by twenty-eight percent in just eight weeks. Turmeric with ninety-five percent curcuminoids to reduce inflammation, anine gels to keep us a little calmer, relaxed and to promote sleep quality. Lion and chad mane mushrooms, which are functional fungi used in all modern wellness routines because they favor concentration and cognition and it is one hundred percent Arabica coffee, no weird flavors. Now launched nationwide in targeting</v>
      </c>
      <c r="AW48" s="35"/>
      <c r="AX48" s="35"/>
      <c r="AY48" s="35"/>
      <c r="AZ48" s="35"/>
      <c r="BA48" s="35"/>
      <c r="BB48" s="35"/>
      <c r="BC48" s="35"/>
      <c r="BD48" s="35"/>
      <c r="BE48" s="35"/>
      <c r="BF48" s="35"/>
      <c r="BG48" s="35"/>
    </row>
    <row r="49" ht="15.75" customHeight="1">
      <c r="A49" s="55" t="str">
        <f>IFERROR(__xludf.DUMMYFUNCTION("""COMPUTED_VALUE"""),"Instagram")</f>
        <v>Instagram</v>
      </c>
      <c r="B49" s="56">
        <f>IFERROR(__xludf.DUMMYFUNCTION("""COMPUTED_VALUE"""),46198.0)</f>
        <v>46198</v>
      </c>
      <c r="C49" s="55" t="str">
        <f>IFERROR(__xludf.DUMMYFUNCTION("""COMPUTED_VALUE"""),"June")</f>
        <v>June</v>
      </c>
      <c r="D49" s="58" t="str">
        <f>IFERROR(__xludf.DUMMYFUNCTION("""COMPUTED_VALUE"""),"https://www.instagram.com/reel/DZ_tIgiobov/")</f>
        <v>https://www.instagram.com/reel/DZ_tIgiobov/</v>
      </c>
      <c r="E49" s="55" t="str">
        <f>IFERROR(__xludf.DUMMYFUNCTION("""COMPUTED_VALUE"""),"@na")</f>
        <v>@na</v>
      </c>
      <c r="F49" s="55" t="str">
        <f>IFERROR(__xludf.DUMMYFUNCTION("""COMPUTED_VALUE"""),"NA")</f>
        <v>NA</v>
      </c>
      <c r="G49" s="55" t="str">
        <f>IFERROR(__xludf.DUMMYFUNCTION("""COMPUTED_VALUE"""),"Gummies vs Coffee")</f>
        <v>Gummies vs Coffee</v>
      </c>
      <c r="H49" s="55">
        <f>IFERROR(__xludf.DUMMYFUNCTION("""COMPUTED_VALUE"""),46.0)</f>
        <v>46</v>
      </c>
      <c r="I49" s="55">
        <f>IFERROR(__xludf.DUMMYFUNCTION("""COMPUTED_VALUE"""),11.3)</f>
        <v>11.3</v>
      </c>
      <c r="J49" s="55" t="str">
        <f>IFERROR(__xludf.DUMMYFUNCTION("""COMPUTED_VALUE"""),"Consider")</f>
        <v>Consider</v>
      </c>
      <c r="K49" s="55" t="str">
        <f>IFERROR(__xludf.DUMMYFUNCTION("""COMPUTED_VALUE"""),"No")</f>
        <v>No</v>
      </c>
      <c r="L49" s="55" t="str">
        <f>IFERROR(__xludf.DUMMYFUNCTION("""COMPUTED_VALUE"""),"Like rate 7.1% — strong engagement signal")</f>
        <v>Like rate 7.1% — strong engagement signal</v>
      </c>
      <c r="M49" s="59" t="str">
        <f>IFERROR(__xludf.DUMMYFUNCTION("""COMPUTED_VALUE"""),"No Ad Data")</f>
        <v>No Ad Data</v>
      </c>
      <c r="N49" s="55"/>
      <c r="O49" s="55"/>
      <c r="P49" s="59">
        <f>IFERROR(__xludf.DUMMYFUNCTION("""COMPUTED_VALUE"""),56.0)</f>
        <v>56</v>
      </c>
      <c r="Q49" s="59">
        <f>IFERROR(__xludf.DUMMYFUNCTION("""COMPUTED_VALUE"""),4.0)</f>
        <v>4</v>
      </c>
      <c r="R49" s="59">
        <f>IFERROR(__xludf.DUMMYFUNCTION("""COMPUTED_VALUE"""),0.0)</f>
        <v>0</v>
      </c>
      <c r="S49" s="55"/>
      <c r="T49" s="68">
        <f>IFERROR(__xludf.DUMMYFUNCTION("""COMPUTED_VALUE"""),0.0)</f>
        <v>0</v>
      </c>
      <c r="U49" s="55"/>
      <c r="V49" s="62">
        <f>IFERROR(__xludf.DUMMYFUNCTION("""COMPUTED_VALUE"""),0.0)</f>
        <v>0</v>
      </c>
      <c r="W49" s="63">
        <f>IFERROR(__xludf.DUMMYFUNCTION("""COMPUTED_VALUE"""),72.99)</f>
        <v>72.99</v>
      </c>
      <c r="X49" s="59">
        <f>IFERROR(__xludf.DUMMYFUNCTION("""COMPUTED_VALUE"""),56.0)</f>
        <v>56</v>
      </c>
      <c r="Y49" s="59">
        <f>IFERROR(__xludf.DUMMYFUNCTION("""COMPUTED_VALUE"""),4.0)</f>
        <v>4</v>
      </c>
      <c r="Z49" s="59">
        <f>IFERROR(__xludf.DUMMYFUNCTION("""COMPUTED_VALUE"""),0.0)</f>
        <v>0</v>
      </c>
      <c r="AA49" s="59">
        <f>IFERROR(__xludf.DUMMYFUNCTION("""COMPUTED_VALUE"""),0.0)</f>
        <v>0</v>
      </c>
      <c r="AB49" s="64">
        <f>IFERROR(__xludf.DUMMYFUNCTION("""COMPUTED_VALUE"""),0.0)</f>
        <v>0</v>
      </c>
      <c r="AC49" s="62">
        <f>IFERROR(__xludf.DUMMYFUNCTION("""COMPUTED_VALUE"""),0.0)</f>
        <v>0</v>
      </c>
      <c r="AD49" s="62">
        <f>IFERROR(__xludf.DUMMYFUNCTION("""COMPUTED_VALUE"""),0.0)</f>
        <v>0</v>
      </c>
      <c r="AE49" s="62">
        <f>IFERROR(__xludf.DUMMYFUNCTION("""COMPUTED_VALUE"""),0.0)</f>
        <v>0</v>
      </c>
      <c r="AF49" s="55"/>
      <c r="AG49" s="55"/>
      <c r="AH49" s="55"/>
      <c r="AI49" s="55"/>
      <c r="AJ49" s="55"/>
      <c r="AK49" s="55"/>
      <c r="AL49" s="55"/>
      <c r="AM49" s="55" t="str">
        <f>IFERROR(__xludf.DUMMYFUNCTION("""COMPUTED_VALUE"""),"Q9jTBBWLH9Eprj-ud7CFyIJX0poLz-Bz6aYXG5J70meZieX-WK7cdlr8c2ozPthd0A")</f>
        <v>Q9jTBBWLH9Eprj-ud7CFyIJX0poLz-Bz6aYXG5J70meZieX-WK7cdlr8c2ozPthd0A</v>
      </c>
      <c r="AN49" s="55"/>
      <c r="AO49" s="55" t="str">
        <f>IFERROR(__xludf.DUMMYFUNCTION("""COMPUTED_VALUE"""),"NA")</f>
        <v>NA</v>
      </c>
      <c r="AP49" s="55" t="str">
        <f>IFERROR(__xludf.DUMMYFUNCTION("""COMPUTED_VALUE"""),"NA")</f>
        <v>NA</v>
      </c>
      <c r="AQ49" s="55" t="str">
        <f>IFERROR(__xludf.DUMMYFUNCTION("""COMPUTED_VALUE"""),"NA")</f>
        <v>NA</v>
      </c>
      <c r="AR49" s="55" t="str">
        <f>IFERROR(__xludf.DUMMYFUNCTION("""COMPUTED_VALUE"""),"can we be honest i don't need one more thing to remember every morning as a busy mama flight
  attendant i've tried plenty of wellness products over t...")</f>
        <v>can we be honest i don't need one more thing to remember every morning as a busy mama flight
  attendant i've tried plenty of wellness products over t...</v>
      </c>
      <c r="AS49" s="55" t="str">
        <f>IFERROR(__xludf.DUMMYFUNCTION("""COMPUTED_VALUE"""),"Personal Discovery")</f>
        <v>Personal Discovery</v>
      </c>
      <c r="AT49" s="55" t="str">
        <f>IFERROR(__xludf.DUMMYFUNCTION("""COMPUTED_VALUE"""),"• can we be honest i don't need one more thing to remember every morning as a busy mama flight
  attendant i've tried plenty of wellness products over the years but the problem isn't finding
  supplements the problem is remembering to take all of them con"&amp;"sistently and if there's one thing i
  never skipped is my morning coffee that's why vodham ashwagandha coffee caught my attention
  it combines coffee with ksm 66 ashwagandha numeric eltheanian lion's mane and chaga mushrooms all in
  one cup so instead "&amp;"of adding another step to my morning routine it's built right into something
  i already do every day honestly what surprised me most is that it actually tastes like coffee
  not like a wellness drink trying to be coffee just good coffee for me it's less "&amp;"about adding
  another supplement and more about simplifying my mornings you can find vodham ashwagandha coffee
  at target stores nationwide or at target.com")</f>
        <v>• can we be honest i don't need one more thing to remember every morning as a busy mama flight
  attendant i've tried plenty of wellness products over the years but the problem isn't finding
  supplements the problem is remembering to take all of them consistently and if there's one thing i
  never skipped is my morning coffee that's why vodham ashwagandha coffee caught my attention
  it combines coffee with ksm 66 ashwagandha numeric eltheanian lion's mane and chaga mushrooms all in
  one cup so instead of adding another step to my morning routine it's built right into something
  i already do every day honestly what surprised me most is that it actually tastes like coffee
  not like a wellness drink trying to be coffee just good coffee for me it's less about adding
  another supplement and more about simplifying my mornings you can find vodham ashwagandha coffee
  at target stores nationwide or at target.com</v>
      </c>
      <c r="AU49" s="55" t="str">
        <f>IFERROR(__xludf.DUMMYFUNCTION("""COMPUTED_VALUE"""),"can we be honest i don't need one more thing to remember every morning as a busy mama flight
  attendant i've tried plenty of wellness products over the years but the problem isn't finding
  supplemen...")</f>
        <v>can we be honest i don't need one more thing to remember every morning as a busy mama flight
  attendant i've tried plenty of wellness products over the years but the problem isn't finding
  supplemen...</v>
      </c>
      <c r="AV49" s="55" t="str">
        <f>IFERROR(__xludf.DUMMYFUNCTION("""COMPUTED_VALUE"""),"can we be honest i don't need one more thing to remember every morning as a busy mama flight
  attendant i've tried plenty of wellness products over the years but the problem isn't finding
  supplements the problem is remembering to take all of them consi"&amp;"stently and if there's one thing i
  never skipped is my morning coffee that's why vodham ashwagandha coffee caught my attention
  it combines coffee with ksm 66 ashwagandha numeric eltheanian lion's mane and chaga mushrooms all in
  one cup so instead of"&amp;" adding another step to my morning routine it's built right into something
  i already do every day honestly what surprised me most is that it actually tastes like coffee
  not like a wellness drink trying to be coffee just good coffee for me it's less ab"&amp;"out adding
  another supplement and more about simplifying my mornings you can find vodham ashwagandha coffee
  at target stores nationwide or at target.com")</f>
        <v>can we be honest i don't need one more thing to remember every morning as a busy mama flight
  attendant i've tried plenty of wellness products over the years but the problem isn't finding
  supplements the problem is remembering to take all of them consistently and if there's one thing i
  never skipped is my morning coffee that's why vodham ashwagandha coffee caught my attention
  it combines coffee with ksm 66 ashwagandha numeric eltheanian lion's mane and chaga mushrooms all in
  one cup so instead of adding another step to my morning routine it's built right into something
  i already do every day honestly what surprised me most is that it actually tastes like coffee
  not like a wellness drink trying to be coffee just good coffee for me it's less about adding
  another supplement and more about simplifying my mornings you can find vodham ashwagandha coffee
  at target stores nationwide or at target.com</v>
      </c>
      <c r="AW49" s="35"/>
      <c r="AX49" s="35"/>
      <c r="AY49" s="35"/>
      <c r="AZ49" s="35"/>
      <c r="BA49" s="35"/>
      <c r="BB49" s="35"/>
      <c r="BC49" s="35"/>
      <c r="BD49" s="35"/>
      <c r="BE49" s="35"/>
      <c r="BF49" s="35"/>
      <c r="BG49" s="35"/>
    </row>
    <row r="50" ht="15.75" customHeight="1">
      <c r="A50" s="55" t="str">
        <f>IFERROR(__xludf.DUMMYFUNCTION("""COMPUTED_VALUE"""),"Instagram")</f>
        <v>Instagram</v>
      </c>
      <c r="B50" s="56">
        <f>IFERROR(__xludf.DUMMYFUNCTION("""COMPUTED_VALUE"""),46203.0)</f>
        <v>46203</v>
      </c>
      <c r="C50" s="55" t="str">
        <f>IFERROR(__xludf.DUMMYFUNCTION("""COMPUTED_VALUE"""),"June")</f>
        <v>June</v>
      </c>
      <c r="D50" s="58" t="str">
        <f>IFERROR(__xludf.DUMMYFUNCTION("""COMPUTED_VALUE"""),"https://www.instagram.com/reel/DaKouqFxvk8/")</f>
        <v>https://www.instagram.com/reel/DaKouqFxvk8/</v>
      </c>
      <c r="E50" s="55" t="str">
        <f>IFERROR(__xludf.DUMMYFUNCTION("""COMPUTED_VALUE"""),"denisebishop0824")</f>
        <v>denisebishop0824</v>
      </c>
      <c r="F50" s="55"/>
      <c r="G50" s="55" t="str">
        <f>IFERROR(__xludf.DUMMYFUNCTION("""COMPUTED_VALUE"""),"Gummies vs Coffee")</f>
        <v>Gummies vs Coffee</v>
      </c>
      <c r="H50" s="55"/>
      <c r="I50" s="55">
        <f>IFERROR(__xludf.DUMMYFUNCTION("""COMPUTED_VALUE"""),10.6)</f>
        <v>10.6</v>
      </c>
      <c r="J50" s="55" t="str">
        <f>IFERROR(__xludf.DUMMYFUNCTION("""COMPUTED_VALUE"""),"Consider")</f>
        <v>Consider</v>
      </c>
      <c r="K50" s="55" t="str">
        <f>IFERROR(__xludf.DUMMYFUNCTION("""COMPUTED_VALUE"""),"No")</f>
        <v>No</v>
      </c>
      <c r="L50" s="55" t="str">
        <f>IFERROR(__xludf.DUMMYFUNCTION("""COMPUTED_VALUE"""),"Like rate 5.5% — strong engagement signal")</f>
        <v>Like rate 5.5% — strong engagement signal</v>
      </c>
      <c r="M50" s="59" t="str">
        <f>IFERROR(__xludf.DUMMYFUNCTION("""COMPUTED_VALUE"""),"No Ad Data")</f>
        <v>No Ad Data</v>
      </c>
      <c r="N50" s="55"/>
      <c r="O50" s="55"/>
      <c r="P50" s="59">
        <f>IFERROR(__xludf.DUMMYFUNCTION("""COMPUTED_VALUE"""),55.0)</f>
        <v>55</v>
      </c>
      <c r="Q50" s="59">
        <f>IFERROR(__xludf.DUMMYFUNCTION("""COMPUTED_VALUE"""),3.0)</f>
        <v>3</v>
      </c>
      <c r="R50" s="55"/>
      <c r="S50" s="55"/>
      <c r="T50" s="55"/>
      <c r="U50" s="55"/>
      <c r="V50" s="55"/>
      <c r="W50" s="63">
        <f>IFERROR(__xludf.DUMMYFUNCTION("""COMPUTED_VALUE"""),72.99)</f>
        <v>72.99</v>
      </c>
      <c r="X50" s="59">
        <f>IFERROR(__xludf.DUMMYFUNCTION("""COMPUTED_VALUE"""),55.0)</f>
        <v>55</v>
      </c>
      <c r="Y50" s="59">
        <f>IFERROR(__xludf.DUMMYFUNCTION("""COMPUTED_VALUE"""),3.0)</f>
        <v>3</v>
      </c>
      <c r="Z50" s="55"/>
      <c r="AA50" s="55"/>
      <c r="AB50" s="55"/>
      <c r="AC50" s="55"/>
      <c r="AD50" s="55"/>
      <c r="AE50" s="55"/>
      <c r="AF50" s="55"/>
      <c r="AG50" s="55"/>
      <c r="AH50" s="55"/>
      <c r="AI50" s="55"/>
      <c r="AJ50" s="55"/>
      <c r="AK50" s="55"/>
      <c r="AL50" s="55"/>
      <c r="AM50" s="55" t="str">
        <f>IFERROR(__xludf.DUMMYFUNCTION("""COMPUTED_VALUE"""),"Q9jTBBWjiEr1wgArP1-g1yhYNx3cl805S0ae9bW16UXlbALk0tzya7IUyN_pqBil3QM")</f>
        <v>Q9jTBBWjiEr1wgArP1-g1yhYNx3cl805S0ae9bW16UXlbALk0tzya7IUyN_pqBil3QM</v>
      </c>
      <c r="AN50" s="55"/>
      <c r="AO50" s="55"/>
      <c r="AP50" s="55"/>
      <c r="AQ50" s="55" t="str">
        <f>IFERROR(__xludf.DUMMYFUNCTION("""COMPUTED_VALUE"""),"@vahdamusa @target")</f>
        <v>@vahdamusa @target</v>
      </c>
      <c r="AR50" s="55" t="str">
        <f>IFERROR(__xludf.DUMMYFUNCTION("""COMPUTED_VALUE"""),"Oh, I keep forgetting to take these. I was taking my ashwagandha gummies whenever I remembered, but I never forgot my coffee in the mornings.")</f>
        <v>Oh, I keep forgetting to take these. I was taking my ashwagandha gummies whenever I remembered, but I never forgot my coffee in the mornings.</v>
      </c>
      <c r="AS50" s="55" t="str">
        <f>IFERROR(__xludf.DUMMYFUNCTION("""COMPUTED_VALUE"""),"Comparison")</f>
        <v>Comparison</v>
      </c>
      <c r="AT50" s="55" t="str">
        <f>IFERROR(__xludf.DUMMYFUNCTION("""COMPUTED_VALUE"""),"• Product introduced early (sentence 2)
• Benefits and product features discussed
• CTA: ""And it's an easy pickup at Target or Target.com.""")</f>
        <v>• Product introduced early (sentence 2)
• Benefits and product features discussed
• CTA: "And it's an easy pickup at Target or Target.com."</v>
      </c>
      <c r="AU50" s="55" t="str">
        <f>IFERROR(__xludf.DUMMYFUNCTION("""COMPUTED_VALUE"""),"And it's an easy pickup at Target or Target.com.")</f>
        <v>And it's an easy pickup at Target or Target.com.</v>
      </c>
      <c r="AV50" s="55" t="str">
        <f>IFERROR(__xludf.DUMMYFUNCTION("""COMPUTED_VALUE"""),"Oh, I keep forgetting to take these. I was taking my ashwagandha gummies whenever I remembered, but I never forgot my coffee in the mornings. So when I found this bottom ashwagandha coffee at Target, I had to give it a try. It has KSM 66 ashwagandha, lion"&amp;"'s mane, plus turmeric, L-thionine, and chocolate mushrooms. And you just use one little scoop. And honestly, I felt silly not figuring this out sooner. I didn't need another supplement or another habit. I just needed a better version of something I alrea"&amp;"dy do every morning. And the best part, it actually tastes like delicious regular coffee. And it's an easy pickup at Target or Target.com.")</f>
        <v>Oh, I keep forgetting to take these. I was taking my ashwagandha gummies whenever I remembered, but I never forgot my coffee in the mornings. So when I found this bottom ashwagandha coffee at Target, I had to give it a try. It has KSM 66 ashwagandha, lion's mane, plus turmeric, L-thionine, and chocolate mushrooms. And you just use one little scoop. And honestly, I felt silly not figuring this out sooner. I didn't need another supplement or another habit. I just needed a better version of something I already do every morning. And the best part, it actually tastes like delicious regular coffee. And it's an easy pickup at Target or Target.com.</v>
      </c>
      <c r="AW50" s="35"/>
      <c r="AX50" s="35"/>
      <c r="AY50" s="35"/>
      <c r="AZ50" s="35"/>
      <c r="BA50" s="35"/>
      <c r="BB50" s="35"/>
      <c r="BC50" s="35"/>
      <c r="BD50" s="35"/>
      <c r="BE50" s="35"/>
      <c r="BF50" s="35"/>
      <c r="BG50" s="35"/>
    </row>
    <row r="51" ht="15.75" customHeight="1">
      <c r="A51" s="55" t="str">
        <f>IFERROR(__xludf.DUMMYFUNCTION("""COMPUTED_VALUE"""),"Instagram")</f>
        <v>Instagram</v>
      </c>
      <c r="B51" s="56">
        <f>IFERROR(__xludf.DUMMYFUNCTION("""COMPUTED_VALUE"""),46198.0)</f>
        <v>46198</v>
      </c>
      <c r="C51" s="55" t="str">
        <f>IFERROR(__xludf.DUMMYFUNCTION("""COMPUTED_VALUE"""),"June")</f>
        <v>June</v>
      </c>
      <c r="D51" s="58" t="str">
        <f>IFERROR(__xludf.DUMMYFUNCTION("""COMPUTED_VALUE"""),"https://www.instagram.com/reel/DZ_lOxDMRh9/")</f>
        <v>https://www.instagram.com/reel/DZ_lOxDMRh9/</v>
      </c>
      <c r="E51" s="55" t="str">
        <f>IFERROR(__xludf.DUMMYFUNCTION("""COMPUTED_VALUE"""),"@na")</f>
        <v>@na</v>
      </c>
      <c r="F51" s="55" t="str">
        <f>IFERROR(__xludf.DUMMYFUNCTION("""COMPUTED_VALUE"""),"NA")</f>
        <v>NA</v>
      </c>
      <c r="G51" s="55" t="str">
        <f>IFERROR(__xludf.DUMMYFUNCTION("""COMPUTED_VALUE"""),"Taste")</f>
        <v>Taste</v>
      </c>
      <c r="H51" s="55">
        <f>IFERROR(__xludf.DUMMYFUNCTION("""COMPUTED_VALUE"""),25.0)</f>
        <v>25</v>
      </c>
      <c r="I51" s="55">
        <f>IFERROR(__xludf.DUMMYFUNCTION("""COMPUTED_VALUE"""),11.6)</f>
        <v>11.6</v>
      </c>
      <c r="J51" s="55" t="str">
        <f>IFERROR(__xludf.DUMMYFUNCTION("""COMPUTED_VALUE"""),"Consider")</f>
        <v>Consider</v>
      </c>
      <c r="K51" s="55" t="str">
        <f>IFERROR(__xludf.DUMMYFUNCTION("""COMPUTED_VALUE"""),"No")</f>
        <v>No</v>
      </c>
      <c r="L51" s="55" t="str">
        <f>IFERROR(__xludf.DUMMYFUNCTION("""COMPUTED_VALUE"""),"Like rate 6.0% — strong engagement signal")</f>
        <v>Like rate 6.0% — strong engagement signal</v>
      </c>
      <c r="M51" s="59" t="str">
        <f>IFERROR(__xludf.DUMMYFUNCTION("""COMPUTED_VALUE"""),"No Ad Data")</f>
        <v>No Ad Data</v>
      </c>
      <c r="N51" s="55"/>
      <c r="O51" s="55"/>
      <c r="P51" s="59">
        <f>IFERROR(__xludf.DUMMYFUNCTION("""COMPUTED_VALUE"""),50.0)</f>
        <v>50</v>
      </c>
      <c r="Q51" s="59">
        <f>IFERROR(__xludf.DUMMYFUNCTION("""COMPUTED_VALUE"""),3.0)</f>
        <v>3</v>
      </c>
      <c r="R51" s="59">
        <f>IFERROR(__xludf.DUMMYFUNCTION("""COMPUTED_VALUE"""),1.0)</f>
        <v>1</v>
      </c>
      <c r="S51" s="55"/>
      <c r="T51" s="68">
        <f>IFERROR(__xludf.DUMMYFUNCTION("""COMPUTED_VALUE"""),0.0)</f>
        <v>0</v>
      </c>
      <c r="U51" s="55"/>
      <c r="V51" s="62">
        <f>IFERROR(__xludf.DUMMYFUNCTION("""COMPUTED_VALUE"""),0.0)</f>
        <v>0</v>
      </c>
      <c r="W51" s="63">
        <f>IFERROR(__xludf.DUMMYFUNCTION("""COMPUTED_VALUE"""),117.58)</f>
        <v>117.58</v>
      </c>
      <c r="X51" s="59">
        <f>IFERROR(__xludf.DUMMYFUNCTION("""COMPUTED_VALUE"""),50.0)</f>
        <v>50</v>
      </c>
      <c r="Y51" s="59">
        <f>IFERROR(__xludf.DUMMYFUNCTION("""COMPUTED_VALUE"""),3.0)</f>
        <v>3</v>
      </c>
      <c r="Z51" s="59">
        <f>IFERROR(__xludf.DUMMYFUNCTION("""COMPUTED_VALUE"""),1.0)</f>
        <v>1</v>
      </c>
      <c r="AA51" s="59">
        <f>IFERROR(__xludf.DUMMYFUNCTION("""COMPUTED_VALUE"""),0.0)</f>
        <v>0</v>
      </c>
      <c r="AB51" s="64">
        <f>IFERROR(__xludf.DUMMYFUNCTION("""COMPUTED_VALUE"""),0.0)</f>
        <v>0</v>
      </c>
      <c r="AC51" s="62">
        <f>IFERROR(__xludf.DUMMYFUNCTION("""COMPUTED_VALUE"""),0.0)</f>
        <v>0</v>
      </c>
      <c r="AD51" s="62">
        <f>IFERROR(__xludf.DUMMYFUNCTION("""COMPUTED_VALUE"""),0.0)</f>
        <v>0</v>
      </c>
      <c r="AE51" s="62">
        <f>IFERROR(__xludf.DUMMYFUNCTION("""COMPUTED_VALUE"""),0.0)</f>
        <v>0</v>
      </c>
      <c r="AF51" s="55"/>
      <c r="AG51" s="55"/>
      <c r="AH51" s="55"/>
      <c r="AI51" s="55"/>
      <c r="AJ51" s="55"/>
      <c r="AK51" s="55"/>
      <c r="AL51" s="55"/>
      <c r="AM51" s="55" t="str">
        <f>IFERROR(__xludf.DUMMYFUNCTION("""COMPUTED_VALUE"""),"Q9jTBBWo4yJIJovBVaYxiXx4CqQp-mHJec-mrrNR2dKIaMvjB5bppO1c1NRfe4kFgc4")</f>
        <v>Q9jTBBWo4yJIJovBVaYxiXx4CqQp-mHJec-mrrNR2dKIaMvjB5bppO1c1NRfe4kFgc4</v>
      </c>
      <c r="AN51" s="55"/>
      <c r="AO51" s="55" t="str">
        <f>IFERROR(__xludf.DUMMYFUNCTION("""COMPUTED_VALUE"""),"NA")</f>
        <v>NA</v>
      </c>
      <c r="AP51" s="55" t="str">
        <f>IFERROR(__xludf.DUMMYFUNCTION("""COMPUTED_VALUE"""),"NA")</f>
        <v>NA</v>
      </c>
      <c r="AQ51" s="55" t="str">
        <f>IFERROR(__xludf.DUMMYFUNCTION("""COMPUTED_VALUE"""),"NA")</f>
        <v>NA</v>
      </c>
      <c r="AR51" s="55" t="str">
        <f>IFERROR(__xludf.DUMMYFUNCTION("""COMPUTED_VALUE"""),"Ladies, I have to tell you about this wellness coffee from Vadam.")</f>
        <v>Ladies, I have to tell you about this wellness coffee from Vadam.</v>
      </c>
      <c r="AS51" s="55" t="str">
        <f>IFERROR(__xludf.DUMMYFUNCTION("""COMPUTED_VALUE"""),"General / Lifestyle")</f>
        <v>General / Lifestyle</v>
      </c>
      <c r="AT51" s="55" t="str">
        <f>IFERROR(__xludf.DUMMYFUNCTION("""COMPUTED_VALUE"""),"• It tastes just like a great cup of coffee, but it has 300 milligrams of ashwagandha, turmeric curcumin, 200 milligrams of L-theanine, plus lion's mane and chaga mushrooms.
• The best part, calm, steady energy with no jitters or crash.
• Grandma is just "&amp;"a little bit different on this coffee.
• First, she's calm through the chaos with the grandkids, and then she's ready to jump in and play.")</f>
        <v>• It tastes just like a great cup of coffee, but it has 300 milligrams of ashwagandha, turmeric curcumin, 200 milligrams of L-theanine, plus lion's mane and chaga mushrooms.
• The best part, calm, steady energy with no jitters or crash.
• Grandma is just a little bit different on this coffee.
• First, she's calm through the chaos with the grandkids, and then she's ready to jump in and play.</v>
      </c>
      <c r="AU51" s="55" t="str">
        <f>IFERROR(__xludf.DUMMYFUNCTION("""COMPUTED_VALUE"""),"It's become her favorite way to start the day.")</f>
        <v>It's become her favorite way to start the day.</v>
      </c>
      <c r="AV51" s="55" t="str">
        <f>IFERROR(__xludf.DUMMYFUNCTION("""COMPUTED_VALUE"""),"Ladies, I have to tell you about this wellness coffee from Vadam.
  It tastes just like a great cup of coffee, but it has 300 milligrams of ashwagandha, turmeric curcumin, 200 milligrams of L-theanine, plus lion's mane and chaga mushrooms.
  The best part"&amp;", calm, steady energy with no jitters or crash.
  Grandma is just a little bit different on this coffee.
  First, she's calm through the chaos with the grandkids, and then she's ready to jump in and play.
  It's become her favorite way to start the day.")</f>
        <v>Ladies, I have to tell you about this wellness coffee from Vadam.
  It tastes just like a great cup of coffee, but it has 300 milligrams of ashwagandha, turmeric curcumin, 200 milligrams of L-theanine, plus lion's mane and chaga mushrooms.
  The best part, calm, steady energy with no jitters or crash.
  Grandma is just a little bit different on this coffee.
  First, she's calm through the chaos with the grandkids, and then she's ready to jump in and play.
  It's become her favorite way to start the day.</v>
      </c>
      <c r="AW51" s="35"/>
      <c r="AX51" s="35"/>
      <c r="AY51" s="35"/>
      <c r="AZ51" s="35"/>
      <c r="BA51" s="35"/>
      <c r="BB51" s="35"/>
      <c r="BC51" s="35"/>
      <c r="BD51" s="35"/>
      <c r="BE51" s="35"/>
      <c r="BF51" s="35"/>
      <c r="BG51" s="35"/>
    </row>
    <row r="52" ht="15.75" customHeight="1">
      <c r="A52" s="55" t="str">
        <f>IFERROR(__xludf.DUMMYFUNCTION("""COMPUTED_VALUE"""),"Tiktok")</f>
        <v>Tiktok</v>
      </c>
      <c r="B52" s="56">
        <f>IFERROR(__xludf.DUMMYFUNCTION("""COMPUTED_VALUE"""),46197.0)</f>
        <v>46197</v>
      </c>
      <c r="C52" s="55" t="str">
        <f>IFERROR(__xludf.DUMMYFUNCTION("""COMPUTED_VALUE"""),"June")</f>
        <v>June</v>
      </c>
      <c r="D52" s="58" t="str">
        <f>IFERROR(__xludf.DUMMYFUNCTION("""COMPUTED_VALUE"""),"https://www.tiktok.com/@raquelcmmoraes/video/7654962074275171614")</f>
        <v>https://www.tiktok.com/@raquelcmmoraes/video/7654962074275171614</v>
      </c>
      <c r="E52" s="55" t="str">
        <f>IFERROR(__xludf.DUMMYFUNCTION("""COMPUTED_VALUE"""),"@raquelcmmoraes")</f>
        <v>@raquelcmmoraes</v>
      </c>
      <c r="F52" s="55" t="str">
        <f>IFERROR(__xludf.DUMMYFUNCTION("""COMPUTED_VALUE"""),"Raquel Moraes")</f>
        <v>Raquel Moraes</v>
      </c>
      <c r="G52" s="55" t="str">
        <f>IFERROR(__xludf.DUMMYFUNCTION("""COMPUTED_VALUE"""),"Cortisol")</f>
        <v>Cortisol</v>
      </c>
      <c r="H52" s="55">
        <f>IFERROR(__xludf.DUMMYFUNCTION("""COMPUTED_VALUE"""),52.0)</f>
        <v>52</v>
      </c>
      <c r="I52" s="55">
        <f>IFERROR(__xludf.DUMMYFUNCTION("""COMPUTED_VALUE"""),21.0)</f>
        <v>21</v>
      </c>
      <c r="J52" s="55" t="str">
        <f>IFERROR(__xludf.DUMMYFUNCTION("""COMPUTED_VALUE"""),"Consider")</f>
        <v>Consider</v>
      </c>
      <c r="K52" s="55" t="str">
        <f>IFERROR(__xludf.DUMMYFUNCTION("""COMPUTED_VALUE"""),"No")</f>
        <v>No</v>
      </c>
      <c r="L52" s="55" t="str">
        <f>IFERROR(__xludf.DUMMYFUNCTION("""COMPUTED_VALUE"""),"Score 21.7 nearing 30 threshold; 6-sec 19.5% nearing 25% threshold; High ER 12.5% — quality signal, limited views yet")</f>
        <v>Score 21.7 nearing 30 threshold; 6-sec 19.5% nearing 25% threshold; High ER 12.5% — quality signal, limited views yet</v>
      </c>
      <c r="M52" s="59" t="str">
        <f>IFERROR(__xludf.DUMMYFUNCTION("""COMPUTED_VALUE"""),"No Ad Data")</f>
        <v>No Ad Data</v>
      </c>
      <c r="N52" s="55"/>
      <c r="O52" s="55"/>
      <c r="P52" s="59">
        <f>IFERROR(__xludf.DUMMYFUNCTION("""COMPUTED_VALUE"""),40.0)</f>
        <v>40</v>
      </c>
      <c r="Q52" s="59">
        <f>IFERROR(__xludf.DUMMYFUNCTION("""COMPUTED_VALUE"""),5.0)</f>
        <v>5</v>
      </c>
      <c r="R52" s="59">
        <f>IFERROR(__xludf.DUMMYFUNCTION("""COMPUTED_VALUE"""),0.0)</f>
        <v>0</v>
      </c>
      <c r="S52" s="62">
        <f>IFERROR(__xludf.DUMMYFUNCTION("""COMPUTED_VALUE"""),48.7)</f>
        <v>48.7</v>
      </c>
      <c r="T52" s="62">
        <f>IFERROR(__xludf.DUMMYFUNCTION("""COMPUTED_VALUE"""),19.5)</f>
        <v>19.5</v>
      </c>
      <c r="U52" s="64">
        <f>IFERROR(__xludf.DUMMYFUNCTION("""COMPUTED_VALUE"""),10.0)</f>
        <v>10</v>
      </c>
      <c r="V52" s="62">
        <f>IFERROR(__xludf.DUMMYFUNCTION("""COMPUTED_VALUE"""),15.0)</f>
        <v>15</v>
      </c>
      <c r="W52" s="63">
        <f>IFERROR(__xludf.DUMMYFUNCTION("""COMPUTED_VALUE"""),117.58)</f>
        <v>117.58</v>
      </c>
      <c r="X52" s="59">
        <f>IFERROR(__xludf.DUMMYFUNCTION("""COMPUTED_VALUE"""),40.0)</f>
        <v>40</v>
      </c>
      <c r="Y52" s="59">
        <f>IFERROR(__xludf.DUMMYFUNCTION("""COMPUTED_VALUE"""),5.0)</f>
        <v>5</v>
      </c>
      <c r="Z52" s="59">
        <f>IFERROR(__xludf.DUMMYFUNCTION("""COMPUTED_VALUE"""),0.0)</f>
        <v>0</v>
      </c>
      <c r="AA52" s="59">
        <f>IFERROR(__xludf.DUMMYFUNCTION("""COMPUTED_VALUE"""),1.0)</f>
        <v>1</v>
      </c>
      <c r="AB52" s="64">
        <f>IFERROR(__xludf.DUMMYFUNCTION("""COMPUTED_VALUE"""),10.0)</f>
        <v>10</v>
      </c>
      <c r="AC52" s="62">
        <f>IFERROR(__xludf.DUMMYFUNCTION("""COMPUTED_VALUE"""),15.0)</f>
        <v>15</v>
      </c>
      <c r="AD52" s="62">
        <f>IFERROR(__xludf.DUMMYFUNCTION("""COMPUTED_VALUE"""),48.7)</f>
        <v>48.7</v>
      </c>
      <c r="AE52" s="62">
        <f>IFERROR(__xludf.DUMMYFUNCTION("""COMPUTED_VALUE"""),19.5)</f>
        <v>19.5</v>
      </c>
      <c r="AF52" s="55"/>
      <c r="AG52" s="55"/>
      <c r="AH52" s="55"/>
      <c r="AI52" s="55"/>
      <c r="AJ52" s="55"/>
      <c r="AK52" s="55"/>
      <c r="AL52" s="55"/>
      <c r="AM52" s="55" t="str">
        <f>IFERROR(__xludf.DUMMYFUNCTION("""COMPUTED_VALUE"""),"#KrAAUhtmDC1ITwX3VvCY1aJOkd3bhgjfsl59bdg/2N54fsKRxfod8h7XPlirUeI=")</f>
        <v>#KrAAUhtmDC1ITwX3VvCY1aJOkd3bhgjfsl59bdg/2N54fsKRxfod8h7XPlirUeI=</v>
      </c>
      <c r="AN52" s="55"/>
      <c r="AO52" s="58" t="str">
        <f>IFERROR(__xludf.DUMMYFUNCTION("""COMPUTED_VALUE"""),"https://us.brand.joinbrands.com/job/689638")</f>
        <v>https://us.brand.joinbrands.com/job/689638</v>
      </c>
      <c r="AP52" s="55" t="str">
        <f>IFERROR(__xludf.DUMMYFUNCTION("""COMPUTED_VALUE"""),"NA")</f>
        <v>NA</v>
      </c>
      <c r="AQ52" s="55" t="str">
        <f>IFERROR(__xludf.DUMMYFUNCTION("""COMPUTED_VALUE"""),"@VAHDAM USA @target #vahdam #ashwagandhabenefits #functionalingredients #menopausesupport #calmandfocus VAHDAMÂ®ï¸ is a premium Indian wellness tea and coffee brand, and they just launched something...")</f>
        <v>@VAHDAM USA @target #vahdam #ashwagandhabenefits #functionalingredients #menopausesupport #calmandfocus VAHDAMÂ®ï¸_x008f_ is a premium Indian wellness tea and coffee brand, and they just launched something...</v>
      </c>
      <c r="AR52" s="55" t="str">
        <f>IFERROR(__xludf.DUMMYFUNCTION("""COMPUTED_VALUE"""),"I recently found VAHDAM Ashwagandha coffee and it's honestly become my new morning favourite.")</f>
        <v>I recently found VAHDAM Ashwagandha coffee and it's honestly become my new morning favourite.</v>
      </c>
      <c r="AS52" s="55" t="str">
        <f>IFERROR(__xludf.DUMMYFUNCTION("""COMPUTED_VALUE"""),"Personal Discovery")</f>
        <v>Personal Discovery</v>
      </c>
      <c r="AT52" s="55" t="str">
        <f>IFERROR(__xludf.DUMMYFUNCTION("""COMPUTED_VALUE"""),"• It combines coffee with ingredients like ashwagandha, L-Theanine, Lion's Mane, Chaga and Turmeric curcumin to give you calmer energy with no crash.
• But here's the best part it actually tastes like delicious coffee.
• I seriously wasn't expecting it to"&amp;" taste just so good.
• You can find it at the target stores nationwide or target.com.")</f>
        <v>• It combines coffee with ingredients like ashwagandha, L-Theanine, Lion's Mane, Chaga and Turmeric curcumin to give you calmer energy with no crash.
• But here's the best part it actually tastes like delicious coffee.
• I seriously wasn't expecting it to taste just so good.
• You can find it at the target stores nationwide or target.com.</v>
      </c>
      <c r="AU52" s="55" t="str">
        <f>IFERROR(__xludf.DUMMYFUNCTION("""COMPUTED_VALUE"""),"You can find it at the target stores nationwide or target.com.")</f>
        <v>You can find it at the target stores nationwide or target.com.</v>
      </c>
      <c r="AV52" s="55" t="str">
        <f>IFERROR(__xludf.DUMMYFUNCTION("""COMPUTED_VALUE"""),"I recently found VAHDAM Ashwagandha coffee and it's honestly become my new morning favourite. It combines coffee with ingredients like ashwagandha, L-Theanine, Lion's Mane, Chaga and Turmeric curcumin to give you calmer energy with no crash. But here's th"&amp;"e best part it actually tastes like delicious coffee. I seriously wasn't expecting it to taste just so good. You can find it at the target stores nationwide or target.com. If you try it, let me know what you think!")</f>
        <v>I recently found VAHDAM Ashwagandha coffee and it's honestly become my new morning favourite. It combines coffee with ingredients like ashwagandha, L-Theanine, Lion's Mane, Chaga and Turmeric curcumin to give you calmer energy with no crash. But here's the best part it actually tastes like delicious coffee. I seriously wasn't expecting it to taste just so good. You can find it at the target stores nationwide or target.com. If you try it, let me know what you think!</v>
      </c>
      <c r="AW52" s="35"/>
      <c r="AX52" s="35"/>
      <c r="AY52" s="35"/>
      <c r="AZ52" s="35"/>
      <c r="BA52" s="35"/>
      <c r="BB52" s="35"/>
      <c r="BC52" s="35"/>
      <c r="BD52" s="35"/>
      <c r="BE52" s="35"/>
      <c r="BF52" s="35"/>
      <c r="BG52" s="35"/>
    </row>
    <row r="53" ht="15.75" customHeight="1">
      <c r="A53" s="55" t="str">
        <f>IFERROR(__xludf.DUMMYFUNCTION("""COMPUTED_VALUE"""),"Tiktok")</f>
        <v>Tiktok</v>
      </c>
      <c r="B53" s="56">
        <f>IFERROR(__xludf.DUMMYFUNCTION("""COMPUTED_VALUE"""),46195.0)</f>
        <v>46195</v>
      </c>
      <c r="C53" s="55" t="str">
        <f>IFERROR(__xludf.DUMMYFUNCTION("""COMPUTED_VALUE"""),"June")</f>
        <v>June</v>
      </c>
      <c r="D53" s="58" t="str">
        <f>IFERROR(__xludf.DUMMYFUNCTION("""COMPUTED_VALUE"""),"https://www.tiktok.com/@urbanwhitetailhunter/video/7654207268170255646")</f>
        <v>https://www.tiktok.com/@urbanwhitetailhunter/video/7654207268170255646</v>
      </c>
      <c r="E53" s="55" t="str">
        <f>IFERROR(__xludf.DUMMYFUNCTION("""COMPUTED_VALUE"""),"@urbanwhitetailhunter")</f>
        <v>@urbanwhitetailhunter</v>
      </c>
      <c r="F53" s="55" t="str">
        <f>IFERROR(__xludf.DUMMYFUNCTION("""COMPUTED_VALUE"""),"Matt Korbanic")</f>
        <v>Matt Korbanic</v>
      </c>
      <c r="G53" s="55" t="str">
        <f>IFERROR(__xludf.DUMMYFUNCTION("""COMPUTED_VALUE"""),"Countering Mushroom Coffee Trend")</f>
        <v>Countering Mushroom Coffee Trend</v>
      </c>
      <c r="H53" s="55">
        <f>IFERROR(__xludf.DUMMYFUNCTION("""COMPUTED_VALUE"""),34.0)</f>
        <v>34</v>
      </c>
      <c r="I53" s="55">
        <f>IFERROR(__xludf.DUMMYFUNCTION("""COMPUTED_VALUE"""),17.6)</f>
        <v>17.6</v>
      </c>
      <c r="J53" s="55" t="str">
        <f>IFERROR(__xludf.DUMMYFUNCTION("""COMPUTED_VALUE"""),"Consider")</f>
        <v>Consider</v>
      </c>
      <c r="K53" s="55" t="str">
        <f>IFERROR(__xludf.DUMMYFUNCTION("""COMPUTED_VALUE"""),"No")</f>
        <v>No</v>
      </c>
      <c r="L53" s="55" t="str">
        <f>IFERROR(__xludf.DUMMYFUNCTION("""COMPUTED_VALUE"""),"High ER 12.8% — quality signal, limited views yet")</f>
        <v>High ER 12.8% — quality signal, limited views yet</v>
      </c>
      <c r="M53" s="59" t="str">
        <f>IFERROR(__xludf.DUMMYFUNCTION("""COMPUTED_VALUE"""),"No Ad Data")</f>
        <v>No Ad Data</v>
      </c>
      <c r="N53" s="55"/>
      <c r="O53" s="55"/>
      <c r="P53" s="59">
        <f>IFERROR(__xludf.DUMMYFUNCTION("""COMPUTED_VALUE"""),39.0)</f>
        <v>39</v>
      </c>
      <c r="Q53" s="59">
        <f>IFERROR(__xludf.DUMMYFUNCTION("""COMPUTED_VALUE"""),5.0)</f>
        <v>5</v>
      </c>
      <c r="R53" s="59">
        <f>IFERROR(__xludf.DUMMYFUNCTION("""COMPUTED_VALUE"""),0.0)</f>
        <v>0</v>
      </c>
      <c r="S53" s="62">
        <f>IFERROR(__xludf.DUMMYFUNCTION("""COMPUTED_VALUE"""),40.0)</f>
        <v>40</v>
      </c>
      <c r="T53" s="62">
        <f>IFERROR(__xludf.DUMMYFUNCTION("""COMPUTED_VALUE"""),12.5)</f>
        <v>12.5</v>
      </c>
      <c r="U53" s="64">
        <f>IFERROR(__xludf.DUMMYFUNCTION("""COMPUTED_VALUE"""),4.0)</f>
        <v>4</v>
      </c>
      <c r="V53" s="62">
        <f>IFERROR(__xludf.DUMMYFUNCTION("""COMPUTED_VALUE"""),12.8)</f>
        <v>12.8</v>
      </c>
      <c r="W53" s="63">
        <f>IFERROR(__xludf.DUMMYFUNCTION("""COMPUTED_VALUE"""),117.58)</f>
        <v>117.58</v>
      </c>
      <c r="X53" s="59">
        <f>IFERROR(__xludf.DUMMYFUNCTION("""COMPUTED_VALUE"""),39.0)</f>
        <v>39</v>
      </c>
      <c r="Y53" s="59">
        <f>IFERROR(__xludf.DUMMYFUNCTION("""COMPUTED_VALUE"""),5.0)</f>
        <v>5</v>
      </c>
      <c r="Z53" s="59">
        <f>IFERROR(__xludf.DUMMYFUNCTION("""COMPUTED_VALUE"""),0.0)</f>
        <v>0</v>
      </c>
      <c r="AA53" s="59">
        <f>IFERROR(__xludf.DUMMYFUNCTION("""COMPUTED_VALUE"""),0.0)</f>
        <v>0</v>
      </c>
      <c r="AB53" s="64">
        <f>IFERROR(__xludf.DUMMYFUNCTION("""COMPUTED_VALUE"""),4.0)</f>
        <v>4</v>
      </c>
      <c r="AC53" s="62">
        <f>IFERROR(__xludf.DUMMYFUNCTION("""COMPUTED_VALUE"""),12.8)</f>
        <v>12.8</v>
      </c>
      <c r="AD53" s="62">
        <f>IFERROR(__xludf.DUMMYFUNCTION("""COMPUTED_VALUE"""),40.0)</f>
        <v>40</v>
      </c>
      <c r="AE53" s="62">
        <f>IFERROR(__xludf.DUMMYFUNCTION("""COMPUTED_VALUE"""),12.5)</f>
        <v>12.5</v>
      </c>
      <c r="AF53" s="55"/>
      <c r="AG53" s="55"/>
      <c r="AH53" s="55"/>
      <c r="AI53" s="55"/>
      <c r="AJ53" s="55"/>
      <c r="AK53" s="55"/>
      <c r="AL53" s="55"/>
      <c r="AM53" s="55" t="str">
        <f>IFERROR(__xludf.DUMMYFUNCTION("""COMPUTED_VALUE"""),"#h4q9nIgnNhV6r6ltMS+tR4myvemVXjzs+f9fVTOTuG1frxumdiwdKFn0KNvto9w=")</f>
        <v>#h4q9nIgnNhV6r6ltMS+tR4myvemVXjzs+f9fVTOTuG1frxumdiwdKFn0KNvto9w=</v>
      </c>
      <c r="AN53" s="55"/>
      <c r="AO53" s="58" t="str">
        <f>IFERROR(__xludf.DUMMYFUNCTION("""COMPUTED_VALUE"""),"https://us.brand.joinbrands.com/job/692879")</f>
        <v>https://us.brand.joinbrands.com/job/692879</v>
      </c>
      <c r="AP53" s="55" t="str">
        <f>IFERROR(__xludf.DUMMYFUNCTION("""COMPUTED_VALUE"""),"NA")</f>
        <v>NA</v>
      </c>
      <c r="AQ53" s="55" t="str">
        <f>IFERROR(__xludf.DUMMYFUNCTION("""COMPUTED_VALUE"""),"@vadhamusa @target")</f>
        <v>@vadhamusa @target</v>
      </c>
      <c r="AR53" s="55" t="str">
        <f>IFERROR(__xludf.DUMMYFUNCTION("""COMPUTED_VALUE"""),"Look, I'm going to say it.")</f>
        <v>Look, I'm going to say it.</v>
      </c>
      <c r="AS53" s="55" t="str">
        <f>IFERROR(__xludf.DUMMYFUNCTION("""COMPUTED_VALUE"""),"General / Lifestyle")</f>
        <v>General / Lifestyle</v>
      </c>
      <c r="AT53" s="55" t="str">
        <f>IFERROR(__xludf.DUMMYFUNCTION("""COMPUTED_VALUE"""),"• I really hit that fatigue with that mushroom coffee.
• And that's where Bottom Ashwagandha Coffee, available at Target, comes in.
• One cup gives you half the ashwagandha that you need.
• It's Bottom Ashwagandha Coffee, available at Target.")</f>
        <v>• I really hit that fatigue with that mushroom coffee.
• And that's where Bottom Ashwagandha Coffee, available at Target, comes in.
• One cup gives you half the ashwagandha that you need.
• It's Bottom Ashwagandha Coffee, available at Target.</v>
      </c>
      <c r="AU53" s="55" t="str">
        <f>IFERROR(__xludf.DUMMYFUNCTION("""COMPUTED_VALUE"""),"It's Bottom Ashwagandha Coffee, available at Target.")</f>
        <v>It's Bottom Ashwagandha Coffee, available at Target.</v>
      </c>
      <c r="AV53" s="55" t="str">
        <f>IFERROR(__xludf.DUMMYFUNCTION("""COMPUTED_VALUE"""),"Look, I'm going to say it. I really hit that fatigue with that mushroom coffee. And that's where Bottom Ashwagandha Coffee, available at Target, comes in. It gives me the ashwagandha that I need for the day. I'm not jittery, anything like that. So all you"&amp;" need to do is brew one cup. One cup gives you half the ashwagandha that you need. And you're all set and ready to go for the day. You never forget to take it. It makes your day much brighter. So go and check it out today. It's Bottom Ashwagandha Coffee, "&amp;"available at Target. Thank you.")</f>
        <v>Look, I'm going to say it. I really hit that fatigue with that mushroom coffee. And that's where Bottom Ashwagandha Coffee, available at Target, comes in. It gives me the ashwagandha that I need for the day. I'm not jittery, anything like that. So all you need to do is brew one cup. One cup gives you half the ashwagandha that you need. And you're all set and ready to go for the day. You never forget to take it. It makes your day much brighter. So go and check it out today. It's Bottom Ashwagandha Coffee, available at Target. Thank you.</v>
      </c>
      <c r="AW53" s="35"/>
      <c r="AX53" s="35"/>
      <c r="AY53" s="35"/>
      <c r="AZ53" s="35"/>
      <c r="BA53" s="35"/>
      <c r="BB53" s="35"/>
      <c r="BC53" s="35"/>
      <c r="BD53" s="35"/>
      <c r="BE53" s="35"/>
      <c r="BF53" s="35"/>
      <c r="BG53" s="35"/>
    </row>
    <row r="54" ht="15.75" customHeight="1">
      <c r="A54" s="55" t="str">
        <f>IFERROR(__xludf.DUMMYFUNCTION("""COMPUTED_VALUE"""),"Tiktok")</f>
        <v>Tiktok</v>
      </c>
      <c r="B54" s="56">
        <f>IFERROR(__xludf.DUMMYFUNCTION("""COMPUTED_VALUE"""),46197.0)</f>
        <v>46197</v>
      </c>
      <c r="C54" s="55" t="str">
        <f>IFERROR(__xludf.DUMMYFUNCTION("""COMPUTED_VALUE"""),"June")</f>
        <v>June</v>
      </c>
      <c r="D54" s="58" t="str">
        <f>IFERROR(__xludf.DUMMYFUNCTION("""COMPUTED_VALUE"""),"https://www.tiktok.com/@kendraconnelly77/video/7654947213881216270")</f>
        <v>https://www.tiktok.com/@kendraconnelly77/video/7654947213881216270</v>
      </c>
      <c r="E54" s="55" t="str">
        <f>IFERROR(__xludf.DUMMYFUNCTION("""COMPUTED_VALUE"""),"@kendraconnelly77")</f>
        <v>@kendraconnelly77</v>
      </c>
      <c r="F54" s="55" t="str">
        <f>IFERROR(__xludf.DUMMYFUNCTION("""COMPUTED_VALUE"""),"KENDRA CONNELLYLITTLE")</f>
        <v>KENDRA CONNELLYLITTLE</v>
      </c>
      <c r="G54" s="55" t="str">
        <f>IFERROR(__xludf.DUMMYFUNCTION("""COMPUTED_VALUE"""),"Cortisol")</f>
        <v>Cortisol</v>
      </c>
      <c r="H54" s="55">
        <f>IFERROR(__xludf.DUMMYFUNCTION("""COMPUTED_VALUE"""),57.0)</f>
        <v>57</v>
      </c>
      <c r="I54" s="55">
        <f>IFERROR(__xludf.DUMMYFUNCTION("""COMPUTED_VALUE"""),20.0)</f>
        <v>20</v>
      </c>
      <c r="J54" s="55" t="str">
        <f>IFERROR(__xludf.DUMMYFUNCTION("""COMPUTED_VALUE"""),"Consider")</f>
        <v>Consider</v>
      </c>
      <c r="K54" s="55" t="str">
        <f>IFERROR(__xludf.DUMMYFUNCTION("""COMPUTED_VALUE"""),"No")</f>
        <v>No</v>
      </c>
      <c r="L54" s="55" t="str">
        <f>IFERROR(__xludf.DUMMYFUNCTION("""COMPUTED_VALUE"""),"Score 22.4 nearing 30 threshold; High ER 17.1% — quality signal, limited views yet")</f>
        <v>Score 22.4 nearing 30 threshold; High ER 17.1% — quality signal, limited views yet</v>
      </c>
      <c r="M54" s="59" t="str">
        <f>IFERROR(__xludf.DUMMYFUNCTION("""COMPUTED_VALUE"""),"No Ad Data")</f>
        <v>No Ad Data</v>
      </c>
      <c r="N54" s="55"/>
      <c r="O54" s="55"/>
      <c r="P54" s="59">
        <f>IFERROR(__xludf.DUMMYFUNCTION("""COMPUTED_VALUE"""),35.0)</f>
        <v>35</v>
      </c>
      <c r="Q54" s="59">
        <f>IFERROR(__xludf.DUMMYFUNCTION("""COMPUTED_VALUE"""),2.0)</f>
        <v>2</v>
      </c>
      <c r="R54" s="59">
        <f>IFERROR(__xludf.DUMMYFUNCTION("""COMPUTED_VALUE"""),4.0)</f>
        <v>4</v>
      </c>
      <c r="S54" s="62">
        <f>IFERROR(__xludf.DUMMYFUNCTION("""COMPUTED_VALUE"""),46.3)</f>
        <v>46.3</v>
      </c>
      <c r="T54" s="62">
        <f>IFERROR(__xludf.DUMMYFUNCTION("""COMPUTED_VALUE"""),14.6)</f>
        <v>14.6</v>
      </c>
      <c r="U54" s="64">
        <f>IFERROR(__xludf.DUMMYFUNCTION("""COMPUTED_VALUE"""),9.0)</f>
        <v>9</v>
      </c>
      <c r="V54" s="62">
        <f>IFERROR(__xludf.DUMMYFUNCTION("""COMPUTED_VALUE"""),20.0)</f>
        <v>20</v>
      </c>
      <c r="W54" s="63">
        <f>IFERROR(__xludf.DUMMYFUNCTION("""COMPUTED_VALUE"""),117.58)</f>
        <v>117.58</v>
      </c>
      <c r="X54" s="59">
        <f>IFERROR(__xludf.DUMMYFUNCTION("""COMPUTED_VALUE"""),35.0)</f>
        <v>35</v>
      </c>
      <c r="Y54" s="59">
        <f>IFERROR(__xludf.DUMMYFUNCTION("""COMPUTED_VALUE"""),2.0)</f>
        <v>2</v>
      </c>
      <c r="Z54" s="59">
        <f>IFERROR(__xludf.DUMMYFUNCTION("""COMPUTED_VALUE"""),4.0)</f>
        <v>4</v>
      </c>
      <c r="AA54" s="59">
        <f>IFERROR(__xludf.DUMMYFUNCTION("""COMPUTED_VALUE"""),1.0)</f>
        <v>1</v>
      </c>
      <c r="AB54" s="64">
        <f>IFERROR(__xludf.DUMMYFUNCTION("""COMPUTED_VALUE"""),9.0)</f>
        <v>9</v>
      </c>
      <c r="AC54" s="62">
        <f>IFERROR(__xludf.DUMMYFUNCTION("""COMPUTED_VALUE"""),20.0)</f>
        <v>20</v>
      </c>
      <c r="AD54" s="62">
        <f>IFERROR(__xludf.DUMMYFUNCTION("""COMPUTED_VALUE"""),46.3)</f>
        <v>46.3</v>
      </c>
      <c r="AE54" s="62">
        <f>IFERROR(__xludf.DUMMYFUNCTION("""COMPUTED_VALUE"""),14.6)</f>
        <v>14.6</v>
      </c>
      <c r="AF54" s="55"/>
      <c r="AG54" s="55"/>
      <c r="AH54" s="55"/>
      <c r="AI54" s="55"/>
      <c r="AJ54" s="55"/>
      <c r="AK54" s="55"/>
      <c r="AL54" s="55"/>
      <c r="AM54" s="55" t="str">
        <f>IFERROR(__xludf.DUMMYFUNCTION("""COMPUTED_VALUE"""),"#v+0tKVnSWV1aQA5mg5KJeWCZjAGL10qJ26uLpDXXBDx+YLsVy8cEsbvVX58KbN0=")</f>
        <v>#v+0tKVnSWV1aQA5mg5KJeWCZjAGL10qJ26uLpDXXBDx+YLsVy8cEsbvVX58KbN0=</v>
      </c>
      <c r="AN54" s="55"/>
      <c r="AO54" s="58" t="str">
        <f>IFERROR(__xludf.DUMMYFUNCTION("""COMPUTED_VALUE"""),"https://us.brand.joinbrands.com/job/689641")</f>
        <v>https://us.brand.joinbrands.com/job/689641</v>
      </c>
      <c r="AP54" s="55" t="str">
        <f>IFERROR(__xludf.DUMMYFUNCTION("""COMPUTED_VALUE"""),"NA")</f>
        <v>NA</v>
      </c>
      <c r="AQ54" s="55" t="str">
        <f>IFERROR(__xludf.DUMMYFUNCTION("""COMPUTED_VALUE"""),"I love the new VAHDAM ASHWAGANDHA Coffee. It's amazing tasting and no afternoon crash. It's a great blend with Ashwagandha. @VAHDAM USA @target #ashwagandhacoffee #coffee #deliciouscoffee #coffeetips")</f>
        <v>I love the new VAHDAM ASHWAGANDHA Coffee. It's amazing tasting and no afternoon crash. It's a great blend with Ashwagandha. @VAHDAM USA @target #ashwagandhacoffee #coffee #deliciouscoffee #coffeetips</v>
      </c>
      <c r="AR54" s="55" t="str">
        <f>IFERROR(__xludf.DUMMYFUNCTION("""COMPUTED_VALUE"""),"Coffee used to make my heart race and now it doesn't and there's a reason for that.")</f>
        <v>Coffee used to make my heart race and now it doesn't and there's a reason for that.</v>
      </c>
      <c r="AS54" s="55" t="str">
        <f>IFERROR(__xludf.DUMMYFUNCTION("""COMPUTED_VALUE"""),"General / Lifestyle")</f>
        <v>General / Lifestyle</v>
      </c>
      <c r="AT54" s="55" t="str">
        <f>IFERROR(__xludf.DUMMYFUNCTION("""COMPUTED_VALUE"""),"• Oswagandha Coffee with KSM-66, Hanzame, Chaga, Turmeric, and L-theanine.
• Afternoon coffee was raising my cortisol.
• Check out this coffee I found at Target.
• And it also tastes better than my other coffee.")</f>
        <v>• Oswagandha Coffee with KSM-66, Hanzame, Chaga, Turmeric, and L-theanine.
• Afternoon coffee was raising my cortisol.
• Check out this coffee I found at Target.
• And it also tastes better than my other coffee.</v>
      </c>
      <c r="AU54" s="55" t="str">
        <f>IFERROR(__xludf.DUMMYFUNCTION("""COMPUTED_VALUE"""),"and at Target.com.")</f>
        <v>and at Target.com.</v>
      </c>
      <c r="AV54" s="55" t="str">
        <f>IFERROR(__xludf.DUMMYFUNCTION("""COMPUTED_VALUE"""),"Coffee used to make my heart race and now it doesn't and there's a reason for that. Check out this coffee I found at Target. M. Oswagandha Coffee with KSM-66, Hanzame, Chaga, Turmeric, and L-theanine. Afternoon coffee was raising my cortisol. Here is what"&amp;" I switched to. This is how I have stayed focused and calmed every day. And it also tastes better than my other coffee. It does so much more than just wake you up. It's a healthier coffee for a healthier you. It's also available at Target stores through t"&amp;"he U.S. and at Target.com. Vodan Ashwagandha Coffee.")</f>
        <v>Coffee used to make my heart race and now it doesn't and there's a reason for that. Check out this coffee I found at Target. M. Oswagandha Coffee with KSM-66, Hanzame, Chaga, Turmeric, and L-theanine. Afternoon coffee was raising my cortisol. Here is what I switched to. This is how I have stayed focused and calmed every day. And it also tastes better than my other coffee. It does so much more than just wake you up. It's a healthier coffee for a healthier you. It's also available at Target stores through the U.S. and at Target.com. Vodan Ashwagandha Coffee.</v>
      </c>
      <c r="AW54" s="35"/>
      <c r="AX54" s="35"/>
      <c r="AY54" s="35"/>
      <c r="AZ54" s="35"/>
      <c r="BA54" s="35"/>
      <c r="BB54" s="35"/>
      <c r="BC54" s="35"/>
      <c r="BD54" s="35"/>
      <c r="BE54" s="35"/>
      <c r="BF54" s="35"/>
      <c r="BG54" s="35"/>
    </row>
    <row r="55" ht="15.75" customHeight="1">
      <c r="A55" s="55" t="str">
        <f>IFERROR(__xludf.DUMMYFUNCTION("""COMPUTED_VALUE"""),"Tiktok")</f>
        <v>Tiktok</v>
      </c>
      <c r="B55" s="56">
        <f>IFERROR(__xludf.DUMMYFUNCTION("""COMPUTED_VALUE"""),46192.0)</f>
        <v>46192</v>
      </c>
      <c r="C55" s="55" t="str">
        <f>IFERROR(__xludf.DUMMYFUNCTION("""COMPUTED_VALUE"""),"June")</f>
        <v>June</v>
      </c>
      <c r="D55" s="58" t="str">
        <f>IFERROR(__xludf.DUMMYFUNCTION("""COMPUTED_VALUE"""),"https://www.tiktok.com/@urbanwhitetailhunter/video/7653108167873711391")</f>
        <v>https://www.tiktok.com/@urbanwhitetailhunter/video/7653108167873711391</v>
      </c>
      <c r="E55" s="55" t="str">
        <f>IFERROR(__xludf.DUMMYFUNCTION("""COMPUTED_VALUE"""),"@urbanwhitetailhunter")</f>
        <v>@urbanwhitetailhunter</v>
      </c>
      <c r="F55" s="55" t="str">
        <f>IFERROR(__xludf.DUMMYFUNCTION("""COMPUTED_VALUE"""),"Matt Korbanic")</f>
        <v>Matt Korbanic</v>
      </c>
      <c r="G55" s="55" t="str">
        <f>IFERROR(__xludf.DUMMYFUNCTION("""COMPUTED_VALUE"""),"Countering Mushroom Coffee Trend")</f>
        <v>Countering Mushroom Coffee Trend</v>
      </c>
      <c r="H55" s="55">
        <f>IFERROR(__xludf.DUMMYFUNCTION("""COMPUTED_VALUE"""),34.0)</f>
        <v>34</v>
      </c>
      <c r="I55" s="55">
        <f>IFERROR(__xludf.DUMMYFUNCTION("""COMPUTED_VALUE"""),17.9)</f>
        <v>17.9</v>
      </c>
      <c r="J55" s="55" t="str">
        <f>IFERROR(__xludf.DUMMYFUNCTION("""COMPUTED_VALUE"""),"Consider")</f>
        <v>Consider</v>
      </c>
      <c r="K55" s="55" t="str">
        <f>IFERROR(__xludf.DUMMYFUNCTION("""COMPUTED_VALUE"""),"No")</f>
        <v>No</v>
      </c>
      <c r="L55" s="55" t="str">
        <f>IFERROR(__xludf.DUMMYFUNCTION("""COMPUTED_VALUE"""),"High ER 14.3% — quality signal, limited views yet")</f>
        <v>High ER 14.3% — quality signal, limited views yet</v>
      </c>
      <c r="M55" s="59" t="str">
        <f>IFERROR(__xludf.DUMMYFUNCTION("""COMPUTED_VALUE"""),"No Ad Data")</f>
        <v>No Ad Data</v>
      </c>
      <c r="N55" s="55"/>
      <c r="O55" s="55"/>
      <c r="P55" s="59">
        <f>IFERROR(__xludf.DUMMYFUNCTION("""COMPUTED_VALUE"""),35.0)</f>
        <v>35</v>
      </c>
      <c r="Q55" s="59">
        <f>IFERROR(__xludf.DUMMYFUNCTION("""COMPUTED_VALUE"""),5.0)</f>
        <v>5</v>
      </c>
      <c r="R55" s="59">
        <f>IFERROR(__xludf.DUMMYFUNCTION("""COMPUTED_VALUE"""),0.0)</f>
        <v>0</v>
      </c>
      <c r="S55" s="62">
        <f>IFERROR(__xludf.DUMMYFUNCTION("""COMPUTED_VALUE"""),38.8)</f>
        <v>38.8</v>
      </c>
      <c r="T55" s="62">
        <f>IFERROR(__xludf.DUMMYFUNCTION("""COMPUTED_VALUE"""),13.8)</f>
        <v>13.8</v>
      </c>
      <c r="U55" s="64">
        <f>IFERROR(__xludf.DUMMYFUNCTION("""COMPUTED_VALUE"""),4.0)</f>
        <v>4</v>
      </c>
      <c r="V55" s="62">
        <f>IFERROR(__xludf.DUMMYFUNCTION("""COMPUTED_VALUE"""),14.2)</f>
        <v>14.2</v>
      </c>
      <c r="W55" s="63">
        <f>IFERROR(__xludf.DUMMYFUNCTION("""COMPUTED_VALUE"""),117.58)</f>
        <v>117.58</v>
      </c>
      <c r="X55" s="59">
        <f>IFERROR(__xludf.DUMMYFUNCTION("""COMPUTED_VALUE"""),35.0)</f>
        <v>35</v>
      </c>
      <c r="Y55" s="59">
        <f>IFERROR(__xludf.DUMMYFUNCTION("""COMPUTED_VALUE"""),5.0)</f>
        <v>5</v>
      </c>
      <c r="Z55" s="59">
        <f>IFERROR(__xludf.DUMMYFUNCTION("""COMPUTED_VALUE"""),0.0)</f>
        <v>0</v>
      </c>
      <c r="AA55" s="59">
        <f>IFERROR(__xludf.DUMMYFUNCTION("""COMPUTED_VALUE"""),0.0)</f>
        <v>0</v>
      </c>
      <c r="AB55" s="64">
        <f>IFERROR(__xludf.DUMMYFUNCTION("""COMPUTED_VALUE"""),4.0)</f>
        <v>4</v>
      </c>
      <c r="AC55" s="62">
        <f>IFERROR(__xludf.DUMMYFUNCTION("""COMPUTED_VALUE"""),14.2)</f>
        <v>14.2</v>
      </c>
      <c r="AD55" s="62">
        <f>IFERROR(__xludf.DUMMYFUNCTION("""COMPUTED_VALUE"""),38.8)</f>
        <v>38.8</v>
      </c>
      <c r="AE55" s="62">
        <f>IFERROR(__xludf.DUMMYFUNCTION("""COMPUTED_VALUE"""),13.8)</f>
        <v>13.8</v>
      </c>
      <c r="AF55" s="55"/>
      <c r="AG55" s="55"/>
      <c r="AH55" s="55"/>
      <c r="AI55" s="55"/>
      <c r="AJ55" s="55"/>
      <c r="AK55" s="55"/>
      <c r="AL55" s="55"/>
      <c r="AM55" s="55" t="str">
        <f>IFERROR(__xludf.DUMMYFUNCTION("""COMPUTED_VALUE"""),"#HFzfAtAK7z51SVMpTD8v+bWd/mODvvDdvbE53PhSfun84YUCg1cbhe+0ULjjR3s=")</f>
        <v>#HFzfAtAK7z51SVMpTD8v+bWd/mODvvDdvbE53PhSfun84YUCg1cbhe+0ULjjR3s=</v>
      </c>
      <c r="AN55" s="55"/>
      <c r="AO55" s="58" t="str">
        <f>IFERROR(__xludf.DUMMYFUNCTION("""COMPUTED_VALUE"""),"https://us.brand.joinbrands.com/job/692879")</f>
        <v>https://us.brand.joinbrands.com/job/692879</v>
      </c>
      <c r="AP55" s="55" t="str">
        <f>IFERROR(__xludf.DUMMYFUNCTION("""COMPUTED_VALUE"""),"Man")</f>
        <v>Man</v>
      </c>
      <c r="AQ55" s="55" t="str">
        <f>IFERROR(__xludf.DUMMYFUNCTION("""COMPUTED_VALUE"""),"TikTok Video")</f>
        <v>TikTok Video</v>
      </c>
      <c r="AR55" s="55" t="str">
        <f>IFERROR(__xludf.DUMMYFUNCTION("""COMPUTED_VALUE"""),"Look, I'm going to say it.")</f>
        <v>Look, I'm going to say it.</v>
      </c>
      <c r="AS55" s="55" t="str">
        <f>IFERROR(__xludf.DUMMYFUNCTION("""COMPUTED_VALUE"""),"General / Lifestyle")</f>
        <v>General / Lifestyle</v>
      </c>
      <c r="AT55" s="55" t="str">
        <f>IFERROR(__xludf.DUMMYFUNCTION("""COMPUTED_VALUE"""),"• I really hit that fatigue with that mushroom coffee.
• And that's where bottom ashwagandha coffee, available at Target, comes in.
• It gives me the ashwagandha that I need for the day.
• So all you need to do is brew one cup, one kettle.")</f>
        <v>• I really hit that fatigue with that mushroom coffee.
• And that's where bottom ashwagandha coffee, available at Target, comes in.
• It gives me the ashwagandha that I need for the day.
• So all you need to do is brew one cup, one kettle.</v>
      </c>
      <c r="AU55" s="55" t="str">
        <f>IFERROR(__xludf.DUMMYFUNCTION("""COMPUTED_VALUE"""),"It's bottom ashwagandha coffee, available at Target.")</f>
        <v>It's bottom ashwagandha coffee, available at Target.</v>
      </c>
      <c r="AV55" s="55" t="str">
        <f>IFERROR(__xludf.DUMMYFUNCTION("""COMPUTED_VALUE"""),"Look, I'm going to say it. I really hit that fatigue with that mushroom coffee. And that's where bottom ashwagandha coffee, available at Target, comes in. It gives me the ashwagandha that I need for the day. I'm not jittery, anything like that. So all you"&amp;" need to do is brew one cup, one kettle. It gives you half the ashwagandha that you need. And you're all set and ready to go for the day. You never forget to take it. It makes your day much brighter. So go and check it out today. It's bottom ashwagandha c"&amp;"offee, available at Target. you")</f>
        <v>Look, I'm going to say it. I really hit that fatigue with that mushroom coffee. And that's where bottom ashwagandha coffee, available at Target, comes in. It gives me the ashwagandha that I need for the day. I'm not jittery, anything like that. So all you need to do is brew one cup, one kettle. It gives you half the ashwagandha that you need. And you're all set and ready to go for the day. You never forget to take it. It makes your day much brighter. So go and check it out today. It's bottom ashwagandha coffee, available at Target. you</v>
      </c>
      <c r="AW55" s="35"/>
      <c r="AX55" s="35"/>
      <c r="AY55" s="35"/>
      <c r="AZ55" s="35"/>
      <c r="BA55" s="35"/>
      <c r="BB55" s="35"/>
      <c r="BC55" s="35"/>
      <c r="BD55" s="35"/>
      <c r="BE55" s="35"/>
      <c r="BF55" s="35"/>
      <c r="BG55" s="35"/>
    </row>
    <row r="56" ht="15.75" customHeight="1">
      <c r="A56" s="55" t="str">
        <f>IFERROR(__xludf.DUMMYFUNCTION("""COMPUTED_VALUE"""),"Tiktok")</f>
        <v>Tiktok</v>
      </c>
      <c r="B56" s="56">
        <f>IFERROR(__xludf.DUMMYFUNCTION("""COMPUTED_VALUE"""),46195.0)</f>
        <v>46195</v>
      </c>
      <c r="C56" s="55" t="str">
        <f>IFERROR(__xludf.DUMMYFUNCTION("""COMPUTED_VALUE"""),"June")</f>
        <v>June</v>
      </c>
      <c r="D56" s="58" t="str">
        <f>IFERROR(__xludf.DUMMYFUNCTION("""COMPUTED_VALUE"""),"https://www.tiktok.com/@urbanwhitetailhunter/video/7654192792008215838")</f>
        <v>https://www.tiktok.com/@urbanwhitetailhunter/video/7654192792008215838</v>
      </c>
      <c r="E56" s="55" t="str">
        <f>IFERROR(__xludf.DUMMYFUNCTION("""COMPUTED_VALUE"""),"@urbanwhitetailhunter")</f>
        <v>@urbanwhitetailhunter</v>
      </c>
      <c r="F56" s="55" t="str">
        <f>IFERROR(__xludf.DUMMYFUNCTION("""COMPUTED_VALUE"""),"Matt Korbanic")</f>
        <v>Matt Korbanic</v>
      </c>
      <c r="G56" s="55" t="str">
        <f>IFERROR(__xludf.DUMMYFUNCTION("""COMPUTED_VALUE"""),"Gummies vs Coffee")</f>
        <v>Gummies vs Coffee</v>
      </c>
      <c r="H56" s="55">
        <f>IFERROR(__xludf.DUMMYFUNCTION("""COMPUTED_VALUE"""),42.0)</f>
        <v>42</v>
      </c>
      <c r="I56" s="55">
        <f>IFERROR(__xludf.DUMMYFUNCTION("""COMPUTED_VALUE"""),19.1)</f>
        <v>19.1</v>
      </c>
      <c r="J56" s="55" t="str">
        <f>IFERROR(__xludf.DUMMYFUNCTION("""COMPUTED_VALUE"""),"Consider")</f>
        <v>Consider</v>
      </c>
      <c r="K56" s="55" t="str">
        <f>IFERROR(__xludf.DUMMYFUNCTION("""COMPUTED_VALUE"""),"No")</f>
        <v>No</v>
      </c>
      <c r="L56" s="55" t="str">
        <f>IFERROR(__xludf.DUMMYFUNCTION("""COMPUTED_VALUE"""),"6-sec 20.0% nearing 25% threshold; High ER 21.7% — quality signal, limited views yet")</f>
        <v>6-sec 20.0% nearing 25% threshold; High ER 21.7% — quality signal, limited views yet</v>
      </c>
      <c r="M56" s="59" t="str">
        <f>IFERROR(__xludf.DUMMYFUNCTION("""COMPUTED_VALUE"""),"No Ad Data")</f>
        <v>No Ad Data</v>
      </c>
      <c r="N56" s="55"/>
      <c r="O56" s="55"/>
      <c r="P56" s="59">
        <f>IFERROR(__xludf.DUMMYFUNCTION("""COMPUTED_VALUE"""),23.0)</f>
        <v>23</v>
      </c>
      <c r="Q56" s="59">
        <f>IFERROR(__xludf.DUMMYFUNCTION("""COMPUTED_VALUE"""),4.0)</f>
        <v>4</v>
      </c>
      <c r="R56" s="59">
        <f>IFERROR(__xludf.DUMMYFUNCTION("""COMPUTED_VALUE"""),1.0)</f>
        <v>1</v>
      </c>
      <c r="S56" s="62">
        <f>IFERROR(__xludf.DUMMYFUNCTION("""COMPUTED_VALUE"""),60.0)</f>
        <v>60</v>
      </c>
      <c r="T56" s="62">
        <f>IFERROR(__xludf.DUMMYFUNCTION("""COMPUTED_VALUE"""),20.0)</f>
        <v>20</v>
      </c>
      <c r="U56" s="64">
        <f>IFERROR(__xludf.DUMMYFUNCTION("""COMPUTED_VALUE"""),5.0)</f>
        <v>5</v>
      </c>
      <c r="V56" s="62">
        <f>IFERROR(__xludf.DUMMYFUNCTION("""COMPUTED_VALUE"""),26.0)</f>
        <v>26</v>
      </c>
      <c r="W56" s="63">
        <f>IFERROR(__xludf.DUMMYFUNCTION("""COMPUTED_VALUE"""),72.99)</f>
        <v>72.99</v>
      </c>
      <c r="X56" s="59">
        <f>IFERROR(__xludf.DUMMYFUNCTION("""COMPUTED_VALUE"""),23.0)</f>
        <v>23</v>
      </c>
      <c r="Y56" s="59">
        <f>IFERROR(__xludf.DUMMYFUNCTION("""COMPUTED_VALUE"""),4.0)</f>
        <v>4</v>
      </c>
      <c r="Z56" s="59">
        <f>IFERROR(__xludf.DUMMYFUNCTION("""COMPUTED_VALUE"""),1.0)</f>
        <v>1</v>
      </c>
      <c r="AA56" s="59">
        <f>IFERROR(__xludf.DUMMYFUNCTION("""COMPUTED_VALUE"""),0.0)</f>
        <v>0</v>
      </c>
      <c r="AB56" s="64">
        <f>IFERROR(__xludf.DUMMYFUNCTION("""COMPUTED_VALUE"""),5.0)</f>
        <v>5</v>
      </c>
      <c r="AC56" s="62">
        <f>IFERROR(__xludf.DUMMYFUNCTION("""COMPUTED_VALUE"""),26.0)</f>
        <v>26</v>
      </c>
      <c r="AD56" s="62">
        <f>IFERROR(__xludf.DUMMYFUNCTION("""COMPUTED_VALUE"""),60.0)</f>
        <v>60</v>
      </c>
      <c r="AE56" s="62">
        <f>IFERROR(__xludf.DUMMYFUNCTION("""COMPUTED_VALUE"""),20.0)</f>
        <v>20</v>
      </c>
      <c r="AF56" s="55"/>
      <c r="AG56" s="55"/>
      <c r="AH56" s="55"/>
      <c r="AI56" s="55"/>
      <c r="AJ56" s="55"/>
      <c r="AK56" s="55"/>
      <c r="AL56" s="55"/>
      <c r="AM56" s="55" t="str">
        <f>IFERROR(__xludf.DUMMYFUNCTION("""COMPUTED_VALUE"""),"#nB/uGZOnGDxcH6rbLupp1RtjrsGEPugA7J9t6NWQxwVlQ/aFZJxPQ5+1xIUINRI=")</f>
        <v>#nB/uGZOnGDxcH6rbLupp1RtjrsGEPugA7J9t6NWQxwVlQ/aFZJxPQ5+1xIUINRI=</v>
      </c>
      <c r="AN56" s="55"/>
      <c r="AO56" s="58" t="str">
        <f>IFERROR(__xludf.DUMMYFUNCTION("""COMPUTED_VALUE"""),"https://us.brand.joinbrands.com/job/692879")</f>
        <v>https://us.brand.joinbrands.com/job/692879</v>
      </c>
      <c r="AP56" s="55" t="str">
        <f>IFERROR(__xludf.DUMMYFUNCTION("""COMPUTED_VALUE"""),"NA")</f>
        <v>NA</v>
      </c>
      <c r="AQ56" s="55" t="str">
        <f>IFERROR(__xludf.DUMMYFUNCTION("""COMPUTED_VALUE"""),"@vadhamusa @target")</f>
        <v>@vadhamusa @target</v>
      </c>
      <c r="AR56" s="55" t="str">
        <f>IFERROR(__xludf.DUMMYFUNCTION("""COMPUTED_VALUE"""),"I like to start my day with a cup of coffee just like everybody else.")</f>
        <v>I like to start my day with a cup of coffee just like everybody else.</v>
      </c>
      <c r="AS56" s="55" t="str">
        <f>IFERROR(__xludf.DUMMYFUNCTION("""COMPUTED_VALUE"""),"General / Lifestyle")</f>
        <v>General / Lifestyle</v>
      </c>
      <c r="AT56" s="55" t="str">
        <f>IFERROR(__xludf.DUMMYFUNCTION("""COMPUTED_VALUE"""),"• But I also like to take my supplements like ashwagandha, althiamine, turmeric.
• That's where I found bottom ashwagandha coffee.
• It gives you half the ashwagandha, the althiamine, and the lion's mane that you need to get you started with your suppleme"&amp;"nts throughout the day.
• It's bottom ashwagandha coffee.")</f>
        <v>• But I also like to take my supplements like ashwagandha, althiamine, turmeric.
• That's where I found bottom ashwagandha coffee.
• It gives you half the ashwagandha, the althiamine, and the lion's mane that you need to get you started with your supplements throughout the day.
• It's bottom ashwagandha coffee.</v>
      </c>
      <c r="AU56" s="55" t="str">
        <f>IFERROR(__xludf.DUMMYFUNCTION("""COMPUTED_VALUE"""),"It's available at Target.")</f>
        <v>It's available at Target.</v>
      </c>
      <c r="AV56" s="55" t="str">
        <f>IFERROR(__xludf.DUMMYFUNCTION("""COMPUTED_VALUE"""),"Hey, I like to start my day with a cup of coffee just like everybody else. But I also like to take my supplements like ashwagandha, althiamine, turmeric. That's where I found bottom ashwagandha coffee. You can get it at Target. So all you need to do is br"&amp;"ew one cup of it. It gives you half the ashwagandha, the althiamine, and the lion's mane that you need to get you started with your supplements throughout the day. Because I usually forgot to take my supplements or they taste like candy. I don't want to e"&amp;"at something that tastes like candy. So go and check it out. It's bottom ashwagandha coffee. It's available at Target. Cheers.")</f>
        <v>Hey, I like to start my day with a cup of coffee just like everybody else. But I also like to take my supplements like ashwagandha, althiamine, turmeric. That's where I found bottom ashwagandha coffee. You can get it at Target. So all you need to do is brew one cup of it. It gives you half the ashwagandha, the althiamine, and the lion's mane that you need to get you started with your supplements throughout the day. Because I usually forgot to take my supplements or they taste like candy. I don't want to eat something that tastes like candy. So go and check it out. It's bottom ashwagandha coffee. It's available at Target. Cheers.</v>
      </c>
      <c r="AW56" s="35"/>
      <c r="AX56" s="35"/>
      <c r="AY56" s="35"/>
      <c r="AZ56" s="35"/>
      <c r="BA56" s="35"/>
      <c r="BB56" s="35"/>
      <c r="BC56" s="35"/>
      <c r="BD56" s="35"/>
      <c r="BE56" s="35"/>
      <c r="BF56" s="35"/>
      <c r="BG56" s="35"/>
    </row>
    <row r="57" ht="15.75" customHeight="1">
      <c r="A57" s="55" t="str">
        <f>IFERROR(__xludf.DUMMYFUNCTION("""COMPUTED_VALUE"""),"Youtube")</f>
        <v>Youtube</v>
      </c>
      <c r="B57" s="56">
        <f>IFERROR(__xludf.DUMMYFUNCTION("""COMPUTED_VALUE"""),46195.0)</f>
        <v>46195</v>
      </c>
      <c r="C57" s="55" t="str">
        <f>IFERROR(__xludf.DUMMYFUNCTION("""COMPUTED_VALUE"""),"June")</f>
        <v>June</v>
      </c>
      <c r="D57" s="58" t="str">
        <f>IFERROR(__xludf.DUMMYFUNCTION("""COMPUTED_VALUE"""),"https://youtube.com/shorts/f3BzVbX2lww?is=DbI7oZD1e5vEMfLt")</f>
        <v>https://youtube.com/shorts/f3BzVbX2lww?is=DbI7oZD1e5vEMfLt</v>
      </c>
      <c r="E57" s="55" t="str">
        <f>IFERROR(__xludf.DUMMYFUNCTION("""COMPUTED_VALUE"""),"yt_f3bzvbx2lww")</f>
        <v>yt_f3bzvbx2lww</v>
      </c>
      <c r="F57" s="55" t="str">
        <f>IFERROR(__xludf.DUMMYFUNCTION("""COMPUTED_VALUE"""),"NA")</f>
        <v>NA</v>
      </c>
      <c r="G57" s="55" t="str">
        <f>IFERROR(__xludf.DUMMYFUNCTION("""COMPUTED_VALUE"""),"Target Shelf Showdown")</f>
        <v>Target Shelf Showdown</v>
      </c>
      <c r="H57" s="55" t="str">
        <f>IFERROR(__xludf.DUMMYFUNCTION("""COMPUTED_VALUE"""),"NA")</f>
        <v>NA</v>
      </c>
      <c r="I57" s="55">
        <f>IFERROR(__xludf.DUMMYFUNCTION("""COMPUTED_VALUE"""),0.0)</f>
        <v>0</v>
      </c>
      <c r="J57" s="55" t="str">
        <f>IFERROR(__xludf.DUMMYFUNCTION("""COMPUTED_VALUE"""),"N/A")</f>
        <v>N/A</v>
      </c>
      <c r="K57" s="55" t="str">
        <f>IFERROR(__xludf.DUMMYFUNCTION("""COMPUTED_VALUE"""),"No")</f>
        <v>No</v>
      </c>
      <c r="L57" s="55" t="str">
        <f>IFERROR(__xludf.DUMMYFUNCTION("""COMPUTED_VALUE"""),"YouTube/other — not scored")</f>
        <v>YouTube/other — not scored</v>
      </c>
      <c r="M57" s="59" t="str">
        <f>IFERROR(__xludf.DUMMYFUNCTION("""COMPUTED_VALUE"""),"No Ad Data")</f>
        <v>No Ad Data</v>
      </c>
      <c r="N57" s="55"/>
      <c r="O57" s="55"/>
      <c r="P57" s="59">
        <f>IFERROR(__xludf.DUMMYFUNCTION("""COMPUTED_VALUE"""),1446.0)</f>
        <v>1446</v>
      </c>
      <c r="Q57" s="59">
        <f>IFERROR(__xludf.DUMMYFUNCTION("""COMPUTED_VALUE"""),13.0)</f>
        <v>13</v>
      </c>
      <c r="R57" s="59">
        <f>IFERROR(__xludf.DUMMYFUNCTION("""COMPUTED_VALUE"""),0.0)</f>
        <v>0</v>
      </c>
      <c r="S57" s="55"/>
      <c r="T57" s="68">
        <f>IFERROR(__xludf.DUMMYFUNCTION("""COMPUTED_VALUE"""),0.0)</f>
        <v>0</v>
      </c>
      <c r="U57" s="55"/>
      <c r="V57" s="62">
        <f>IFERROR(__xludf.DUMMYFUNCTION("""COMPUTED_VALUE"""),0.0089)</f>
        <v>0.0089</v>
      </c>
      <c r="W57" s="63">
        <f>IFERROR(__xludf.DUMMYFUNCTION("""COMPUTED_VALUE"""),94.59)</f>
        <v>94.59</v>
      </c>
      <c r="X57" s="59">
        <f>IFERROR(__xludf.DUMMYFUNCTION("""COMPUTED_VALUE"""),1446.0)</f>
        <v>1446</v>
      </c>
      <c r="Y57" s="59">
        <f>IFERROR(__xludf.DUMMYFUNCTION("""COMPUTED_VALUE"""),13.0)</f>
        <v>13</v>
      </c>
      <c r="Z57" s="59">
        <f>IFERROR(__xludf.DUMMYFUNCTION("""COMPUTED_VALUE"""),0.0)</f>
        <v>0</v>
      </c>
      <c r="AA57" s="59">
        <f>IFERROR(__xludf.DUMMYFUNCTION("""COMPUTED_VALUE"""),0.0)</f>
        <v>0</v>
      </c>
      <c r="AB57" s="64">
        <f>IFERROR(__xludf.DUMMYFUNCTION("""COMPUTED_VALUE"""),0.0)</f>
        <v>0</v>
      </c>
      <c r="AC57" s="62">
        <f>IFERROR(__xludf.DUMMYFUNCTION("""COMPUTED_VALUE"""),0.0089)</f>
        <v>0.0089</v>
      </c>
      <c r="AD57" s="62">
        <f>IFERROR(__xludf.DUMMYFUNCTION("""COMPUTED_VALUE"""),0.0)</f>
        <v>0</v>
      </c>
      <c r="AE57" s="68">
        <f>IFERROR(__xludf.DUMMYFUNCTION("""COMPUTED_VALUE"""),0.0)</f>
        <v>0</v>
      </c>
      <c r="AF57" s="55"/>
      <c r="AG57" s="55"/>
      <c r="AH57" s="55"/>
      <c r="AI57" s="55"/>
      <c r="AJ57" s="55"/>
      <c r="AK57" s="55"/>
      <c r="AL57" s="55"/>
      <c r="AM57" s="55" t="str">
        <f>IFERROR(__xludf.DUMMYFUNCTION("""COMPUTED_VALUE"""),"NA")</f>
        <v>NA</v>
      </c>
      <c r="AN57" s="55"/>
      <c r="AO57" s="55" t="str">
        <f>IFERROR(__xludf.DUMMYFUNCTION("""COMPUTED_VALUE"""),"NA")</f>
        <v>NA</v>
      </c>
      <c r="AP57" s="55" t="str">
        <f>IFERROR(__xludf.DUMMYFUNCTION("""COMPUTED_VALUE"""),"NA")</f>
        <v>NA</v>
      </c>
      <c r="AQ57" s="55" t="str">
        <f>IFERROR(__xludf.DUMMYFUNCTION("""COMPUTED_VALUE"""),"NA")</f>
        <v>NA</v>
      </c>
      <c r="AR57" s="55" t="str">
        <f>IFERROR(__xludf.DUMMYFUNCTION("""COMPUTED_VALUE"""),"NA")</f>
        <v>NA</v>
      </c>
      <c r="AS57" s="55" t="str">
        <f>IFERROR(__xludf.DUMMYFUNCTION("""COMPUTED_VALUE"""),"NA")</f>
        <v>NA</v>
      </c>
      <c r="AT57" s="55" t="str">
        <f>IFERROR(__xludf.DUMMYFUNCTION("""COMPUTED_VALUE"""),"NA")</f>
        <v>NA</v>
      </c>
      <c r="AU57" s="55"/>
      <c r="AV57" s="55"/>
      <c r="AW57" s="35"/>
      <c r="AX57" s="35"/>
      <c r="AY57" s="35"/>
      <c r="AZ57" s="35"/>
      <c r="BA57" s="35"/>
      <c r="BB57" s="35"/>
      <c r="BC57" s="35"/>
      <c r="BD57" s="35"/>
      <c r="BE57" s="35"/>
      <c r="BF57" s="35"/>
      <c r="BG57" s="35"/>
    </row>
    <row r="58" ht="15.75" customHeight="1">
      <c r="A58" s="55" t="str">
        <f>IFERROR(__xludf.DUMMYFUNCTION("""COMPUTED_VALUE"""),"Youtube")</f>
        <v>Youtube</v>
      </c>
      <c r="B58" s="56">
        <f>IFERROR(__xludf.DUMMYFUNCTION("""COMPUTED_VALUE"""),46190.0)</f>
        <v>46190</v>
      </c>
      <c r="C58" s="55" t="str">
        <f>IFERROR(__xludf.DUMMYFUNCTION("""COMPUTED_VALUE"""),"June")</f>
        <v>June</v>
      </c>
      <c r="D58" s="58" t="str">
        <f>IFERROR(__xludf.DUMMYFUNCTION("""COMPUTED_VALUE"""),"https://www.youtube.com/shorts/RQyqwhTTETs?is=mgn7-Q3pAwuBbxVG")</f>
        <v>https://www.youtube.com/shorts/RQyqwhTTETs?is=mgn7-Q3pAwuBbxVG</v>
      </c>
      <c r="E58" s="55" t="str">
        <f>IFERROR(__xludf.DUMMYFUNCTION("""COMPUTED_VALUE"""),"yt_rqyqwhttets")</f>
        <v>yt_rqyqwhttets</v>
      </c>
      <c r="F58" s="55" t="str">
        <f>IFERROR(__xludf.DUMMYFUNCTION("""COMPUTED_VALUE"""),"NA")</f>
        <v>NA</v>
      </c>
      <c r="G58" s="55" t="str">
        <f>IFERROR(__xludf.DUMMYFUNCTION("""COMPUTED_VALUE"""),"Target Shelf Showdown")</f>
        <v>Target Shelf Showdown</v>
      </c>
      <c r="H58" s="55" t="str">
        <f>IFERROR(__xludf.DUMMYFUNCTION("""COMPUTED_VALUE"""),"NA")</f>
        <v>NA</v>
      </c>
      <c r="I58" s="55">
        <f>IFERROR(__xludf.DUMMYFUNCTION("""COMPUTED_VALUE"""),0.0)</f>
        <v>0</v>
      </c>
      <c r="J58" s="55" t="str">
        <f>IFERROR(__xludf.DUMMYFUNCTION("""COMPUTED_VALUE"""),"N/A")</f>
        <v>N/A</v>
      </c>
      <c r="K58" s="55" t="str">
        <f>IFERROR(__xludf.DUMMYFUNCTION("""COMPUTED_VALUE"""),"No")</f>
        <v>No</v>
      </c>
      <c r="L58" s="55" t="str">
        <f>IFERROR(__xludf.DUMMYFUNCTION("""COMPUTED_VALUE"""),"YouTube/other — not scored")</f>
        <v>YouTube/other — not scored</v>
      </c>
      <c r="M58" s="59" t="str">
        <f>IFERROR(__xludf.DUMMYFUNCTION("""COMPUTED_VALUE"""),"No Ad Data")</f>
        <v>No Ad Data</v>
      </c>
      <c r="N58" s="55"/>
      <c r="O58" s="55"/>
      <c r="P58" s="59">
        <f>IFERROR(__xludf.DUMMYFUNCTION("""COMPUTED_VALUE"""),1404.0)</f>
        <v>1404</v>
      </c>
      <c r="Q58" s="59">
        <f>IFERROR(__xludf.DUMMYFUNCTION("""COMPUTED_VALUE"""),7.0)</f>
        <v>7</v>
      </c>
      <c r="R58" s="59">
        <f>IFERROR(__xludf.DUMMYFUNCTION("""COMPUTED_VALUE"""),0.0)</f>
        <v>0</v>
      </c>
      <c r="S58" s="55"/>
      <c r="T58" s="68">
        <f>IFERROR(__xludf.DUMMYFUNCTION("""COMPUTED_VALUE"""),0.0)</f>
        <v>0</v>
      </c>
      <c r="U58" s="55"/>
      <c r="V58" s="62">
        <f>IFERROR(__xludf.DUMMYFUNCTION("""COMPUTED_VALUE"""),0.005)</f>
        <v>0.005</v>
      </c>
      <c r="W58" s="63">
        <f>IFERROR(__xludf.DUMMYFUNCTION("""COMPUTED_VALUE"""),94.59)</f>
        <v>94.59</v>
      </c>
      <c r="X58" s="59">
        <f>IFERROR(__xludf.DUMMYFUNCTION("""COMPUTED_VALUE"""),1404.0)</f>
        <v>1404</v>
      </c>
      <c r="Y58" s="59">
        <f>IFERROR(__xludf.DUMMYFUNCTION("""COMPUTED_VALUE"""),7.0)</f>
        <v>7</v>
      </c>
      <c r="Z58" s="59">
        <f>IFERROR(__xludf.DUMMYFUNCTION("""COMPUTED_VALUE"""),0.0)</f>
        <v>0</v>
      </c>
      <c r="AA58" s="59">
        <f>IFERROR(__xludf.DUMMYFUNCTION("""COMPUTED_VALUE"""),0.0)</f>
        <v>0</v>
      </c>
      <c r="AB58" s="64">
        <f>IFERROR(__xludf.DUMMYFUNCTION("""COMPUTED_VALUE"""),0.0)</f>
        <v>0</v>
      </c>
      <c r="AC58" s="62">
        <f>IFERROR(__xludf.DUMMYFUNCTION("""COMPUTED_VALUE"""),0.005)</f>
        <v>0.005</v>
      </c>
      <c r="AD58" s="62">
        <f>IFERROR(__xludf.DUMMYFUNCTION("""COMPUTED_VALUE"""),0.0)</f>
        <v>0</v>
      </c>
      <c r="AE58" s="68">
        <f>IFERROR(__xludf.DUMMYFUNCTION("""COMPUTED_VALUE"""),0.0)</f>
        <v>0</v>
      </c>
      <c r="AF58" s="55"/>
      <c r="AG58" s="55"/>
      <c r="AH58" s="55"/>
      <c r="AI58" s="55"/>
      <c r="AJ58" s="55"/>
      <c r="AK58" s="55"/>
      <c r="AL58" s="55"/>
      <c r="AM58" s="55" t="str">
        <f>IFERROR(__xludf.DUMMYFUNCTION("""COMPUTED_VALUE"""),"NA")</f>
        <v>NA</v>
      </c>
      <c r="AN58" s="55"/>
      <c r="AO58" s="55" t="str">
        <f>IFERROR(__xludf.DUMMYFUNCTION("""COMPUTED_VALUE"""),"NA")</f>
        <v>NA</v>
      </c>
      <c r="AP58" s="55" t="str">
        <f>IFERROR(__xludf.DUMMYFUNCTION("""COMPUTED_VALUE"""),"NA")</f>
        <v>NA</v>
      </c>
      <c r="AQ58" s="55" t="str">
        <f>IFERROR(__xludf.DUMMYFUNCTION("""COMPUTED_VALUE"""),"NA")</f>
        <v>NA</v>
      </c>
      <c r="AR58" s="55" t="str">
        <f>IFERROR(__xludf.DUMMYFUNCTION("""COMPUTED_VALUE"""),"NA")</f>
        <v>NA</v>
      </c>
      <c r="AS58" s="55" t="str">
        <f>IFERROR(__xludf.DUMMYFUNCTION("""COMPUTED_VALUE"""),"NA")</f>
        <v>NA</v>
      </c>
      <c r="AT58" s="55" t="str">
        <f>IFERROR(__xludf.DUMMYFUNCTION("""COMPUTED_VALUE"""),"NA")</f>
        <v>NA</v>
      </c>
      <c r="AU58" s="55"/>
      <c r="AV58" s="55"/>
      <c r="AW58" s="35"/>
      <c r="AX58" s="35"/>
      <c r="AY58" s="35"/>
      <c r="AZ58" s="35"/>
      <c r="BA58" s="35"/>
      <c r="BB58" s="35"/>
      <c r="BC58" s="35"/>
      <c r="BD58" s="35"/>
      <c r="BE58" s="35"/>
      <c r="BF58" s="35"/>
      <c r="BG58" s="35"/>
    </row>
    <row r="59" ht="15.75" customHeight="1">
      <c r="A59" s="55" t="str">
        <f>IFERROR(__xludf.DUMMYFUNCTION("""COMPUTED_VALUE"""),"Youtube")</f>
        <v>Youtube</v>
      </c>
      <c r="B59" s="56">
        <f>IFERROR(__xludf.DUMMYFUNCTION("""COMPUTED_VALUE"""),46191.0)</f>
        <v>46191</v>
      </c>
      <c r="C59" s="55" t="str">
        <f>IFERROR(__xludf.DUMMYFUNCTION("""COMPUTED_VALUE"""),"June")</f>
        <v>June</v>
      </c>
      <c r="D59" s="58" t="str">
        <f>IFERROR(__xludf.DUMMYFUNCTION("""COMPUTED_VALUE"""),"https://youtube.com/shorts/o8XewMVxW4g?is=2Y6BpGQ5075nL4JA")</f>
        <v>https://youtube.com/shorts/o8XewMVxW4g?is=2Y6BpGQ5075nL4JA</v>
      </c>
      <c r="E59" s="55" t="str">
        <f>IFERROR(__xludf.DUMMYFUNCTION("""COMPUTED_VALUE"""),"yt_o8xewmvxw4g")</f>
        <v>yt_o8xewmvxw4g</v>
      </c>
      <c r="F59" s="55" t="str">
        <f>IFERROR(__xludf.DUMMYFUNCTION("""COMPUTED_VALUE"""),"NA")</f>
        <v>NA</v>
      </c>
      <c r="G59" s="55" t="str">
        <f>IFERROR(__xludf.DUMMYFUNCTION("""COMPUTED_VALUE"""),"Target Shelf Showdown")</f>
        <v>Target Shelf Showdown</v>
      </c>
      <c r="H59" s="55" t="str">
        <f>IFERROR(__xludf.DUMMYFUNCTION("""COMPUTED_VALUE"""),"NA")</f>
        <v>NA</v>
      </c>
      <c r="I59" s="55">
        <f>IFERROR(__xludf.DUMMYFUNCTION("""COMPUTED_VALUE"""),0.0)</f>
        <v>0</v>
      </c>
      <c r="J59" s="55" t="str">
        <f>IFERROR(__xludf.DUMMYFUNCTION("""COMPUTED_VALUE"""),"N/A")</f>
        <v>N/A</v>
      </c>
      <c r="K59" s="55" t="str">
        <f>IFERROR(__xludf.DUMMYFUNCTION("""COMPUTED_VALUE"""),"No")</f>
        <v>No</v>
      </c>
      <c r="L59" s="55" t="str">
        <f>IFERROR(__xludf.DUMMYFUNCTION("""COMPUTED_VALUE"""),"YouTube/other — not scored")</f>
        <v>YouTube/other — not scored</v>
      </c>
      <c r="M59" s="59" t="str">
        <f>IFERROR(__xludf.DUMMYFUNCTION("""COMPUTED_VALUE"""),"No Ad Data")</f>
        <v>No Ad Data</v>
      </c>
      <c r="N59" s="55"/>
      <c r="O59" s="55"/>
      <c r="P59" s="59">
        <f>IFERROR(__xludf.DUMMYFUNCTION("""COMPUTED_VALUE"""),1106.0)</f>
        <v>1106</v>
      </c>
      <c r="Q59" s="59">
        <f>IFERROR(__xludf.DUMMYFUNCTION("""COMPUTED_VALUE"""),9.0)</f>
        <v>9</v>
      </c>
      <c r="R59" s="59">
        <f>IFERROR(__xludf.DUMMYFUNCTION("""COMPUTED_VALUE"""),0.0)</f>
        <v>0</v>
      </c>
      <c r="S59" s="55"/>
      <c r="T59" s="68">
        <f>IFERROR(__xludf.DUMMYFUNCTION("""COMPUTED_VALUE"""),0.0)</f>
        <v>0</v>
      </c>
      <c r="U59" s="55"/>
      <c r="V59" s="62">
        <f>IFERROR(__xludf.DUMMYFUNCTION("""COMPUTED_VALUE"""),0.0081)</f>
        <v>0.0081</v>
      </c>
      <c r="W59" s="63">
        <f>IFERROR(__xludf.DUMMYFUNCTION("""COMPUTED_VALUE"""),94.59)</f>
        <v>94.59</v>
      </c>
      <c r="X59" s="59">
        <f>IFERROR(__xludf.DUMMYFUNCTION("""COMPUTED_VALUE"""),1106.0)</f>
        <v>1106</v>
      </c>
      <c r="Y59" s="59">
        <f>IFERROR(__xludf.DUMMYFUNCTION("""COMPUTED_VALUE"""),9.0)</f>
        <v>9</v>
      </c>
      <c r="Z59" s="59">
        <f>IFERROR(__xludf.DUMMYFUNCTION("""COMPUTED_VALUE"""),0.0)</f>
        <v>0</v>
      </c>
      <c r="AA59" s="59">
        <f>IFERROR(__xludf.DUMMYFUNCTION("""COMPUTED_VALUE"""),0.0)</f>
        <v>0</v>
      </c>
      <c r="AB59" s="64">
        <f>IFERROR(__xludf.DUMMYFUNCTION("""COMPUTED_VALUE"""),0.0)</f>
        <v>0</v>
      </c>
      <c r="AC59" s="62">
        <f>IFERROR(__xludf.DUMMYFUNCTION("""COMPUTED_VALUE"""),0.0081)</f>
        <v>0.0081</v>
      </c>
      <c r="AD59" s="62">
        <f>IFERROR(__xludf.DUMMYFUNCTION("""COMPUTED_VALUE"""),0.0)</f>
        <v>0</v>
      </c>
      <c r="AE59" s="68">
        <f>IFERROR(__xludf.DUMMYFUNCTION("""COMPUTED_VALUE"""),0.0)</f>
        <v>0</v>
      </c>
      <c r="AF59" s="55"/>
      <c r="AG59" s="55"/>
      <c r="AH59" s="55"/>
      <c r="AI59" s="55"/>
      <c r="AJ59" s="55"/>
      <c r="AK59" s="55"/>
      <c r="AL59" s="55"/>
      <c r="AM59" s="55" t="str">
        <f>IFERROR(__xludf.DUMMYFUNCTION("""COMPUTED_VALUE"""),"NA")</f>
        <v>NA</v>
      </c>
      <c r="AN59" s="55"/>
      <c r="AO59" s="55" t="str">
        <f>IFERROR(__xludf.DUMMYFUNCTION("""COMPUTED_VALUE"""),"NA")</f>
        <v>NA</v>
      </c>
      <c r="AP59" s="55" t="str">
        <f>IFERROR(__xludf.DUMMYFUNCTION("""COMPUTED_VALUE"""),"NA")</f>
        <v>NA</v>
      </c>
      <c r="AQ59" s="55" t="str">
        <f>IFERROR(__xludf.DUMMYFUNCTION("""COMPUTED_VALUE"""),"NA")</f>
        <v>NA</v>
      </c>
      <c r="AR59" s="55" t="str">
        <f>IFERROR(__xludf.DUMMYFUNCTION("""COMPUTED_VALUE"""),"NA")</f>
        <v>NA</v>
      </c>
      <c r="AS59" s="55" t="str">
        <f>IFERROR(__xludf.DUMMYFUNCTION("""COMPUTED_VALUE"""),"NA")</f>
        <v>NA</v>
      </c>
      <c r="AT59" s="55" t="str">
        <f>IFERROR(__xludf.DUMMYFUNCTION("""COMPUTED_VALUE"""),"NA")</f>
        <v>NA</v>
      </c>
      <c r="AU59" s="55"/>
      <c r="AV59" s="55"/>
      <c r="AW59" s="35"/>
      <c r="AX59" s="35"/>
      <c r="AY59" s="35"/>
      <c r="AZ59" s="35"/>
      <c r="BA59" s="35"/>
      <c r="BB59" s="35"/>
      <c r="BC59" s="35"/>
      <c r="BD59" s="35"/>
      <c r="BE59" s="35"/>
      <c r="BF59" s="35"/>
      <c r="BG59" s="35"/>
    </row>
    <row r="60" ht="15.75" customHeight="1">
      <c r="A60" s="55" t="str">
        <f>IFERROR(__xludf.DUMMYFUNCTION("""COMPUTED_VALUE"""),"Youtube")</f>
        <v>Youtube</v>
      </c>
      <c r="B60" s="56">
        <f>IFERROR(__xludf.DUMMYFUNCTION("""COMPUTED_VALUE"""),46203.0)</f>
        <v>46203</v>
      </c>
      <c r="C60" s="55" t="str">
        <f>IFERROR(__xludf.DUMMYFUNCTION("""COMPUTED_VALUE"""),"June")</f>
        <v>June</v>
      </c>
      <c r="D60" s="58" t="str">
        <f>IFERROR(__xludf.DUMMYFUNCTION("""COMPUTED_VALUE"""),"https://www.youtube.com/shorts/7sHxoIZ-FQI")</f>
        <v>https://www.youtube.com/shorts/7sHxoIZ-FQI</v>
      </c>
      <c r="E60" s="55" t="str">
        <f>IFERROR(__xludf.DUMMYFUNCTION("""COMPUTED_VALUE"""),"CasiInfluencer")</f>
        <v>CasiInfluencer</v>
      </c>
      <c r="F60" s="55"/>
      <c r="G60" s="55" t="str">
        <f>IFERROR(__xludf.DUMMYFUNCTION("""COMPUTED_VALUE"""),"Target Shelf Showdown")</f>
        <v>Target Shelf Showdown</v>
      </c>
      <c r="H60" s="55">
        <f>IFERROR(__xludf.DUMMYFUNCTION("""COMPUTED_VALUE"""),71.0)</f>
        <v>71</v>
      </c>
      <c r="I60" s="55">
        <f>IFERROR(__xludf.DUMMYFUNCTION("""COMPUTED_VALUE"""),0.0)</f>
        <v>0</v>
      </c>
      <c r="J60" s="55" t="str">
        <f>IFERROR(__xludf.DUMMYFUNCTION("""COMPUTED_VALUE"""),"N/A")</f>
        <v>N/A</v>
      </c>
      <c r="K60" s="55" t="str">
        <f>IFERROR(__xludf.DUMMYFUNCTION("""COMPUTED_VALUE"""),"No")</f>
        <v>No</v>
      </c>
      <c r="L60" s="55" t="str">
        <f>IFERROR(__xludf.DUMMYFUNCTION("""COMPUTED_VALUE"""),"YouTube/other — not scored")</f>
        <v>YouTube/other — not scored</v>
      </c>
      <c r="M60" s="59" t="str">
        <f>IFERROR(__xludf.DUMMYFUNCTION("""COMPUTED_VALUE"""),"No Ad Data")</f>
        <v>No Ad Data</v>
      </c>
      <c r="N60" s="55"/>
      <c r="O60" s="55"/>
      <c r="P60" s="59">
        <f>IFERROR(__xludf.DUMMYFUNCTION("""COMPUTED_VALUE"""),662.0)</f>
        <v>662</v>
      </c>
      <c r="Q60" s="59">
        <f>IFERROR(__xludf.DUMMYFUNCTION("""COMPUTED_VALUE"""),10.0)</f>
        <v>10</v>
      </c>
      <c r="R60" s="55"/>
      <c r="S60" s="55"/>
      <c r="T60" s="55"/>
      <c r="U60" s="55"/>
      <c r="V60" s="55"/>
      <c r="W60" s="63">
        <f>IFERROR(__xludf.DUMMYFUNCTION("""COMPUTED_VALUE"""),94.59)</f>
        <v>94.59</v>
      </c>
      <c r="X60" s="59">
        <f>IFERROR(__xludf.DUMMYFUNCTION("""COMPUTED_VALUE"""),662.0)</f>
        <v>662</v>
      </c>
      <c r="Y60" s="59">
        <f>IFERROR(__xludf.DUMMYFUNCTION("""COMPUTED_VALUE"""),10.0)</f>
        <v>10</v>
      </c>
      <c r="Z60" s="55"/>
      <c r="AA60" s="55"/>
      <c r="AB60" s="55"/>
      <c r="AC60" s="55"/>
      <c r="AD60" s="55"/>
      <c r="AE60" s="55"/>
      <c r="AF60" s="55"/>
      <c r="AG60" s="55"/>
      <c r="AH60" s="55"/>
      <c r="AI60" s="55"/>
      <c r="AJ60" s="55"/>
      <c r="AK60" s="55"/>
      <c r="AL60" s="55"/>
      <c r="AM60" s="55"/>
      <c r="AN60" s="55"/>
      <c r="AO60" s="55"/>
      <c r="AP60" s="55"/>
      <c r="AQ60" s="55" t="str">
        <f>IFERROR(__xludf.DUMMYFUNCTION("""COMPUTED_VALUE"""),"Una vez que pruebes este cafÃ© no volverÃ¡s a tomar cafÃ© regular.@Target @VahdamUSA#CoffeeWellness")</f>
        <v>Una vez que pruebes este cafÃ© no volverÃ¡s a tomar cafÃ© regular.@Target @VahdamUSA#CoffeeWellness</v>
      </c>
      <c r="AR60" s="55" t="str">
        <f>IFERROR(__xludf.DUMMYFUNCTION("""COMPUTED_VALUE"""),"Dime sinceramente si esto no te suena. En las maÃ±anas, cuando deberÃ­as estar en tu mejor momento, ya estÃ¡s de bajÃ³n.")</f>
        <v>Dime sinceramente si esto no te suena. En las maÃ±anas, cuando deberÃ­as estar en tu mejor momento, ya estÃ¡s de bajÃ³n.</v>
      </c>
      <c r="AS60" s="55" t="str">
        <f>IFERROR(__xludf.DUMMYFUNCTION("""COMPUTED_VALUE"""),"Personal Story")</f>
        <v>Personal Story</v>
      </c>
      <c r="AT60" s="55" t="str">
        <f>IFERROR(__xludf.DUMMYFUNCTION("""COMPUTED_VALUE"""),"• Product introduced mid-video after hook
• Benefits covered: cortisol, crash
• CTA: ""Lo puedes encontrar en Target y cuando lo pruebes te aseguro que no vas a volver...""")</f>
        <v>• Product introduced mid-video after hook
• Benefits covered: cortisol, crash
• CTA: "Lo puedes encontrar en Target y cuando lo pruebes te aseguro que no vas a volver..."</v>
      </c>
      <c r="AU60" s="55" t="str">
        <f>IFERROR(__xludf.DUMMYFUNCTION("""COMPUTED_VALUE"""),"Lo puedes encontrar en Target y cuando lo pruebes te aseguro que no vas a volver al cafÃ© regular.")</f>
        <v>Lo puedes encontrar en Target y cuando lo pruebes te aseguro que no vas a volver al cafÃ© regular.</v>
      </c>
      <c r="AV60" s="55" t="str">
        <f>IFERROR(__xludf.DUMMYFUNCTION("""COMPUTED_VALUE"""),"Dime sinceramente si esto no te suena. En las maÃ±anas, cuando deberÃ­as estar en tu mejor momento, ya estÃ¡s de bajÃ³n. Y hay dÃ­as en que ni tu mejor amiga, ni tu esposo, ni tÃº misma te aguantas. EstÃ¡s en esa etapa de la perimenopausia donde tu cuerpo"&amp;" es un total caos. Falta de sueÃ±o, estrÃ©s constante, irritabilidad por todo. Tu cuerpo te lo estÃ¡ diciendo desde hace mucho tiempo que el cafÃ© normal ya no funciona. Lo bueno es que simples cambios en tu rutina pueden hacer grandes diferencias. Y Barr"&amp;"on Ashwagandha Coffee ha sido el descubrimiento de este aÃ±o para mÃ­. Es mÃ¡s que un cafÃ© delicioso. Es 100% arÃ¡bica, pero ademÃ¡s contiene 5 ingredientes que son necesarios. La ashwagandha para relajarnos y bajar nuestros niveles de cortisol. La L-tia"&amp;"nina para mejorar la calidad del sueÃ±o. CÃºrcuma que es nuestra bestie para ayudarnos en los procesos inflamatorios. Y los dos angos mÃ¡s populares del momento, el melena de leÃ³n y el chaga que son indispensables para mejorar la cogniciÃ³n y darnos clar"&amp;"idad. Â¿Y en quÃ© se traduce todo esto? En estabilidad. Equilibrio de energÃ­a todo el dÃ­a, sin crash, sin bajones. Lo puedes encontrar en Target y cuando lo pruebes te aseguro que no vas a volver al cafÃ© regular.")</f>
        <v>Dime sinceramente si esto no te suena. En las maÃ±anas, cuando deberÃ­as estar en tu mejor momento, ya estÃ¡s de bajÃ³n. Y hay dÃ­as en que ni tu mejor amiga, ni tu esposo, ni tÃº misma te aguantas. EstÃ¡s en esa etapa de la perimenopausia donde tu cuerpo es un total caos. Falta de sueÃ±o, estrÃ©s constante, irritabilidad por todo. Tu cuerpo te lo estÃ¡ diciendo desde hace mucho tiempo que el cafÃ© normal ya no funciona. Lo bueno es que simples cambios en tu rutina pueden hacer grandes diferencias. Y Barron Ashwagandha Coffee ha sido el descubrimiento de este aÃ±o para mÃ­. Es mÃ¡s que un cafÃ© delicioso. Es 100% arÃ¡bica, pero ademÃ¡s contiene 5 ingredientes que son necesarios. La ashwagandha para relajarnos y bajar nuestros niveles de cortisol. La L-tianina para mejorar la calidad del sueÃ±o. CÃºrcuma que es nuestra bestie para ayudarnos en los procesos inflamatorios. Y los dos angos mÃ¡s populares del momento, el melena de leÃ³n y el chaga que son indispensables para mejorar la cogniciÃ³n y darnos claridad. Â¿Y en quÃ© se traduce todo esto? En estabilidad. Equilibrio de energÃ­a todo el dÃ­a, sin crash, sin bajones. Lo puedes encontrar en Target y cuando lo pruebes te aseguro que no vas a volver al cafÃ© regular.</v>
      </c>
      <c r="AW60" s="35"/>
      <c r="AX60" s="35"/>
      <c r="AY60" s="35"/>
      <c r="AZ60" s="35"/>
      <c r="BA60" s="35"/>
      <c r="BB60" s="35"/>
      <c r="BC60" s="35"/>
      <c r="BD60" s="35"/>
      <c r="BE60" s="35"/>
      <c r="BF60" s="35"/>
      <c r="BG60" s="35"/>
    </row>
    <row r="61" ht="15.75" customHeight="1">
      <c r="A61" s="55" t="str">
        <f>IFERROR(__xludf.DUMMYFUNCTION("""COMPUTED_VALUE"""),"Youtube")</f>
        <v>Youtube</v>
      </c>
      <c r="B61" s="56">
        <f>IFERROR(__xludf.DUMMYFUNCTION("""COMPUTED_VALUE"""),46192.0)</f>
        <v>46192</v>
      </c>
      <c r="C61" s="55" t="str">
        <f>IFERROR(__xludf.DUMMYFUNCTION("""COMPUTED_VALUE"""),"June")</f>
        <v>June</v>
      </c>
      <c r="D61" s="58" t="str">
        <f>IFERROR(__xludf.DUMMYFUNCTION("""COMPUTED_VALUE"""),"https://youtube.com/shorts/65fNRm3Yq2M?is=GKrI9W5MUrhEwKDi")</f>
        <v>https://youtube.com/shorts/65fNRm3Yq2M?is=GKrI9W5MUrhEwKDi</v>
      </c>
      <c r="E61" s="55" t="str">
        <f>IFERROR(__xludf.DUMMYFUNCTION("""COMPUTED_VALUE"""),"yt_65fnrm3yq2m")</f>
        <v>yt_65fnrm3yq2m</v>
      </c>
      <c r="F61" s="55" t="str">
        <f>IFERROR(__xludf.DUMMYFUNCTION("""COMPUTED_VALUE"""),"NA")</f>
        <v>NA</v>
      </c>
      <c r="G61" s="55" t="str">
        <f>IFERROR(__xludf.DUMMYFUNCTION("""COMPUTED_VALUE"""),"Target Shelf Showdown")</f>
        <v>Target Shelf Showdown</v>
      </c>
      <c r="H61" s="55" t="str">
        <f>IFERROR(__xludf.DUMMYFUNCTION("""COMPUTED_VALUE"""),"NA")</f>
        <v>NA</v>
      </c>
      <c r="I61" s="55">
        <f>IFERROR(__xludf.DUMMYFUNCTION("""COMPUTED_VALUE"""),0.0)</f>
        <v>0</v>
      </c>
      <c r="J61" s="55" t="str">
        <f>IFERROR(__xludf.DUMMYFUNCTION("""COMPUTED_VALUE"""),"N/A")</f>
        <v>N/A</v>
      </c>
      <c r="K61" s="55" t="str">
        <f>IFERROR(__xludf.DUMMYFUNCTION("""COMPUTED_VALUE"""),"No")</f>
        <v>No</v>
      </c>
      <c r="L61" s="55" t="str">
        <f>IFERROR(__xludf.DUMMYFUNCTION("""COMPUTED_VALUE"""),"YouTube/other — not scored")</f>
        <v>YouTube/other — not scored</v>
      </c>
      <c r="M61" s="59" t="str">
        <f>IFERROR(__xludf.DUMMYFUNCTION("""COMPUTED_VALUE"""),"No Ad Data")</f>
        <v>No Ad Data</v>
      </c>
      <c r="N61" s="55"/>
      <c r="O61" s="55"/>
      <c r="P61" s="59">
        <f>IFERROR(__xludf.DUMMYFUNCTION("""COMPUTED_VALUE"""),633.0)</f>
        <v>633</v>
      </c>
      <c r="Q61" s="59">
        <f>IFERROR(__xludf.DUMMYFUNCTION("""COMPUTED_VALUE"""),5.0)</f>
        <v>5</v>
      </c>
      <c r="R61" s="59">
        <f>IFERROR(__xludf.DUMMYFUNCTION("""COMPUTED_VALUE"""),0.0)</f>
        <v>0</v>
      </c>
      <c r="S61" s="55"/>
      <c r="T61" s="68">
        <f>IFERROR(__xludf.DUMMYFUNCTION("""COMPUTED_VALUE"""),0.0)</f>
        <v>0</v>
      </c>
      <c r="U61" s="55"/>
      <c r="V61" s="62">
        <f>IFERROR(__xludf.DUMMYFUNCTION("""COMPUTED_VALUE"""),0.0078)</f>
        <v>0.0078</v>
      </c>
      <c r="W61" s="63">
        <f>IFERROR(__xludf.DUMMYFUNCTION("""COMPUTED_VALUE"""),67.58)</f>
        <v>67.58</v>
      </c>
      <c r="X61" s="59">
        <f>IFERROR(__xludf.DUMMYFUNCTION("""COMPUTED_VALUE"""),633.0)</f>
        <v>633</v>
      </c>
      <c r="Y61" s="59">
        <f>IFERROR(__xludf.DUMMYFUNCTION("""COMPUTED_VALUE"""),5.0)</f>
        <v>5</v>
      </c>
      <c r="Z61" s="59">
        <f>IFERROR(__xludf.DUMMYFUNCTION("""COMPUTED_VALUE"""),0.0)</f>
        <v>0</v>
      </c>
      <c r="AA61" s="59">
        <f>IFERROR(__xludf.DUMMYFUNCTION("""COMPUTED_VALUE"""),0.0)</f>
        <v>0</v>
      </c>
      <c r="AB61" s="64">
        <f>IFERROR(__xludf.DUMMYFUNCTION("""COMPUTED_VALUE"""),0.0)</f>
        <v>0</v>
      </c>
      <c r="AC61" s="62">
        <f>IFERROR(__xludf.DUMMYFUNCTION("""COMPUTED_VALUE"""),0.0078)</f>
        <v>0.0078</v>
      </c>
      <c r="AD61" s="62">
        <f>IFERROR(__xludf.DUMMYFUNCTION("""COMPUTED_VALUE"""),0.0)</f>
        <v>0</v>
      </c>
      <c r="AE61" s="68">
        <f>IFERROR(__xludf.DUMMYFUNCTION("""COMPUTED_VALUE"""),0.0)</f>
        <v>0</v>
      </c>
      <c r="AF61" s="55"/>
      <c r="AG61" s="55"/>
      <c r="AH61" s="55"/>
      <c r="AI61" s="55"/>
      <c r="AJ61" s="55"/>
      <c r="AK61" s="55"/>
      <c r="AL61" s="55"/>
      <c r="AM61" s="55" t="str">
        <f>IFERROR(__xludf.DUMMYFUNCTION("""COMPUTED_VALUE"""),"NA")</f>
        <v>NA</v>
      </c>
      <c r="AN61" s="55"/>
      <c r="AO61" s="55" t="str">
        <f>IFERROR(__xludf.DUMMYFUNCTION("""COMPUTED_VALUE"""),"NA")</f>
        <v>NA</v>
      </c>
      <c r="AP61" s="55" t="str">
        <f>IFERROR(__xludf.DUMMYFUNCTION("""COMPUTED_VALUE"""),"NA")</f>
        <v>NA</v>
      </c>
      <c r="AQ61" s="55" t="str">
        <f>IFERROR(__xludf.DUMMYFUNCTION("""COMPUTED_VALUE"""),"NA")</f>
        <v>NA</v>
      </c>
      <c r="AR61" s="55" t="str">
        <f>IFERROR(__xludf.DUMMYFUNCTION("""COMPUTED_VALUE"""),"NA")</f>
        <v>NA</v>
      </c>
      <c r="AS61" s="55" t="str">
        <f>IFERROR(__xludf.DUMMYFUNCTION("""COMPUTED_VALUE"""),"NA")</f>
        <v>NA</v>
      </c>
      <c r="AT61" s="55" t="str">
        <f>IFERROR(__xludf.DUMMYFUNCTION("""COMPUTED_VALUE"""),"NA")</f>
        <v>NA</v>
      </c>
      <c r="AU61" s="55"/>
      <c r="AV61" s="55"/>
      <c r="AW61" s="35"/>
      <c r="AX61" s="35"/>
      <c r="AY61" s="35"/>
      <c r="AZ61" s="35"/>
      <c r="BA61" s="35"/>
      <c r="BB61" s="35"/>
      <c r="BC61" s="35"/>
      <c r="BD61" s="35"/>
      <c r="BE61" s="35"/>
      <c r="BF61" s="35"/>
      <c r="BG61" s="35"/>
    </row>
    <row r="62" ht="15.75" customHeight="1">
      <c r="A62" s="55" t="str">
        <f>IFERROR(__xludf.DUMMYFUNCTION("""COMPUTED_VALUE"""),"Youtube")</f>
        <v>Youtube</v>
      </c>
      <c r="B62" s="56">
        <f>IFERROR(__xludf.DUMMYFUNCTION("""COMPUTED_VALUE"""),46185.0)</f>
        <v>46185</v>
      </c>
      <c r="C62" s="55" t="str">
        <f>IFERROR(__xludf.DUMMYFUNCTION("""COMPUTED_VALUE"""),"June")</f>
        <v>June</v>
      </c>
      <c r="D62" s="58" t="str">
        <f>IFERROR(__xludf.DUMMYFUNCTION("""COMPUTED_VALUE"""),"https://www.youtube.com/shorts/65fNRm3Yq2M")</f>
        <v>https://www.youtube.com/shorts/65fNRm3Yq2M</v>
      </c>
      <c r="E62" s="55" t="str">
        <f>IFERROR(__xludf.DUMMYFUNCTION("""COMPUTED_VALUE"""),"yt_65fnrm3yq2m")</f>
        <v>yt_65fnrm3yq2m</v>
      </c>
      <c r="F62" s="55" t="str">
        <f>IFERROR(__xludf.DUMMYFUNCTION("""COMPUTED_VALUE"""),"NA")</f>
        <v>NA</v>
      </c>
      <c r="G62" s="55" t="str">
        <f>IFERROR(__xludf.DUMMYFUNCTION("""COMPUTED_VALUE"""),"Target Shelf Showdown")</f>
        <v>Target Shelf Showdown</v>
      </c>
      <c r="H62" s="55" t="str">
        <f>IFERROR(__xludf.DUMMYFUNCTION("""COMPUTED_VALUE"""),"NA")</f>
        <v>NA</v>
      </c>
      <c r="I62" s="55">
        <f>IFERROR(__xludf.DUMMYFUNCTION("""COMPUTED_VALUE"""),0.0)</f>
        <v>0</v>
      </c>
      <c r="J62" s="55" t="str">
        <f>IFERROR(__xludf.DUMMYFUNCTION("""COMPUTED_VALUE"""),"N/A")</f>
        <v>N/A</v>
      </c>
      <c r="K62" s="55" t="str">
        <f>IFERROR(__xludf.DUMMYFUNCTION("""COMPUTED_VALUE"""),"No")</f>
        <v>No</v>
      </c>
      <c r="L62" s="55" t="str">
        <f>IFERROR(__xludf.DUMMYFUNCTION("""COMPUTED_VALUE"""),"YouTube/other — not scored")</f>
        <v>YouTube/other — not scored</v>
      </c>
      <c r="M62" s="59" t="str">
        <f>IFERROR(__xludf.DUMMYFUNCTION("""COMPUTED_VALUE"""),"No Ad Data")</f>
        <v>No Ad Data</v>
      </c>
      <c r="N62" s="55"/>
      <c r="O62" s="55"/>
      <c r="P62" s="59">
        <f>IFERROR(__xludf.DUMMYFUNCTION("""COMPUTED_VALUE"""),629.0)</f>
        <v>629</v>
      </c>
      <c r="Q62" s="59">
        <f>IFERROR(__xludf.DUMMYFUNCTION("""COMPUTED_VALUE"""),4.0)</f>
        <v>4</v>
      </c>
      <c r="R62" s="59">
        <f>IFERROR(__xludf.DUMMYFUNCTION("""COMPUTED_VALUE"""),0.0)</f>
        <v>0</v>
      </c>
      <c r="S62" s="55"/>
      <c r="T62" s="68">
        <f>IFERROR(__xludf.DUMMYFUNCTION("""COMPUTED_VALUE"""),0.0)</f>
        <v>0</v>
      </c>
      <c r="U62" s="55"/>
      <c r="V62" s="62">
        <f>IFERROR(__xludf.DUMMYFUNCTION("""COMPUTED_VALUE"""),0.006359300477)</f>
        <v>0.006359300477</v>
      </c>
      <c r="W62" s="63">
        <f>IFERROR(__xludf.DUMMYFUNCTION("""COMPUTED_VALUE"""),94.59)</f>
        <v>94.59</v>
      </c>
      <c r="X62" s="59">
        <f>IFERROR(__xludf.DUMMYFUNCTION("""COMPUTED_VALUE"""),629.0)</f>
        <v>629</v>
      </c>
      <c r="Y62" s="59">
        <f>IFERROR(__xludf.DUMMYFUNCTION("""COMPUTED_VALUE"""),4.0)</f>
        <v>4</v>
      </c>
      <c r="Z62" s="59">
        <f>IFERROR(__xludf.DUMMYFUNCTION("""COMPUTED_VALUE"""),0.0)</f>
        <v>0</v>
      </c>
      <c r="AA62" s="59">
        <f>IFERROR(__xludf.DUMMYFUNCTION("""COMPUTED_VALUE"""),0.0)</f>
        <v>0</v>
      </c>
      <c r="AB62" s="64">
        <f>IFERROR(__xludf.DUMMYFUNCTION("""COMPUTED_VALUE"""),0.0)</f>
        <v>0</v>
      </c>
      <c r="AC62" s="62">
        <f>IFERROR(__xludf.DUMMYFUNCTION("""COMPUTED_VALUE"""),0.006359300477)</f>
        <v>0.006359300477</v>
      </c>
      <c r="AD62" s="62">
        <f>IFERROR(__xludf.DUMMYFUNCTION("""COMPUTED_VALUE"""),0.0)</f>
        <v>0</v>
      </c>
      <c r="AE62" s="68">
        <f>IFERROR(__xludf.DUMMYFUNCTION("""COMPUTED_VALUE"""),0.0)</f>
        <v>0</v>
      </c>
      <c r="AF62" s="55"/>
      <c r="AG62" s="55"/>
      <c r="AH62" s="55"/>
      <c r="AI62" s="55"/>
      <c r="AJ62" s="55"/>
      <c r="AK62" s="55"/>
      <c r="AL62" s="55"/>
      <c r="AM62" s="55" t="str">
        <f>IFERROR(__xludf.DUMMYFUNCTION("""COMPUTED_VALUE"""),"NA")</f>
        <v>NA</v>
      </c>
      <c r="AN62" s="55"/>
      <c r="AO62" s="55" t="str">
        <f>IFERROR(__xludf.DUMMYFUNCTION("""COMPUTED_VALUE"""),"NA")</f>
        <v>NA</v>
      </c>
      <c r="AP62" s="55" t="str">
        <f>IFERROR(__xludf.DUMMYFUNCTION("""COMPUTED_VALUE"""),"NA")</f>
        <v>NA</v>
      </c>
      <c r="AQ62" s="55" t="str">
        <f>IFERROR(__xludf.DUMMYFUNCTION("""COMPUTED_VALUE"""),"NA")</f>
        <v>NA</v>
      </c>
      <c r="AR62" s="55" t="str">
        <f>IFERROR(__xludf.DUMMYFUNCTION("""COMPUTED_VALUE"""),"NA")</f>
        <v>NA</v>
      </c>
      <c r="AS62" s="55" t="str">
        <f>IFERROR(__xludf.DUMMYFUNCTION("""COMPUTED_VALUE"""),"NA")</f>
        <v>NA</v>
      </c>
      <c r="AT62" s="55" t="str">
        <f>IFERROR(__xludf.DUMMYFUNCTION("""COMPUTED_VALUE"""),"NA")</f>
        <v>NA</v>
      </c>
      <c r="AU62" s="55"/>
      <c r="AV62" s="55"/>
      <c r="AW62" s="35"/>
      <c r="AX62" s="35"/>
      <c r="AY62" s="35"/>
      <c r="AZ62" s="35"/>
      <c r="BA62" s="35"/>
      <c r="BB62" s="35"/>
      <c r="BC62" s="35"/>
      <c r="BD62" s="35"/>
      <c r="BE62" s="35"/>
      <c r="BF62" s="35"/>
      <c r="BG62" s="35"/>
    </row>
    <row r="63" ht="15.75" customHeight="1">
      <c r="A63" s="55" t="str">
        <f>IFERROR(__xludf.DUMMYFUNCTION("""COMPUTED_VALUE"""),"Youtube")</f>
        <v>Youtube</v>
      </c>
      <c r="B63" s="56">
        <f>IFERROR(__xludf.DUMMYFUNCTION("""COMPUTED_VALUE"""),46191.0)</f>
        <v>46191</v>
      </c>
      <c r="C63" s="55" t="str">
        <f>IFERROR(__xludf.DUMMYFUNCTION("""COMPUTED_VALUE"""),"June")</f>
        <v>June</v>
      </c>
      <c r="D63" s="58" t="str">
        <f>IFERROR(__xludf.DUMMYFUNCTION("""COMPUTED_VALUE"""),"https://www.youtube.com/shorts/6kWz8UzOqys")</f>
        <v>https://www.youtube.com/shorts/6kWz8UzOqys</v>
      </c>
      <c r="E63" s="55" t="str">
        <f>IFERROR(__xludf.DUMMYFUNCTION("""COMPUTED_VALUE"""),"yt_6kwz8uzoqys")</f>
        <v>yt_6kwz8uzoqys</v>
      </c>
      <c r="F63" s="55" t="str">
        <f>IFERROR(__xludf.DUMMYFUNCTION("""COMPUTED_VALUE"""),"NA")</f>
        <v>NA</v>
      </c>
      <c r="G63" s="55" t="str">
        <f>IFERROR(__xludf.DUMMYFUNCTION("""COMPUTED_VALUE"""),"Target Shelf Showdown")</f>
        <v>Target Shelf Showdown</v>
      </c>
      <c r="H63" s="55" t="str">
        <f>IFERROR(__xludf.DUMMYFUNCTION("""COMPUTED_VALUE"""),"NA")</f>
        <v>NA</v>
      </c>
      <c r="I63" s="55">
        <f>IFERROR(__xludf.DUMMYFUNCTION("""COMPUTED_VALUE"""),0.0)</f>
        <v>0</v>
      </c>
      <c r="J63" s="55" t="str">
        <f>IFERROR(__xludf.DUMMYFUNCTION("""COMPUTED_VALUE"""),"N/A")</f>
        <v>N/A</v>
      </c>
      <c r="K63" s="55" t="str">
        <f>IFERROR(__xludf.DUMMYFUNCTION("""COMPUTED_VALUE"""),"No")</f>
        <v>No</v>
      </c>
      <c r="L63" s="55" t="str">
        <f>IFERROR(__xludf.DUMMYFUNCTION("""COMPUTED_VALUE"""),"YouTube/other — not scored")</f>
        <v>YouTube/other — not scored</v>
      </c>
      <c r="M63" s="59" t="str">
        <f>IFERROR(__xludf.DUMMYFUNCTION("""COMPUTED_VALUE"""),"No Ad Data")</f>
        <v>No Ad Data</v>
      </c>
      <c r="N63" s="55"/>
      <c r="O63" s="55"/>
      <c r="P63" s="59">
        <f>IFERROR(__xludf.DUMMYFUNCTION("""COMPUTED_VALUE"""),78.0)</f>
        <v>78</v>
      </c>
      <c r="Q63" s="59">
        <f>IFERROR(__xludf.DUMMYFUNCTION("""COMPUTED_VALUE"""),1.0)</f>
        <v>1</v>
      </c>
      <c r="R63" s="59">
        <f>IFERROR(__xludf.DUMMYFUNCTION("""COMPUTED_VALUE"""),0.0)</f>
        <v>0</v>
      </c>
      <c r="S63" s="55"/>
      <c r="T63" s="68">
        <f>IFERROR(__xludf.DUMMYFUNCTION("""COMPUTED_VALUE"""),0.0)</f>
        <v>0</v>
      </c>
      <c r="U63" s="55"/>
      <c r="V63" s="62">
        <f>IFERROR(__xludf.DUMMYFUNCTION("""COMPUTED_VALUE"""),0.0)</f>
        <v>0</v>
      </c>
      <c r="W63" s="63">
        <f>IFERROR(__xludf.DUMMYFUNCTION("""COMPUTED_VALUE"""),94.59)</f>
        <v>94.59</v>
      </c>
      <c r="X63" s="59">
        <f>IFERROR(__xludf.DUMMYFUNCTION("""COMPUTED_VALUE"""),78.0)</f>
        <v>78</v>
      </c>
      <c r="Y63" s="59">
        <f>IFERROR(__xludf.DUMMYFUNCTION("""COMPUTED_VALUE"""),1.0)</f>
        <v>1</v>
      </c>
      <c r="Z63" s="59">
        <f>IFERROR(__xludf.DUMMYFUNCTION("""COMPUTED_VALUE"""),0.0)</f>
        <v>0</v>
      </c>
      <c r="AA63" s="59">
        <f>IFERROR(__xludf.DUMMYFUNCTION("""COMPUTED_VALUE"""),0.0)</f>
        <v>0</v>
      </c>
      <c r="AB63" s="64">
        <f>IFERROR(__xludf.DUMMYFUNCTION("""COMPUTED_VALUE"""),0.0)</f>
        <v>0</v>
      </c>
      <c r="AC63" s="62">
        <f>IFERROR(__xludf.DUMMYFUNCTION("""COMPUTED_VALUE"""),0.0)</f>
        <v>0</v>
      </c>
      <c r="AD63" s="62">
        <f>IFERROR(__xludf.DUMMYFUNCTION("""COMPUTED_VALUE"""),0.0)</f>
        <v>0</v>
      </c>
      <c r="AE63" s="68">
        <f>IFERROR(__xludf.DUMMYFUNCTION("""COMPUTED_VALUE"""),0.0)</f>
        <v>0</v>
      </c>
      <c r="AF63" s="55"/>
      <c r="AG63" s="55"/>
      <c r="AH63" s="55"/>
      <c r="AI63" s="55"/>
      <c r="AJ63" s="55"/>
      <c r="AK63" s="55"/>
      <c r="AL63" s="55"/>
      <c r="AM63" s="55" t="str">
        <f>IFERROR(__xludf.DUMMYFUNCTION("""COMPUTED_VALUE"""),"NA")</f>
        <v>NA</v>
      </c>
      <c r="AN63" s="55"/>
      <c r="AO63" s="55" t="str">
        <f>IFERROR(__xludf.DUMMYFUNCTION("""COMPUTED_VALUE"""),"NA")</f>
        <v>NA</v>
      </c>
      <c r="AP63" s="55" t="str">
        <f>IFERROR(__xludf.DUMMYFUNCTION("""COMPUTED_VALUE"""),"NA")</f>
        <v>NA</v>
      </c>
      <c r="AQ63" s="55" t="str">
        <f>IFERROR(__xludf.DUMMYFUNCTION("""COMPUTED_VALUE"""),"NA")</f>
        <v>NA</v>
      </c>
      <c r="AR63" s="55" t="str">
        <f>IFERROR(__xludf.DUMMYFUNCTION("""COMPUTED_VALUE"""),"NA")</f>
        <v>NA</v>
      </c>
      <c r="AS63" s="55" t="str">
        <f>IFERROR(__xludf.DUMMYFUNCTION("""COMPUTED_VALUE"""),"NA")</f>
        <v>NA</v>
      </c>
      <c r="AT63" s="55" t="str">
        <f>IFERROR(__xludf.DUMMYFUNCTION("""COMPUTED_VALUE"""),"NA")</f>
        <v>NA</v>
      </c>
      <c r="AU63" s="55"/>
      <c r="AV63" s="55"/>
      <c r="AW63" s="35"/>
      <c r="AX63" s="35"/>
      <c r="AY63" s="35"/>
      <c r="AZ63" s="35"/>
      <c r="BA63" s="35"/>
      <c r="BB63" s="35"/>
      <c r="BC63" s="35"/>
      <c r="BD63" s="35"/>
      <c r="BE63" s="35"/>
      <c r="BF63" s="35"/>
      <c r="BG63" s="35"/>
    </row>
    <row r="64" ht="15.75" customHeight="1">
      <c r="A64" s="55" t="str">
        <f>IFERROR(__xludf.DUMMYFUNCTION("""COMPUTED_VALUE"""),"Youtube")</f>
        <v>Youtube</v>
      </c>
      <c r="B64" s="56">
        <f>IFERROR(__xludf.DUMMYFUNCTION("""COMPUTED_VALUE"""),46199.0)</f>
        <v>46199</v>
      </c>
      <c r="C64" s="55" t="str">
        <f>IFERROR(__xludf.DUMMYFUNCTION("""COMPUTED_VALUE"""),"June")</f>
        <v>June</v>
      </c>
      <c r="D64" s="58" t="str">
        <f>IFERROR(__xludf.DUMMYFUNCTION("""COMPUTED_VALUE"""),"https://youtube.com/shorts/CSJ2P9AXZSI?si=TipWAwRBwZWj2eTW")</f>
        <v>https://youtube.com/shorts/CSJ2P9AXZSI?si=TipWAwRBwZWj2eTW</v>
      </c>
      <c r="E64" s="55" t="str">
        <f>IFERROR(__xludf.DUMMYFUNCTION("""COMPUTED_VALUE"""),"Logan Marsh")</f>
        <v>Logan Marsh</v>
      </c>
      <c r="F64" s="55"/>
      <c r="G64" s="55" t="str">
        <f>IFERROR(__xludf.DUMMYFUNCTION("""COMPUTED_VALUE"""),"Target Shelf Showdown")</f>
        <v>Target Shelf Showdown</v>
      </c>
      <c r="H64" s="55">
        <f>IFERROR(__xludf.DUMMYFUNCTION("""COMPUTED_VALUE"""),42.0)</f>
        <v>42</v>
      </c>
      <c r="I64" s="55">
        <f>IFERROR(__xludf.DUMMYFUNCTION("""COMPUTED_VALUE"""),0.0)</f>
        <v>0</v>
      </c>
      <c r="J64" s="55" t="str">
        <f>IFERROR(__xludf.DUMMYFUNCTION("""COMPUTED_VALUE"""),"N/A")</f>
        <v>N/A</v>
      </c>
      <c r="K64" s="55" t="str">
        <f>IFERROR(__xludf.DUMMYFUNCTION("""COMPUTED_VALUE"""),"No")</f>
        <v>No</v>
      </c>
      <c r="L64" s="55" t="str">
        <f>IFERROR(__xludf.DUMMYFUNCTION("""COMPUTED_VALUE"""),"YouTube/other — not scored")</f>
        <v>YouTube/other — not scored</v>
      </c>
      <c r="M64" s="59" t="str">
        <f>IFERROR(__xludf.DUMMYFUNCTION("""COMPUTED_VALUE"""),"No Ad Data")</f>
        <v>No Ad Data</v>
      </c>
      <c r="N64" s="55"/>
      <c r="O64" s="55"/>
      <c r="P64" s="59">
        <f>IFERROR(__xludf.DUMMYFUNCTION("""COMPUTED_VALUE"""),58.0)</f>
        <v>58</v>
      </c>
      <c r="Q64" s="59">
        <f>IFERROR(__xludf.DUMMYFUNCTION("""COMPUTED_VALUE"""),2.0)</f>
        <v>2</v>
      </c>
      <c r="R64" s="55"/>
      <c r="S64" s="55"/>
      <c r="T64" s="55"/>
      <c r="U64" s="55"/>
      <c r="V64" s="55"/>
      <c r="W64" s="63">
        <f>IFERROR(__xludf.DUMMYFUNCTION("""COMPUTED_VALUE"""),94.59)</f>
        <v>94.59</v>
      </c>
      <c r="X64" s="59">
        <f>IFERROR(__xludf.DUMMYFUNCTION("""COMPUTED_VALUE"""),58.0)</f>
        <v>58</v>
      </c>
      <c r="Y64" s="59">
        <f>IFERROR(__xludf.DUMMYFUNCTION("""COMPUTED_VALUE"""),2.0)</f>
        <v>2</v>
      </c>
      <c r="Z64" s="55"/>
      <c r="AA64" s="55"/>
      <c r="AB64" s="55"/>
      <c r="AC64" s="55"/>
      <c r="AD64" s="55"/>
      <c r="AE64" s="55"/>
      <c r="AF64" s="55"/>
      <c r="AG64" s="55"/>
      <c r="AH64" s="55"/>
      <c r="AI64" s="55"/>
      <c r="AJ64" s="55"/>
      <c r="AK64" s="55"/>
      <c r="AL64" s="55"/>
      <c r="AM64" s="55"/>
      <c r="AN64" s="55"/>
      <c r="AO64" s="55"/>
      <c r="AP64" s="55" t="str">
        <f>IFERROR(__xludf.DUMMYFUNCTION("""COMPUTED_VALUE"""),"Need correct link Dhara Shrivastava")</f>
        <v>Need correct link Dhara Shrivastava</v>
      </c>
      <c r="AQ64" s="55" t="str">
        <f>IFERROR(__xludf.DUMMYFUNCTION("""COMPUTED_VALUE"""),"supports stress, weight management, sleep &amp; focus. @vahdamusa @target such delicious coffee, enjoy!")</f>
        <v>supports stress, weight management, sleep &amp; focus. @vahdamusa @target such delicious coffee, enjoy!</v>
      </c>
      <c r="AR64" s="55" t="str">
        <f>IFERROR(__xludf.DUMMYFUNCTION("""COMPUTED_VALUE"""),"Mushroom coffee proved that people wanted more for their morning cup.")</f>
        <v>Mushroom coffee proved that people wanted more for their morning cup.</v>
      </c>
      <c r="AS64" s="55" t="str">
        <f>IFERROR(__xludf.DUMMYFUNCTION("""COMPUTED_VALUE"""),"Comparison")</f>
        <v>Comparison</v>
      </c>
      <c r="AT64" s="55" t="str">
        <f>IFERROR(__xludf.DUMMYFUNCTION("""COMPUTED_VALUE"""),"• Product introduced immediately in the opening
• Benefits covered: stress, focus
• CTA: ""Now it's available at Target stores nationwide and also target.com.""")</f>
        <v>• Product introduced immediately in the opening
• Benefits covered: stress, focus
• CTA: "Now it's available at Target stores nationwide and also target.com."</v>
      </c>
      <c r="AU64" s="55" t="str">
        <f>IFERROR(__xludf.DUMMYFUNCTION("""COMPUTED_VALUE"""),"Now it's available at Target stores nationwide and also target.com.")</f>
        <v>Now it's available at Target stores nationwide and also target.com.</v>
      </c>
      <c r="AV64" s="55" t="str">
        <f>IFERROR(__xludf.DUMMYFUNCTION("""COMPUTED_VALUE"""),"Mushroom coffee proved that people wanted more for their morning cup. But if stress and focus is the real problems, focus alone isn't enough. That's why I was surprised to find Vadham Ashwagandha coffee on the Target shelves. It's the only Ashwagandha ins"&amp;"tant coffee that you're able to find also on target.com. Clinical trials have shown that the cholesterol can be reduced by up to 28% in just two cups. It can deliver 300 mg. It's the number one best-selling coffee on TikTok Shop UK. Now it's available at "&amp;"Target stores nationwide and also target.com. This feels like the next evolution of functional coffee.")</f>
        <v>Mushroom coffee proved that people wanted more for their morning cup. But if stress and focus is the real problems, focus alone isn't enough. That's why I was surprised to find Vadham Ashwagandha coffee on the Target shelves. It's the only Ashwagandha instant coffee that you're able to find also on target.com. Clinical trials have shown that the cholesterol can be reduced by up to 28% in just two cups. It can deliver 300 mg. It's the number one best-selling coffee on TikTok Shop UK. Now it's available at Target stores nationwide and also target.com. This feels like the next evolution of functional coffee.</v>
      </c>
      <c r="AW64" s="35"/>
      <c r="AX64" s="35"/>
      <c r="AY64" s="35"/>
      <c r="AZ64" s="35"/>
      <c r="BA64" s="35"/>
      <c r="BB64" s="35"/>
      <c r="BC64" s="35"/>
      <c r="BD64" s="35"/>
      <c r="BE64" s="35"/>
      <c r="BF64" s="35"/>
      <c r="BG64" s="35"/>
    </row>
    <row r="65" ht="15.75" customHeight="1">
      <c r="A65" s="55" t="str">
        <f>IFERROR(__xludf.DUMMYFUNCTION("""COMPUTED_VALUE"""),"Youtube")</f>
        <v>Youtube</v>
      </c>
      <c r="B65" s="56">
        <f>IFERROR(__xludf.DUMMYFUNCTION("""COMPUTED_VALUE"""),46199.0)</f>
        <v>46199</v>
      </c>
      <c r="C65" s="55" t="str">
        <f>IFERROR(__xludf.DUMMYFUNCTION("""COMPUTED_VALUE"""),"June")</f>
        <v>June</v>
      </c>
      <c r="D65" s="55" t="str">
        <f>IFERROR(__xludf.DUMMYFUNCTION("""COMPUTED_VALUE"""),"NA")</f>
        <v>NA</v>
      </c>
      <c r="E65" s="55" t="str">
        <f>IFERROR(__xludf.DUMMYFUNCTION("""COMPUTED_VALUE"""),"NA")</f>
        <v>NA</v>
      </c>
      <c r="F65" s="55" t="str">
        <f>IFERROR(__xludf.DUMMYFUNCTION("""COMPUTED_VALUE"""),"NA")</f>
        <v>NA</v>
      </c>
      <c r="G65" s="55" t="str">
        <f>IFERROR(__xludf.DUMMYFUNCTION("""COMPUTED_VALUE"""),"Target Shelf Showdown")</f>
        <v>Target Shelf Showdown</v>
      </c>
      <c r="H65" s="55" t="str">
        <f>IFERROR(__xludf.DUMMYFUNCTION("""COMPUTED_VALUE"""),"NA")</f>
        <v>NA</v>
      </c>
      <c r="I65" s="55">
        <f>IFERROR(__xludf.DUMMYFUNCTION("""COMPUTED_VALUE"""),0.0)</f>
        <v>0</v>
      </c>
      <c r="J65" s="55" t="str">
        <f>IFERROR(__xludf.DUMMYFUNCTION("""COMPUTED_VALUE"""),"N/A")</f>
        <v>N/A</v>
      </c>
      <c r="K65" s="55" t="str">
        <f>IFERROR(__xludf.DUMMYFUNCTION("""COMPUTED_VALUE"""),"No")</f>
        <v>No</v>
      </c>
      <c r="L65" s="55" t="str">
        <f>IFERROR(__xludf.DUMMYFUNCTION("""COMPUTED_VALUE"""),"YouTube/other — not scored")</f>
        <v>YouTube/other — not scored</v>
      </c>
      <c r="M65" s="59" t="str">
        <f>IFERROR(__xludf.DUMMYFUNCTION("""COMPUTED_VALUE"""),"No Ad Data")</f>
        <v>No Ad Data</v>
      </c>
      <c r="N65" s="55"/>
      <c r="O65" s="55"/>
      <c r="P65" s="59">
        <f>IFERROR(__xludf.DUMMYFUNCTION("""COMPUTED_VALUE"""),55.0)</f>
        <v>55</v>
      </c>
      <c r="Q65" s="59">
        <f>IFERROR(__xludf.DUMMYFUNCTION("""COMPUTED_VALUE"""),2.0)</f>
        <v>2</v>
      </c>
      <c r="R65" s="59">
        <f>IFERROR(__xludf.DUMMYFUNCTION("""COMPUTED_VALUE"""),0.0)</f>
        <v>0</v>
      </c>
      <c r="S65" s="55"/>
      <c r="T65" s="68">
        <f>IFERROR(__xludf.DUMMYFUNCTION("""COMPUTED_VALUE"""),11.3)</f>
        <v>11.3</v>
      </c>
      <c r="U65" s="55"/>
      <c r="V65" s="62">
        <f>IFERROR(__xludf.DUMMYFUNCTION("""COMPUTED_VALUE"""),0.0)</f>
        <v>0</v>
      </c>
      <c r="W65" s="63">
        <f>IFERROR(__xludf.DUMMYFUNCTION("""COMPUTED_VALUE"""),94.59)</f>
        <v>94.59</v>
      </c>
      <c r="X65" s="59">
        <f>IFERROR(__xludf.DUMMYFUNCTION("""COMPUTED_VALUE"""),55.0)</f>
        <v>55</v>
      </c>
      <c r="Y65" s="59">
        <f>IFERROR(__xludf.DUMMYFUNCTION("""COMPUTED_VALUE"""),2.0)</f>
        <v>2</v>
      </c>
      <c r="Z65" s="59">
        <f>IFERROR(__xludf.DUMMYFUNCTION("""COMPUTED_VALUE"""),0.0)</f>
        <v>0</v>
      </c>
      <c r="AA65" s="59">
        <f>IFERROR(__xludf.DUMMYFUNCTION("""COMPUTED_VALUE"""),0.0)</f>
        <v>0</v>
      </c>
      <c r="AB65" s="64">
        <f>IFERROR(__xludf.DUMMYFUNCTION("""COMPUTED_VALUE"""),0.0)</f>
        <v>0</v>
      </c>
      <c r="AC65" s="62">
        <f>IFERROR(__xludf.DUMMYFUNCTION("""COMPUTED_VALUE"""),0.0)</f>
        <v>0</v>
      </c>
      <c r="AD65" s="62">
        <f>IFERROR(__xludf.DUMMYFUNCTION("""COMPUTED_VALUE"""),0.0)</f>
        <v>0</v>
      </c>
      <c r="AE65" s="68">
        <f>IFERROR(__xludf.DUMMYFUNCTION("""COMPUTED_VALUE"""),11.3)</f>
        <v>11.3</v>
      </c>
      <c r="AF65" s="55"/>
      <c r="AG65" s="55"/>
      <c r="AH65" s="55"/>
      <c r="AI65" s="55"/>
      <c r="AJ65" s="55"/>
      <c r="AK65" s="55"/>
      <c r="AL65" s="55"/>
      <c r="AM65" s="55" t="str">
        <f>IFERROR(__xludf.DUMMYFUNCTION("""COMPUTED_VALUE"""),"NA")</f>
        <v>NA</v>
      </c>
      <c r="AN65" s="55"/>
      <c r="AO65" s="55" t="str">
        <f>IFERROR(__xludf.DUMMYFUNCTION("""COMPUTED_VALUE"""),"NA")</f>
        <v>NA</v>
      </c>
      <c r="AP65" s="55" t="str">
        <f>IFERROR(__xludf.DUMMYFUNCTION("""COMPUTED_VALUE"""),"Need correct link Dhara Shrivastava")</f>
        <v>Need correct link Dhara Shrivastava</v>
      </c>
      <c r="AQ65" s="55" t="str">
        <f>IFERROR(__xludf.DUMMYFUNCTION("""COMPUTED_VALUE"""),"NA")</f>
        <v>NA</v>
      </c>
      <c r="AR65" s="55" t="str">
        <f>IFERROR(__xludf.DUMMYFUNCTION("""COMPUTED_VALUE"""),"NA")</f>
        <v>NA</v>
      </c>
      <c r="AS65" s="55" t="str">
        <f>IFERROR(__xludf.DUMMYFUNCTION("""COMPUTED_VALUE"""),"NA")</f>
        <v>NA</v>
      </c>
      <c r="AT65" s="55" t="str">
        <f>IFERROR(__xludf.DUMMYFUNCTION("""COMPUTED_VALUE"""),"NA")</f>
        <v>NA</v>
      </c>
      <c r="AU65" s="55" t="str">
        <f>IFERROR(__xludf.DUMMYFUNCTION("""COMPUTED_VALUE"""),"NA")</f>
        <v>NA</v>
      </c>
      <c r="AV65" s="55"/>
      <c r="AW65" s="35"/>
      <c r="AX65" s="35"/>
      <c r="AY65" s="35"/>
      <c r="AZ65" s="35"/>
      <c r="BA65" s="35"/>
      <c r="BB65" s="35"/>
      <c r="BC65" s="35"/>
      <c r="BD65" s="35"/>
      <c r="BE65" s="35"/>
      <c r="BF65" s="35"/>
      <c r="BG65" s="35"/>
    </row>
    <row r="66" ht="15.75" customHeight="1">
      <c r="A66" s="55" t="str">
        <f>IFERROR(__xludf.DUMMYFUNCTION("""COMPUTED_VALUE"""),"Youtube")</f>
        <v>Youtube</v>
      </c>
      <c r="B66" s="56">
        <f>IFERROR(__xludf.DUMMYFUNCTION("""COMPUTED_VALUE"""),46198.0)</f>
        <v>46198</v>
      </c>
      <c r="C66" s="55" t="str">
        <f>IFERROR(__xludf.DUMMYFUNCTION("""COMPUTED_VALUE"""),"June")</f>
        <v>June</v>
      </c>
      <c r="D66" s="58" t="str">
        <f>IFERROR(__xludf.DUMMYFUNCTION("""COMPUTED_VALUE"""),"https://youtube.com/shorts/tHEmtr-T-sM?si=XOAHio7rpFXvDRSW")</f>
        <v>https://youtube.com/shorts/tHEmtr-T-sM?si=XOAHio7rpFXvDRSW</v>
      </c>
      <c r="E66" s="55" t="str">
        <f>IFERROR(__xludf.DUMMYFUNCTION("""COMPUTED_VALUE"""),"Logan Marsh")</f>
        <v>Logan Marsh</v>
      </c>
      <c r="F66" s="55"/>
      <c r="G66" s="55" t="str">
        <f>IFERROR(__xludf.DUMMYFUNCTION("""COMPUTED_VALUE"""),"Target Shelf Showdown")</f>
        <v>Target Shelf Showdown</v>
      </c>
      <c r="H66" s="55">
        <f>IFERROR(__xludf.DUMMYFUNCTION("""COMPUTED_VALUE"""),53.0)</f>
        <v>53</v>
      </c>
      <c r="I66" s="55">
        <f>IFERROR(__xludf.DUMMYFUNCTION("""COMPUTED_VALUE"""),0.0)</f>
        <v>0</v>
      </c>
      <c r="J66" s="55" t="str">
        <f>IFERROR(__xludf.DUMMYFUNCTION("""COMPUTED_VALUE"""),"N/A")</f>
        <v>N/A</v>
      </c>
      <c r="K66" s="55" t="str">
        <f>IFERROR(__xludf.DUMMYFUNCTION("""COMPUTED_VALUE"""),"No")</f>
        <v>No</v>
      </c>
      <c r="L66" s="55" t="str">
        <f>IFERROR(__xludf.DUMMYFUNCTION("""COMPUTED_VALUE"""),"YouTube/other — not scored")</f>
        <v>YouTube/other — not scored</v>
      </c>
      <c r="M66" s="59" t="str">
        <f>IFERROR(__xludf.DUMMYFUNCTION("""COMPUTED_VALUE"""),"No Ad Data")</f>
        <v>No Ad Data</v>
      </c>
      <c r="N66" s="55"/>
      <c r="O66" s="55"/>
      <c r="P66" s="59">
        <f>IFERROR(__xludf.DUMMYFUNCTION("""COMPUTED_VALUE"""),49.0)</f>
        <v>49</v>
      </c>
      <c r="Q66" s="55"/>
      <c r="R66" s="59">
        <f>IFERROR(__xludf.DUMMYFUNCTION("""COMPUTED_VALUE"""),0.0)</f>
        <v>0</v>
      </c>
      <c r="S66" s="55"/>
      <c r="T66" s="55"/>
      <c r="U66" s="55"/>
      <c r="V66" s="55"/>
      <c r="W66" s="63">
        <f>IFERROR(__xludf.DUMMYFUNCTION("""COMPUTED_VALUE"""),94.59)</f>
        <v>94.59</v>
      </c>
      <c r="X66" s="59">
        <f>IFERROR(__xludf.DUMMYFUNCTION("""COMPUTED_VALUE"""),49.0)</f>
        <v>49</v>
      </c>
      <c r="Y66" s="55"/>
      <c r="Z66" s="59">
        <f>IFERROR(__xludf.DUMMYFUNCTION("""COMPUTED_VALUE"""),0.0)</f>
        <v>0</v>
      </c>
      <c r="AA66" s="55"/>
      <c r="AB66" s="55"/>
      <c r="AC66" s="55"/>
      <c r="AD66" s="55"/>
      <c r="AE66" s="55"/>
      <c r="AF66" s="55"/>
      <c r="AG66" s="55"/>
      <c r="AH66" s="55"/>
      <c r="AI66" s="55"/>
      <c r="AJ66" s="55"/>
      <c r="AK66" s="55"/>
      <c r="AL66" s="55"/>
      <c r="AM66" s="55"/>
      <c r="AN66" s="55"/>
      <c r="AO66" s="55"/>
      <c r="AP66" s="55" t="str">
        <f>IFERROR(__xludf.DUMMYFUNCTION("""COMPUTED_VALUE"""),"Need correct link Dhara Shrivastava")</f>
        <v>Need correct link Dhara Shrivastava</v>
      </c>
      <c r="AQ66" s="55" t="str">
        <f>IFERROR(__xludf.DUMMYFUNCTION("""COMPUTED_VALUE"""),"No more afternoon crashes! Letâ€™s built and drop our cortisol together. @target @vahdamusa")</f>
        <v>No more afternoon crashes! Letâ€™s built and drop our cortisol together. @target @vahdamusa</v>
      </c>
      <c r="AR66" s="55" t="str">
        <f>IFERROR(__xludf.DUMMYFUNCTION("""COMPUTED_VALUE"""),"All right. Let me tell you something.")</f>
        <v>All right. Let me tell you something.</v>
      </c>
      <c r="AS66" s="55" t="str">
        <f>IFERROR(__xludf.DUMMYFUNCTION("""COMPUTED_VALUE"""),"Personal Story")</f>
        <v>Personal Story</v>
      </c>
      <c r="AT66" s="55" t="str">
        <f>IFERROR(__xludf.DUMMYFUNCTION("""COMPUTED_VALUE"""),"• Product introduced early (sentence 3)
• Benefits covered: energy, focus, cortisol
• CTA: ""It's the only instant coffee found at Target with KSM-66 Ashwagandha.""")</f>
        <v>• Product introduced early (sentence 3)
• Benefits covered: energy, focus, cortisol
• CTA: "It's the only instant coffee found at Target with KSM-66 Ashwagandha."</v>
      </c>
      <c r="AU66" s="55" t="str">
        <f>IFERROR(__xludf.DUMMYFUNCTION("""COMPUTED_VALUE"""),"It's the only instant coffee found at Target with KSM-66 Ashwagandha.")</f>
        <v>It's the only instant coffee found at Target with KSM-66 Ashwagandha.</v>
      </c>
      <c r="AV66" s="55" t="str">
        <f>IFERROR(__xludf.DUMMYFUNCTION("""COMPUTED_VALUE"""),"All right. Let me tell you something. Just left Target and I'm looking for a instant coffee that doesn't just focus on energy and productivity. I need one that focuses on cortisol. Until I found VitaCup Ashwagandha coffee. It's the only instant coffee fou"&amp;"nd at Target with KSM-66 Ashwagandha. It's the most clinically studied form of Ashwagandha. Just two cups gives you 300 mg. It's the number one best-selling instant coffee in the UK before launching into the US. I've been meaning to tell you all because I"&amp;"'ve been drinking this now for a few weeks and my energy is steady throughout the entire day without needing another coffee in the afternoon. So, if you want a coffee that does more than just boost your focus, this is the one that I recommend for you. You"&amp;" can find it in Target stores nationwide or target.com.")</f>
        <v>All right. Let me tell you something. Just left Target and I'm looking for a instant coffee that doesn't just focus on energy and productivity. I need one that focuses on cortisol. Until I found VitaCup Ashwagandha coffee. It's the only instant coffee found at Target with KSM-66 Ashwagandha. It's the most clinically studied form of Ashwagandha. Just two cups gives you 300 mg. It's the number one best-selling instant coffee in the UK before launching into the US. I've been meaning to tell you all because I've been drinking this now for a few weeks and my energy is steady throughout the entire day without needing another coffee in the afternoon. So, if you want a coffee that does more than just boost your focus, this is the one that I recommend for you. You can find it in Target stores nationwide or target.com.</v>
      </c>
      <c r="AW66" s="35"/>
      <c r="AX66" s="35"/>
      <c r="AY66" s="35"/>
      <c r="AZ66" s="35"/>
      <c r="BA66" s="35"/>
      <c r="BB66" s="35"/>
      <c r="BC66" s="35"/>
      <c r="BD66" s="35"/>
      <c r="BE66" s="35"/>
      <c r="BF66" s="35"/>
      <c r="BG66" s="35"/>
    </row>
    <row r="67" ht="15.75" customHeight="1">
      <c r="A67" s="55" t="str">
        <f>IFERROR(__xludf.DUMMYFUNCTION("""COMPUTED_VALUE"""),"Youtube")</f>
        <v>Youtube</v>
      </c>
      <c r="B67" s="56">
        <f>IFERROR(__xludf.DUMMYFUNCTION("""COMPUTED_VALUE"""),46196.0)</f>
        <v>46196</v>
      </c>
      <c r="C67" s="55" t="str">
        <f>IFERROR(__xludf.DUMMYFUNCTION("""COMPUTED_VALUE"""),"June")</f>
        <v>June</v>
      </c>
      <c r="D67" s="58" t="str">
        <f>IFERROR(__xludf.DUMMYFUNCTION("""COMPUTED_VALUE"""),"https://youtube.com/shorts/La8B5OveXQU?is=5JplbcdXPHyT1HYa")</f>
        <v>https://youtube.com/shorts/La8B5OveXQU?is=5JplbcdXPHyT1HYa</v>
      </c>
      <c r="E67" s="55" t="str">
        <f>IFERROR(__xludf.DUMMYFUNCTION("""COMPUTED_VALUE"""),"yt_la8b5ovexqu")</f>
        <v>yt_la8b5ovexqu</v>
      </c>
      <c r="F67" s="55" t="str">
        <f>IFERROR(__xludf.DUMMYFUNCTION("""COMPUTED_VALUE"""),"NA")</f>
        <v>NA</v>
      </c>
      <c r="G67" s="55" t="str">
        <f>IFERROR(__xludf.DUMMYFUNCTION("""COMPUTED_VALUE"""),"Target Shelf Showdown")</f>
        <v>Target Shelf Showdown</v>
      </c>
      <c r="H67" s="55" t="str">
        <f>IFERROR(__xludf.DUMMYFUNCTION("""COMPUTED_VALUE"""),"NA")</f>
        <v>NA</v>
      </c>
      <c r="I67" s="55">
        <f>IFERROR(__xludf.DUMMYFUNCTION("""COMPUTED_VALUE"""),0.0)</f>
        <v>0</v>
      </c>
      <c r="J67" s="55" t="str">
        <f>IFERROR(__xludf.DUMMYFUNCTION("""COMPUTED_VALUE"""),"N/A")</f>
        <v>N/A</v>
      </c>
      <c r="K67" s="55" t="str">
        <f>IFERROR(__xludf.DUMMYFUNCTION("""COMPUTED_VALUE"""),"No")</f>
        <v>No</v>
      </c>
      <c r="L67" s="55" t="str">
        <f>IFERROR(__xludf.DUMMYFUNCTION("""COMPUTED_VALUE"""),"YouTube/other — not scored")</f>
        <v>YouTube/other — not scored</v>
      </c>
      <c r="M67" s="59" t="str">
        <f>IFERROR(__xludf.DUMMYFUNCTION("""COMPUTED_VALUE"""),"No Ad Data")</f>
        <v>No Ad Data</v>
      </c>
      <c r="N67" s="55"/>
      <c r="O67" s="55"/>
      <c r="P67" s="59">
        <f>IFERROR(__xludf.DUMMYFUNCTION("""COMPUTED_VALUE"""),44.0)</f>
        <v>44</v>
      </c>
      <c r="Q67" s="59">
        <f>IFERROR(__xludf.DUMMYFUNCTION("""COMPUTED_VALUE"""),1.0)</f>
        <v>1</v>
      </c>
      <c r="R67" s="59">
        <f>IFERROR(__xludf.DUMMYFUNCTION("""COMPUTED_VALUE"""),0.0)</f>
        <v>0</v>
      </c>
      <c r="S67" s="55"/>
      <c r="T67" s="68">
        <f>IFERROR(__xludf.DUMMYFUNCTION("""COMPUTED_VALUE"""),0.0)</f>
        <v>0</v>
      </c>
      <c r="U67" s="55"/>
      <c r="V67" s="62">
        <f>IFERROR(__xludf.DUMMYFUNCTION("""COMPUTED_VALUE"""),0.0227)</f>
        <v>0.0227</v>
      </c>
      <c r="W67" s="63">
        <f>IFERROR(__xludf.DUMMYFUNCTION("""COMPUTED_VALUE"""),94.59)</f>
        <v>94.59</v>
      </c>
      <c r="X67" s="59">
        <f>IFERROR(__xludf.DUMMYFUNCTION("""COMPUTED_VALUE"""),44.0)</f>
        <v>44</v>
      </c>
      <c r="Y67" s="59">
        <f>IFERROR(__xludf.DUMMYFUNCTION("""COMPUTED_VALUE"""),1.0)</f>
        <v>1</v>
      </c>
      <c r="Z67" s="59">
        <f>IFERROR(__xludf.DUMMYFUNCTION("""COMPUTED_VALUE"""),0.0)</f>
        <v>0</v>
      </c>
      <c r="AA67" s="59">
        <f>IFERROR(__xludf.DUMMYFUNCTION("""COMPUTED_VALUE"""),0.0)</f>
        <v>0</v>
      </c>
      <c r="AB67" s="64">
        <f>IFERROR(__xludf.DUMMYFUNCTION("""COMPUTED_VALUE"""),0.0)</f>
        <v>0</v>
      </c>
      <c r="AC67" s="62">
        <f>IFERROR(__xludf.DUMMYFUNCTION("""COMPUTED_VALUE"""),0.0227)</f>
        <v>0.0227</v>
      </c>
      <c r="AD67" s="62">
        <f>IFERROR(__xludf.DUMMYFUNCTION("""COMPUTED_VALUE"""),0.0)</f>
        <v>0</v>
      </c>
      <c r="AE67" s="68">
        <f>IFERROR(__xludf.DUMMYFUNCTION("""COMPUTED_VALUE"""),0.0)</f>
        <v>0</v>
      </c>
      <c r="AF67" s="55"/>
      <c r="AG67" s="55"/>
      <c r="AH67" s="55"/>
      <c r="AI67" s="55"/>
      <c r="AJ67" s="55"/>
      <c r="AK67" s="55"/>
      <c r="AL67" s="55"/>
      <c r="AM67" s="55" t="str">
        <f>IFERROR(__xludf.DUMMYFUNCTION("""COMPUTED_VALUE"""),"NA")</f>
        <v>NA</v>
      </c>
      <c r="AN67" s="55"/>
      <c r="AO67" s="55" t="str">
        <f>IFERROR(__xludf.DUMMYFUNCTION("""COMPUTED_VALUE"""),"NA")</f>
        <v>NA</v>
      </c>
      <c r="AP67" s="55" t="str">
        <f>IFERROR(__xludf.DUMMYFUNCTION("""COMPUTED_VALUE"""),"NA")</f>
        <v>NA</v>
      </c>
      <c r="AQ67" s="55" t="str">
        <f>IFERROR(__xludf.DUMMYFUNCTION("""COMPUTED_VALUE"""),"NA")</f>
        <v>NA</v>
      </c>
      <c r="AR67" s="55" t="str">
        <f>IFERROR(__xludf.DUMMYFUNCTION("""COMPUTED_VALUE"""),"NA")</f>
        <v>NA</v>
      </c>
      <c r="AS67" s="55" t="str">
        <f>IFERROR(__xludf.DUMMYFUNCTION("""COMPUTED_VALUE"""),"NA")</f>
        <v>NA</v>
      </c>
      <c r="AT67" s="55" t="str">
        <f>IFERROR(__xludf.DUMMYFUNCTION("""COMPUTED_VALUE"""),"NA")</f>
        <v>NA</v>
      </c>
      <c r="AU67" s="55"/>
      <c r="AV67" s="55"/>
      <c r="AW67" s="35"/>
      <c r="AX67" s="35"/>
      <c r="AY67" s="35"/>
      <c r="AZ67" s="35"/>
      <c r="BA67" s="35"/>
      <c r="BB67" s="35"/>
      <c r="BC67" s="35"/>
      <c r="BD67" s="35"/>
      <c r="BE67" s="35"/>
      <c r="BF67" s="35"/>
      <c r="BG67" s="35"/>
    </row>
    <row r="68" ht="15.75" customHeight="1">
      <c r="A68" s="55" t="str">
        <f>IFERROR(__xludf.DUMMYFUNCTION("""COMPUTED_VALUE"""),"Youtube")</f>
        <v>Youtube</v>
      </c>
      <c r="B68" s="56">
        <f>IFERROR(__xludf.DUMMYFUNCTION("""COMPUTED_VALUE"""),46198.0)</f>
        <v>46198</v>
      </c>
      <c r="C68" s="55" t="str">
        <f>IFERROR(__xludf.DUMMYFUNCTION("""COMPUTED_VALUE"""),"June")</f>
        <v>June</v>
      </c>
      <c r="D68" s="58" t="str">
        <f>IFERROR(__xludf.DUMMYFUNCTION("""COMPUTED_VALUE"""),"https://youtube.com/shorts/i5e53gANZ1Y?si=t8-LMENSaG5LMIAy")</f>
        <v>https://youtube.com/shorts/i5e53gANZ1Y?si=t8-LMENSaG5LMIAy</v>
      </c>
      <c r="E68" s="55" t="str">
        <f>IFERROR(__xludf.DUMMYFUNCTION("""COMPUTED_VALUE"""),"Logan Marsh")</f>
        <v>Logan Marsh</v>
      </c>
      <c r="F68" s="55"/>
      <c r="G68" s="55" t="str">
        <f>IFERROR(__xludf.DUMMYFUNCTION("""COMPUTED_VALUE"""),"Target Shelf Showdown")</f>
        <v>Target Shelf Showdown</v>
      </c>
      <c r="H68" s="55">
        <f>IFERROR(__xludf.DUMMYFUNCTION("""COMPUTED_VALUE"""),42.0)</f>
        <v>42</v>
      </c>
      <c r="I68" s="55">
        <f>IFERROR(__xludf.DUMMYFUNCTION("""COMPUTED_VALUE"""),0.0)</f>
        <v>0</v>
      </c>
      <c r="J68" s="55" t="str">
        <f>IFERROR(__xludf.DUMMYFUNCTION("""COMPUTED_VALUE"""),"N/A")</f>
        <v>N/A</v>
      </c>
      <c r="K68" s="55" t="str">
        <f>IFERROR(__xludf.DUMMYFUNCTION("""COMPUTED_VALUE"""),"No")</f>
        <v>No</v>
      </c>
      <c r="L68" s="55" t="str">
        <f>IFERROR(__xludf.DUMMYFUNCTION("""COMPUTED_VALUE"""),"YouTube/other — not scored")</f>
        <v>YouTube/other — not scored</v>
      </c>
      <c r="M68" s="59" t="str">
        <f>IFERROR(__xludf.DUMMYFUNCTION("""COMPUTED_VALUE"""),"No Ad Data")</f>
        <v>No Ad Data</v>
      </c>
      <c r="N68" s="55"/>
      <c r="O68" s="55"/>
      <c r="P68" s="59">
        <f>IFERROR(__xludf.DUMMYFUNCTION("""COMPUTED_VALUE"""),30.0)</f>
        <v>30</v>
      </c>
      <c r="Q68" s="55"/>
      <c r="R68" s="59">
        <f>IFERROR(__xludf.DUMMYFUNCTION("""COMPUTED_VALUE"""),0.0)</f>
        <v>0</v>
      </c>
      <c r="S68" s="55"/>
      <c r="T68" s="55"/>
      <c r="U68" s="55"/>
      <c r="V68" s="55"/>
      <c r="W68" s="63">
        <f>IFERROR(__xludf.DUMMYFUNCTION("""COMPUTED_VALUE"""),94.59)</f>
        <v>94.59</v>
      </c>
      <c r="X68" s="59">
        <f>IFERROR(__xludf.DUMMYFUNCTION("""COMPUTED_VALUE"""),30.0)</f>
        <v>30</v>
      </c>
      <c r="Y68" s="55"/>
      <c r="Z68" s="59">
        <f>IFERROR(__xludf.DUMMYFUNCTION("""COMPUTED_VALUE"""),0.0)</f>
        <v>0</v>
      </c>
      <c r="AA68" s="55"/>
      <c r="AB68" s="55"/>
      <c r="AC68" s="55"/>
      <c r="AD68" s="55"/>
      <c r="AE68" s="55"/>
      <c r="AF68" s="55"/>
      <c r="AG68" s="55"/>
      <c r="AH68" s="55"/>
      <c r="AI68" s="55"/>
      <c r="AJ68" s="55"/>
      <c r="AK68" s="55"/>
      <c r="AL68" s="55"/>
      <c r="AM68" s="55"/>
      <c r="AN68" s="55"/>
      <c r="AO68" s="55"/>
      <c r="AP68" s="55" t="str">
        <f>IFERROR(__xludf.DUMMYFUNCTION("""COMPUTED_VALUE"""),"Need correct link Dhara Shrivastava")</f>
        <v>Need correct link Dhara Shrivastava</v>
      </c>
      <c r="AQ68" s="55" t="str">
        <f>IFERROR(__xludf.DUMMYFUNCTION("""COMPUTED_VALUE"""),"I upgraded my regular coffee to a smarter wellness coffee @target @vahdamusa")</f>
        <v>I upgraded my regular coffee to a smarter wellness coffee @target @vahdamusa</v>
      </c>
      <c r="AR68" s="55" t="str">
        <f>IFERROR(__xludf.DUMMYFUNCTION("""COMPUTED_VALUE"""),"Mushroom coffee had its moments. It's showing people wanting more for their morning cup.")</f>
        <v>Mushroom coffee had its moments. It's showing people wanting more for their morning cup.</v>
      </c>
      <c r="AS68" s="55" t="str">
        <f>IFERROR(__xludf.DUMMYFUNCTION("""COMPUTED_VALUE"""),"Comparison")</f>
        <v>Comparison</v>
      </c>
      <c r="AT68" s="55" t="str">
        <f>IFERROR(__xludf.DUMMYFUNCTION("""COMPUTED_VALUE"""),"• Product introduced immediately in the opening
• Benefits covered: cortisol, focus
• CTA: ""Now, it's available in Target stores nationwide and also at target.com.""")</f>
        <v>• Product introduced immediately in the opening
• Benefits covered: cortisol, focus
• CTA: "Now, it's available in Target stores nationwide and also at target.com."</v>
      </c>
      <c r="AU68" s="55" t="str">
        <f>IFERROR(__xludf.DUMMYFUNCTION("""COMPUTED_VALUE"""),"Now, it's available in Target stores nationwide and also at target.com.")</f>
        <v>Now, it's available in Target stores nationwide and also at target.com.</v>
      </c>
      <c r="AV68" s="55" t="str">
        <f>IFERROR(__xludf.DUMMYFUNCTION("""COMPUTED_VALUE"""),"Mushroom coffee had its moments. It's showing people wanting more for their morning cup. While mushrooms support focus, they don't address the cortisol levels. And those elevated cortisol levels can leave you feeling tired, foggy, and run-down. Meet Ashwa"&amp;"gandha coffee, the only instant coffee that is in the Target shelves. It's made to support healthy cortisol levels. It features KSM-66 Ashwagandha, clinically shown to reduce cortisol levels by up to 28% It's the number one selling functional coffee in th"&amp;"e UK. Now, it's available in Target stores nationwide and also at target.com. Try the coffee that's changing the functional coffee game.")</f>
        <v>Mushroom coffee had its moments. It's showing people wanting more for their morning cup. While mushrooms support focus, they don't address the cortisol levels. And those elevated cortisol levels can leave you feeling tired, foggy, and run-down. Meet Ashwagandha coffee, the only instant coffee that is in the Target shelves. It's made to support healthy cortisol levels. It features KSM-66 Ashwagandha, clinically shown to reduce cortisol levels by up to 28% It's the number one selling functional coffee in the UK. Now, it's available in Target stores nationwide and also at target.com. Try the coffee that's changing the functional coffee game.</v>
      </c>
      <c r="AW68" s="35"/>
      <c r="AX68" s="35"/>
      <c r="AY68" s="35"/>
      <c r="AZ68" s="35"/>
      <c r="BA68" s="35"/>
      <c r="BB68" s="35"/>
      <c r="BC68" s="35"/>
      <c r="BD68" s="35"/>
      <c r="BE68" s="35"/>
      <c r="BF68" s="35"/>
      <c r="BG68" s="35"/>
    </row>
    <row r="69" ht="15.75" customHeight="1">
      <c r="A69" s="55" t="str">
        <f>IFERROR(__xludf.DUMMYFUNCTION("""COMPUTED_VALUE"""),"Youtube")</f>
        <v>Youtube</v>
      </c>
      <c r="B69" s="56">
        <f>IFERROR(__xludf.DUMMYFUNCTION("""COMPUTED_VALUE"""),46191.0)</f>
        <v>46191</v>
      </c>
      <c r="C69" s="55" t="str">
        <f>IFERROR(__xludf.DUMMYFUNCTION("""COMPUTED_VALUE"""),"June")</f>
        <v>June</v>
      </c>
      <c r="D69" s="58" t="str">
        <f>IFERROR(__xludf.DUMMYFUNCTION("""COMPUTED_VALUE"""),"https://www.youtube.com/shorts/qr2zLa0swYY")</f>
        <v>https://www.youtube.com/shorts/qr2zLa0swYY</v>
      </c>
      <c r="E69" s="55" t="str">
        <f>IFERROR(__xludf.DUMMYFUNCTION("""COMPUTED_VALUE"""),"yt_qr2zla0swyy")</f>
        <v>yt_qr2zla0swyy</v>
      </c>
      <c r="F69" s="55" t="str">
        <f>IFERROR(__xludf.DUMMYFUNCTION("""COMPUTED_VALUE"""),"NA")</f>
        <v>NA</v>
      </c>
      <c r="G69" s="55" t="str">
        <f>IFERROR(__xludf.DUMMYFUNCTION("""COMPUTED_VALUE"""),"Target Shelf Showdown")</f>
        <v>Target Shelf Showdown</v>
      </c>
      <c r="H69" s="55" t="str">
        <f>IFERROR(__xludf.DUMMYFUNCTION("""COMPUTED_VALUE"""),"NA")</f>
        <v>NA</v>
      </c>
      <c r="I69" s="55">
        <f>IFERROR(__xludf.DUMMYFUNCTION("""COMPUTED_VALUE"""),0.0)</f>
        <v>0</v>
      </c>
      <c r="J69" s="55" t="str">
        <f>IFERROR(__xludf.DUMMYFUNCTION("""COMPUTED_VALUE"""),"N/A")</f>
        <v>N/A</v>
      </c>
      <c r="K69" s="55" t="str">
        <f>IFERROR(__xludf.DUMMYFUNCTION("""COMPUTED_VALUE"""),"No")</f>
        <v>No</v>
      </c>
      <c r="L69" s="55" t="str">
        <f>IFERROR(__xludf.DUMMYFUNCTION("""COMPUTED_VALUE"""),"YouTube/other — not scored")</f>
        <v>YouTube/other — not scored</v>
      </c>
      <c r="M69" s="59" t="str">
        <f>IFERROR(__xludf.DUMMYFUNCTION("""COMPUTED_VALUE"""),"No Ad Data")</f>
        <v>No Ad Data</v>
      </c>
      <c r="N69" s="55"/>
      <c r="O69" s="55"/>
      <c r="P69" s="59">
        <f>IFERROR(__xludf.DUMMYFUNCTION("""COMPUTED_VALUE"""),13.0)</f>
        <v>13</v>
      </c>
      <c r="Q69" s="59">
        <f>IFERROR(__xludf.DUMMYFUNCTION("""COMPUTED_VALUE"""),0.0)</f>
        <v>0</v>
      </c>
      <c r="R69" s="59">
        <f>IFERROR(__xludf.DUMMYFUNCTION("""COMPUTED_VALUE"""),0.0)</f>
        <v>0</v>
      </c>
      <c r="S69" s="55"/>
      <c r="T69" s="68">
        <f>IFERROR(__xludf.DUMMYFUNCTION("""COMPUTED_VALUE"""),0.0)</f>
        <v>0</v>
      </c>
      <c r="U69" s="55"/>
      <c r="V69" s="62">
        <f>IFERROR(__xludf.DUMMYFUNCTION("""COMPUTED_VALUE"""),0.0)</f>
        <v>0</v>
      </c>
      <c r="W69" s="63">
        <f>IFERROR(__xludf.DUMMYFUNCTION("""COMPUTED_VALUE"""),94.59)</f>
        <v>94.59</v>
      </c>
      <c r="X69" s="59">
        <f>IFERROR(__xludf.DUMMYFUNCTION("""COMPUTED_VALUE"""),13.0)</f>
        <v>13</v>
      </c>
      <c r="Y69" s="59">
        <f>IFERROR(__xludf.DUMMYFUNCTION("""COMPUTED_VALUE"""),0.0)</f>
        <v>0</v>
      </c>
      <c r="Z69" s="59">
        <f>IFERROR(__xludf.DUMMYFUNCTION("""COMPUTED_VALUE"""),0.0)</f>
        <v>0</v>
      </c>
      <c r="AA69" s="59">
        <f>IFERROR(__xludf.DUMMYFUNCTION("""COMPUTED_VALUE"""),0.0)</f>
        <v>0</v>
      </c>
      <c r="AB69" s="64">
        <f>IFERROR(__xludf.DUMMYFUNCTION("""COMPUTED_VALUE"""),0.0)</f>
        <v>0</v>
      </c>
      <c r="AC69" s="62">
        <f>IFERROR(__xludf.DUMMYFUNCTION("""COMPUTED_VALUE"""),0.0)</f>
        <v>0</v>
      </c>
      <c r="AD69" s="62">
        <f>IFERROR(__xludf.DUMMYFUNCTION("""COMPUTED_VALUE"""),0.0)</f>
        <v>0</v>
      </c>
      <c r="AE69" s="68">
        <f>IFERROR(__xludf.DUMMYFUNCTION("""COMPUTED_VALUE"""),0.0)</f>
        <v>0</v>
      </c>
      <c r="AF69" s="55"/>
      <c r="AG69" s="55"/>
      <c r="AH69" s="55"/>
      <c r="AI69" s="55"/>
      <c r="AJ69" s="55"/>
      <c r="AK69" s="55"/>
      <c r="AL69" s="55"/>
      <c r="AM69" s="55" t="str">
        <f>IFERROR(__xludf.DUMMYFUNCTION("""COMPUTED_VALUE"""),"NA")</f>
        <v>NA</v>
      </c>
      <c r="AN69" s="55"/>
      <c r="AO69" s="55" t="str">
        <f>IFERROR(__xludf.DUMMYFUNCTION("""COMPUTED_VALUE"""),"NA")</f>
        <v>NA</v>
      </c>
      <c r="AP69" s="55" t="str">
        <f>IFERROR(__xludf.DUMMYFUNCTION("""COMPUTED_VALUE"""),"NA")</f>
        <v>NA</v>
      </c>
      <c r="AQ69" s="55" t="str">
        <f>IFERROR(__xludf.DUMMYFUNCTION("""COMPUTED_VALUE"""),"NA")</f>
        <v>NA</v>
      </c>
      <c r="AR69" s="55" t="str">
        <f>IFERROR(__xludf.DUMMYFUNCTION("""COMPUTED_VALUE"""),"NA")</f>
        <v>NA</v>
      </c>
      <c r="AS69" s="55" t="str">
        <f>IFERROR(__xludf.DUMMYFUNCTION("""COMPUTED_VALUE"""),"NA")</f>
        <v>NA</v>
      </c>
      <c r="AT69" s="55" t="str">
        <f>IFERROR(__xludf.DUMMYFUNCTION("""COMPUTED_VALUE"""),"NA")</f>
        <v>NA</v>
      </c>
      <c r="AU69" s="55"/>
      <c r="AV69" s="55"/>
      <c r="AW69" s="35"/>
      <c r="AX69" s="35"/>
      <c r="AY69" s="35"/>
      <c r="AZ69" s="35"/>
      <c r="BA69" s="35"/>
      <c r="BB69" s="35"/>
      <c r="BC69" s="35"/>
      <c r="BD69" s="35"/>
      <c r="BE69" s="35"/>
      <c r="BF69" s="35"/>
      <c r="BG69" s="35"/>
    </row>
    <row r="70" ht="15.75" customHeight="1">
      <c r="A70" s="55" t="str">
        <f>IFERROR(__xludf.DUMMYFUNCTION("""COMPUTED_VALUE"""),"Youtube")</f>
        <v>Youtube</v>
      </c>
      <c r="B70" s="56">
        <f>IFERROR(__xludf.DUMMYFUNCTION("""COMPUTED_VALUE"""),46204.0)</f>
        <v>46204</v>
      </c>
      <c r="C70" s="55" t="str">
        <f>IFERROR(__xludf.DUMMYFUNCTION("""COMPUTED_VALUE"""),"July")</f>
        <v>July</v>
      </c>
      <c r="D70" s="58" t="str">
        <f>IFERROR(__xludf.DUMMYFUNCTION("""COMPUTED_VALUE"""),"https://youtube.com/shorts/ebTQO07TJRI?is=FakzRPS9jISWI1Oo")</f>
        <v>https://youtube.com/shorts/ebTQO07TJRI?is=FakzRPS9jISWI1Oo</v>
      </c>
      <c r="E70" s="55" t="str">
        <f>IFERROR(__xludf.DUMMYFUNCTION("""COMPUTED_VALUE"""),"@na")</f>
        <v>@na</v>
      </c>
      <c r="F70" s="55"/>
      <c r="G70" s="55" t="str">
        <f>IFERROR(__xludf.DUMMYFUNCTION("""COMPUTED_VALUE"""),"Target Shelf Showdown")</f>
        <v>Target Shelf Showdown</v>
      </c>
      <c r="H70" s="55"/>
      <c r="I70" s="55">
        <f>IFERROR(__xludf.DUMMYFUNCTION("""COMPUTED_VALUE"""),0.0)</f>
        <v>0</v>
      </c>
      <c r="J70" s="55" t="str">
        <f>IFERROR(__xludf.DUMMYFUNCTION("""COMPUTED_VALUE"""),"N/A")</f>
        <v>N/A</v>
      </c>
      <c r="K70" s="55" t="str">
        <f>IFERROR(__xludf.DUMMYFUNCTION("""COMPUTED_VALUE"""),"No")</f>
        <v>No</v>
      </c>
      <c r="L70" s="55" t="str">
        <f>IFERROR(__xludf.DUMMYFUNCTION("""COMPUTED_VALUE"""),"YouTube not scored")</f>
        <v>YouTube not scored</v>
      </c>
      <c r="M70" s="55" t="str">
        <f>IFERROR(__xludf.DUMMYFUNCTION("""COMPUTED_VALUE"""),"N/A")</f>
        <v>N/A</v>
      </c>
      <c r="N70" s="55"/>
      <c r="O70" s="55"/>
      <c r="P70" s="55">
        <f>IFERROR(__xludf.DUMMYFUNCTION("""COMPUTED_VALUE"""),55.0)</f>
        <v>55</v>
      </c>
      <c r="Q70" s="55"/>
      <c r="R70" s="55"/>
      <c r="S70" s="55"/>
      <c r="T70" s="55"/>
      <c r="U70" s="55"/>
      <c r="V70" s="55"/>
      <c r="W70" s="55">
        <f>IFERROR(__xludf.DUMMYFUNCTION("""COMPUTED_VALUE"""),94.59)</f>
        <v>94.59</v>
      </c>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35"/>
      <c r="AX70" s="35"/>
      <c r="AY70" s="35"/>
      <c r="AZ70" s="35"/>
      <c r="BA70" s="35"/>
      <c r="BB70" s="35"/>
      <c r="BC70" s="35"/>
      <c r="BD70" s="35"/>
      <c r="BE70" s="35"/>
      <c r="BF70" s="35"/>
      <c r="BG70" s="35"/>
    </row>
    <row r="71" ht="15.75" customHeight="1">
      <c r="A71" s="55" t="str">
        <f>IFERROR(__xludf.DUMMYFUNCTION("""COMPUTED_VALUE"""),"Youtube")</f>
        <v>Youtube</v>
      </c>
      <c r="B71" s="56">
        <f>IFERROR(__xludf.DUMMYFUNCTION("""COMPUTED_VALUE"""),46204.0)</f>
        <v>46204</v>
      </c>
      <c r="C71" s="55" t="str">
        <f>IFERROR(__xludf.DUMMYFUNCTION("""COMPUTED_VALUE"""),"July")</f>
        <v>July</v>
      </c>
      <c r="D71" s="58" t="str">
        <f>IFERROR(__xludf.DUMMYFUNCTION("""COMPUTED_VALUE"""),"https://youtube.com/shorts/qr2zLa0swYY?feature=share")</f>
        <v>https://youtube.com/shorts/qr2zLa0swYY?feature=share</v>
      </c>
      <c r="E71" s="55" t="str">
        <f>IFERROR(__xludf.DUMMYFUNCTION("""COMPUTED_VALUE"""),"@na")</f>
        <v>@na</v>
      </c>
      <c r="F71" s="55"/>
      <c r="G71" s="55" t="str">
        <f>IFERROR(__xludf.DUMMYFUNCTION("""COMPUTED_VALUE"""),"Target Shelf Showdown")</f>
        <v>Target Shelf Showdown</v>
      </c>
      <c r="H71" s="55"/>
      <c r="I71" s="55">
        <f>IFERROR(__xludf.DUMMYFUNCTION("""COMPUTED_VALUE"""),0.0)</f>
        <v>0</v>
      </c>
      <c r="J71" s="55" t="str">
        <f>IFERROR(__xludf.DUMMYFUNCTION("""COMPUTED_VALUE"""),"N/A")</f>
        <v>N/A</v>
      </c>
      <c r="K71" s="55" t="str">
        <f>IFERROR(__xludf.DUMMYFUNCTION("""COMPUTED_VALUE"""),"No")</f>
        <v>No</v>
      </c>
      <c r="L71" s="55" t="str">
        <f>IFERROR(__xludf.DUMMYFUNCTION("""COMPUTED_VALUE"""),"YouTube not scored")</f>
        <v>YouTube not scored</v>
      </c>
      <c r="M71" s="55" t="str">
        <f>IFERROR(__xludf.DUMMYFUNCTION("""COMPUTED_VALUE"""),"N/A")</f>
        <v>N/A</v>
      </c>
      <c r="N71" s="55"/>
      <c r="O71" s="55"/>
      <c r="P71" s="55">
        <f>IFERROR(__xludf.DUMMYFUNCTION("""COMPUTED_VALUE"""),33.0)</f>
        <v>33</v>
      </c>
      <c r="Q71" s="55">
        <f>IFERROR(__xludf.DUMMYFUNCTION("""COMPUTED_VALUE"""),1.0)</f>
        <v>1</v>
      </c>
      <c r="R71" s="55"/>
      <c r="S71" s="55"/>
      <c r="T71" s="55"/>
      <c r="U71" s="55"/>
      <c r="V71" s="55"/>
      <c r="W71" s="55">
        <f>IFERROR(__xludf.DUMMYFUNCTION("""COMPUTED_VALUE"""),94.59)</f>
        <v>94.59</v>
      </c>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35"/>
      <c r="AX71" s="35"/>
      <c r="AY71" s="35"/>
      <c r="AZ71" s="35"/>
      <c r="BA71" s="35"/>
      <c r="BB71" s="35"/>
      <c r="BC71" s="35"/>
      <c r="BD71" s="35"/>
      <c r="BE71" s="35"/>
      <c r="BF71" s="35"/>
      <c r="BG71" s="35"/>
    </row>
    <row r="72" ht="15.75" customHeight="1">
      <c r="A72" s="55" t="str">
        <f>IFERROR(__xludf.DUMMYFUNCTION("""COMPUTED_VALUE"""),"Youtube")</f>
        <v>Youtube</v>
      </c>
      <c r="B72" s="56">
        <f>IFERROR(__xludf.DUMMYFUNCTION("""COMPUTED_VALUE"""),46205.0)</f>
        <v>46205</v>
      </c>
      <c r="C72" s="55" t="str">
        <f>IFERROR(__xludf.DUMMYFUNCTION("""COMPUTED_VALUE"""),"July")</f>
        <v>July</v>
      </c>
      <c r="D72" s="58" t="str">
        <f>IFERROR(__xludf.DUMMYFUNCTION("""COMPUTED_VALUE"""),"https://youtube.com/shorts/gZGwMO-W5e0?is=hYuECFoKMa34I1Bm")</f>
        <v>https://youtube.com/shorts/gZGwMO-W5e0?is=hYuECFoKMa34I1Bm</v>
      </c>
      <c r="E72" s="55" t="str">
        <f>IFERROR(__xludf.DUMMYFUNCTION("""COMPUTED_VALUE"""),"@na")</f>
        <v>@na</v>
      </c>
      <c r="F72" s="55"/>
      <c r="G72" s="55" t="str">
        <f>IFERROR(__xludf.DUMMYFUNCTION("""COMPUTED_VALUE"""),"Target Shelf Showdown")</f>
        <v>Target Shelf Showdown</v>
      </c>
      <c r="H72" s="55"/>
      <c r="I72" s="55">
        <f>IFERROR(__xludf.DUMMYFUNCTION("""COMPUTED_VALUE"""),0.0)</f>
        <v>0</v>
      </c>
      <c r="J72" s="55" t="str">
        <f>IFERROR(__xludf.DUMMYFUNCTION("""COMPUTED_VALUE"""),"N/A")</f>
        <v>N/A</v>
      </c>
      <c r="K72" s="55" t="str">
        <f>IFERROR(__xludf.DUMMYFUNCTION("""COMPUTED_VALUE"""),"No")</f>
        <v>No</v>
      </c>
      <c r="L72" s="55" t="str">
        <f>IFERROR(__xludf.DUMMYFUNCTION("""COMPUTED_VALUE"""),"YouTube not scored")</f>
        <v>YouTube not scored</v>
      </c>
      <c r="M72" s="55" t="str">
        <f>IFERROR(__xludf.DUMMYFUNCTION("""COMPUTED_VALUE"""),"N/A")</f>
        <v>N/A</v>
      </c>
      <c r="N72" s="55"/>
      <c r="O72" s="55"/>
      <c r="P72" s="55">
        <f>IFERROR(__xludf.DUMMYFUNCTION("""COMPUTED_VALUE"""),434.0)</f>
        <v>434</v>
      </c>
      <c r="Q72" s="55">
        <f>IFERROR(__xludf.DUMMYFUNCTION("""COMPUTED_VALUE"""),2.0)</f>
        <v>2</v>
      </c>
      <c r="R72" s="55"/>
      <c r="S72" s="55"/>
      <c r="T72" s="55"/>
      <c r="U72" s="55"/>
      <c r="V72" s="55"/>
      <c r="W72" s="55">
        <f>IFERROR(__xludf.DUMMYFUNCTION("""COMPUTED_VALUE"""),94.59)</f>
        <v>94.59</v>
      </c>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35"/>
      <c r="AX72" s="35"/>
      <c r="AY72" s="35"/>
      <c r="AZ72" s="35"/>
      <c r="BA72" s="35"/>
      <c r="BB72" s="35"/>
      <c r="BC72" s="35"/>
      <c r="BD72" s="35"/>
      <c r="BE72" s="35"/>
      <c r="BF72" s="35"/>
      <c r="BG72" s="35"/>
    </row>
    <row r="73" ht="15.75" customHeight="1">
      <c r="A73" s="55" t="str">
        <f>IFERROR(__xludf.DUMMYFUNCTION("""COMPUTED_VALUE"""),"Youtube")</f>
        <v>Youtube</v>
      </c>
      <c r="B73" s="56">
        <f>IFERROR(__xludf.DUMMYFUNCTION("""COMPUTED_VALUE"""),46205.0)</f>
        <v>46205</v>
      </c>
      <c r="C73" s="55" t="str">
        <f>IFERROR(__xludf.DUMMYFUNCTION("""COMPUTED_VALUE"""),"July")</f>
        <v>July</v>
      </c>
      <c r="D73" s="58" t="str">
        <f>IFERROR(__xludf.DUMMYFUNCTION("""COMPUTED_VALUE"""),"https://youtube.com/shorts/A_fBGXLcmo4?is=7Hs-inSitVyuxB-M")</f>
        <v>https://youtube.com/shorts/A_fBGXLcmo4?is=7Hs-inSitVyuxB-M</v>
      </c>
      <c r="E73" s="55" t="str">
        <f>IFERROR(__xludf.DUMMYFUNCTION("""COMPUTED_VALUE"""),"@na")</f>
        <v>@na</v>
      </c>
      <c r="F73" s="55"/>
      <c r="G73" s="55" t="str">
        <f>IFERROR(__xludf.DUMMYFUNCTION("""COMPUTED_VALUE"""),"Target Shelf Showdown")</f>
        <v>Target Shelf Showdown</v>
      </c>
      <c r="H73" s="55"/>
      <c r="I73" s="55">
        <f>IFERROR(__xludf.DUMMYFUNCTION("""COMPUTED_VALUE"""),0.0)</f>
        <v>0</v>
      </c>
      <c r="J73" s="55" t="str">
        <f>IFERROR(__xludf.DUMMYFUNCTION("""COMPUTED_VALUE"""),"N/A")</f>
        <v>N/A</v>
      </c>
      <c r="K73" s="55" t="str">
        <f>IFERROR(__xludf.DUMMYFUNCTION("""COMPUTED_VALUE"""),"No")</f>
        <v>No</v>
      </c>
      <c r="L73" s="55" t="str">
        <f>IFERROR(__xludf.DUMMYFUNCTION("""COMPUTED_VALUE"""),"YouTube not scored")</f>
        <v>YouTube not scored</v>
      </c>
      <c r="M73" s="55" t="str">
        <f>IFERROR(__xludf.DUMMYFUNCTION("""COMPUTED_VALUE"""),"N/A")</f>
        <v>N/A</v>
      </c>
      <c r="N73" s="55"/>
      <c r="O73" s="55"/>
      <c r="P73" s="55">
        <f>IFERROR(__xludf.DUMMYFUNCTION("""COMPUTED_VALUE"""),17.0)</f>
        <v>17</v>
      </c>
      <c r="Q73" s="55">
        <f>IFERROR(__xludf.DUMMYFUNCTION("""COMPUTED_VALUE"""),1.0)</f>
        <v>1</v>
      </c>
      <c r="R73" s="55"/>
      <c r="S73" s="55"/>
      <c r="T73" s="55"/>
      <c r="U73" s="55"/>
      <c r="V73" s="55"/>
      <c r="W73" s="55">
        <f>IFERROR(__xludf.DUMMYFUNCTION("""COMPUTED_VALUE"""),94.59)</f>
        <v>94.59</v>
      </c>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35"/>
      <c r="AX73" s="35"/>
      <c r="AY73" s="35"/>
      <c r="AZ73" s="35"/>
      <c r="BA73" s="35"/>
      <c r="BB73" s="35"/>
      <c r="BC73" s="35"/>
      <c r="BD73" s="35"/>
      <c r="BE73" s="35"/>
      <c r="BF73" s="35"/>
      <c r="BG73" s="35"/>
    </row>
    <row r="74" ht="15.75" customHeight="1">
      <c r="A74" s="55" t="str">
        <f>IFERROR(__xludf.DUMMYFUNCTION("""COMPUTED_VALUE"""),"Youtube")</f>
        <v>Youtube</v>
      </c>
      <c r="B74" s="56">
        <f>IFERROR(__xludf.DUMMYFUNCTION("""COMPUTED_VALUE"""),46206.0)</f>
        <v>46206</v>
      </c>
      <c r="C74" s="55" t="str">
        <f>IFERROR(__xludf.DUMMYFUNCTION("""COMPUTED_VALUE"""),"July")</f>
        <v>July</v>
      </c>
      <c r="D74" s="58" t="str">
        <f>IFERROR(__xludf.DUMMYFUNCTION("""COMPUTED_VALUE"""),"https://youtube.com/shorts/HVTu7GGr2cc?is=yaf-m55quPBRjDDy")</f>
        <v>https://youtube.com/shorts/HVTu7GGr2cc?is=yaf-m55quPBRjDDy</v>
      </c>
      <c r="E74" s="55" t="str">
        <f>IFERROR(__xludf.DUMMYFUNCTION("""COMPUTED_VALUE"""),"@na")</f>
        <v>@na</v>
      </c>
      <c r="F74" s="55"/>
      <c r="G74" s="55" t="str">
        <f>IFERROR(__xludf.DUMMYFUNCTION("""COMPUTED_VALUE"""),"Target Shelf Showdown")</f>
        <v>Target Shelf Showdown</v>
      </c>
      <c r="H74" s="55"/>
      <c r="I74" s="55">
        <f>IFERROR(__xludf.DUMMYFUNCTION("""COMPUTED_VALUE"""),0.0)</f>
        <v>0</v>
      </c>
      <c r="J74" s="55" t="str">
        <f>IFERROR(__xludf.DUMMYFUNCTION("""COMPUTED_VALUE"""),"N/A")</f>
        <v>N/A</v>
      </c>
      <c r="K74" s="55" t="str">
        <f>IFERROR(__xludf.DUMMYFUNCTION("""COMPUTED_VALUE"""),"No")</f>
        <v>No</v>
      </c>
      <c r="L74" s="55" t="str">
        <f>IFERROR(__xludf.DUMMYFUNCTION("""COMPUTED_VALUE"""),"YouTube not scored")</f>
        <v>YouTube not scored</v>
      </c>
      <c r="M74" s="55" t="str">
        <f>IFERROR(__xludf.DUMMYFUNCTION("""COMPUTED_VALUE"""),"N/A")</f>
        <v>N/A</v>
      </c>
      <c r="N74" s="55"/>
      <c r="O74" s="55"/>
      <c r="P74" s="55">
        <f>IFERROR(__xludf.DUMMYFUNCTION("""COMPUTED_VALUE"""),90.0)</f>
        <v>90</v>
      </c>
      <c r="Q74" s="55">
        <f>IFERROR(__xludf.DUMMYFUNCTION("""COMPUTED_VALUE"""),1.0)</f>
        <v>1</v>
      </c>
      <c r="R74" s="55"/>
      <c r="S74" s="55"/>
      <c r="T74" s="55"/>
      <c r="U74" s="55"/>
      <c r="V74" s="55"/>
      <c r="W74" s="55">
        <f>IFERROR(__xludf.DUMMYFUNCTION("""COMPUTED_VALUE"""),94.59)</f>
        <v>94.59</v>
      </c>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35"/>
      <c r="AX74" s="35"/>
      <c r="AY74" s="35"/>
      <c r="AZ74" s="35"/>
      <c r="BA74" s="35"/>
      <c r="BB74" s="35"/>
      <c r="BC74" s="35"/>
      <c r="BD74" s="35"/>
      <c r="BE74" s="35"/>
      <c r="BF74" s="35"/>
      <c r="BG74" s="35"/>
    </row>
    <row r="75" ht="15.75" customHeight="1">
      <c r="A75" s="55" t="str">
        <f>IFERROR(__xludf.DUMMYFUNCTION("""COMPUTED_VALUE"""),"Youtube")</f>
        <v>Youtube</v>
      </c>
      <c r="B75" s="56">
        <f>IFERROR(__xludf.DUMMYFUNCTION("""COMPUTED_VALUE"""),46207.0)</f>
        <v>46207</v>
      </c>
      <c r="C75" s="55" t="str">
        <f>IFERROR(__xludf.DUMMYFUNCTION("""COMPUTED_VALUE"""),"July")</f>
        <v>July</v>
      </c>
      <c r="D75" s="58" t="str">
        <f>IFERROR(__xludf.DUMMYFUNCTION("""COMPUTED_VALUE"""),"https://youtube.com/shorts/RxuuALtLwZY?is=H99MKjtAqd1p84CU")</f>
        <v>https://youtube.com/shorts/RxuuALtLwZY?is=H99MKjtAqd1p84CU</v>
      </c>
      <c r="E75" s="55" t="str">
        <f>IFERROR(__xludf.DUMMYFUNCTION("""COMPUTED_VALUE"""),"@na")</f>
        <v>@na</v>
      </c>
      <c r="F75" s="55"/>
      <c r="G75" s="55" t="str">
        <f>IFERROR(__xludf.DUMMYFUNCTION("""COMPUTED_VALUE"""),"Target Shelf Showdown")</f>
        <v>Target Shelf Showdown</v>
      </c>
      <c r="H75" s="55"/>
      <c r="I75" s="55">
        <f>IFERROR(__xludf.DUMMYFUNCTION("""COMPUTED_VALUE"""),0.0)</f>
        <v>0</v>
      </c>
      <c r="J75" s="55" t="str">
        <f>IFERROR(__xludf.DUMMYFUNCTION("""COMPUTED_VALUE"""),"N/A")</f>
        <v>N/A</v>
      </c>
      <c r="K75" s="55" t="str">
        <f>IFERROR(__xludf.DUMMYFUNCTION("""COMPUTED_VALUE"""),"No")</f>
        <v>No</v>
      </c>
      <c r="L75" s="55" t="str">
        <f>IFERROR(__xludf.DUMMYFUNCTION("""COMPUTED_VALUE"""),"YouTube not scored")</f>
        <v>YouTube not scored</v>
      </c>
      <c r="M75" s="55" t="str">
        <f>IFERROR(__xludf.DUMMYFUNCTION("""COMPUTED_VALUE"""),"N/A")</f>
        <v>N/A</v>
      </c>
      <c r="N75" s="55"/>
      <c r="O75" s="55"/>
      <c r="P75" s="55">
        <f>IFERROR(__xludf.DUMMYFUNCTION("""COMPUTED_VALUE"""),907.0)</f>
        <v>907</v>
      </c>
      <c r="Q75" s="55">
        <f>IFERROR(__xludf.DUMMYFUNCTION("""COMPUTED_VALUE"""),17.0)</f>
        <v>17</v>
      </c>
      <c r="R75" s="55"/>
      <c r="S75" s="55"/>
      <c r="T75" s="55"/>
      <c r="U75" s="55"/>
      <c r="V75" s="55"/>
      <c r="W75" s="55">
        <f>IFERROR(__xludf.DUMMYFUNCTION("""COMPUTED_VALUE"""),94.59)</f>
        <v>94.59</v>
      </c>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35"/>
      <c r="AX75" s="35"/>
      <c r="AY75" s="35"/>
      <c r="AZ75" s="35"/>
      <c r="BA75" s="35"/>
      <c r="BB75" s="35"/>
      <c r="BC75" s="35"/>
      <c r="BD75" s="35"/>
      <c r="BE75" s="35"/>
      <c r="BF75" s="35"/>
      <c r="BG75" s="35"/>
    </row>
    <row r="76" ht="15.75" customHeight="1">
      <c r="A76" s="55" t="str">
        <f>IFERROR(__xludf.DUMMYFUNCTION("""COMPUTED_VALUE"""),"Youtube")</f>
        <v>Youtube</v>
      </c>
      <c r="B76" s="56">
        <f>IFERROR(__xludf.DUMMYFUNCTION("""COMPUTED_VALUE"""),46207.0)</f>
        <v>46207</v>
      </c>
      <c r="C76" s="55" t="str">
        <f>IFERROR(__xludf.DUMMYFUNCTION("""COMPUTED_VALUE"""),"July")</f>
        <v>July</v>
      </c>
      <c r="D76" s="58" t="str">
        <f>IFERROR(__xludf.DUMMYFUNCTION("""COMPUTED_VALUE"""),"https://youtube.com/shorts/DI2gESSn8b4?is=aRqgHKM38kERDjQN")</f>
        <v>https://youtube.com/shorts/DI2gESSn8b4?is=aRqgHKM38kERDjQN</v>
      </c>
      <c r="E76" s="55" t="str">
        <f>IFERROR(__xludf.DUMMYFUNCTION("""COMPUTED_VALUE"""),"@na")</f>
        <v>@na</v>
      </c>
      <c r="F76" s="55"/>
      <c r="G76" s="55" t="str">
        <f>IFERROR(__xludf.DUMMYFUNCTION("""COMPUTED_VALUE"""),"Target Shelf Showdown")</f>
        <v>Target Shelf Showdown</v>
      </c>
      <c r="H76" s="55"/>
      <c r="I76" s="55">
        <f>IFERROR(__xludf.DUMMYFUNCTION("""COMPUTED_VALUE"""),0.0)</f>
        <v>0</v>
      </c>
      <c r="J76" s="55" t="str">
        <f>IFERROR(__xludf.DUMMYFUNCTION("""COMPUTED_VALUE"""),"N/A")</f>
        <v>N/A</v>
      </c>
      <c r="K76" s="55" t="str">
        <f>IFERROR(__xludf.DUMMYFUNCTION("""COMPUTED_VALUE"""),"No")</f>
        <v>No</v>
      </c>
      <c r="L76" s="55" t="str">
        <f>IFERROR(__xludf.DUMMYFUNCTION("""COMPUTED_VALUE"""),"YouTube not scored")</f>
        <v>YouTube not scored</v>
      </c>
      <c r="M76" s="55" t="str">
        <f>IFERROR(__xludf.DUMMYFUNCTION("""COMPUTED_VALUE"""),"N/A")</f>
        <v>N/A</v>
      </c>
      <c r="N76" s="55"/>
      <c r="O76" s="55"/>
      <c r="P76" s="55">
        <f>IFERROR(__xludf.DUMMYFUNCTION("""COMPUTED_VALUE"""),102.0)</f>
        <v>102</v>
      </c>
      <c r="Q76" s="55">
        <f>IFERROR(__xludf.DUMMYFUNCTION("""COMPUTED_VALUE"""),1.0)</f>
        <v>1</v>
      </c>
      <c r="R76" s="55"/>
      <c r="S76" s="55"/>
      <c r="T76" s="55"/>
      <c r="U76" s="55"/>
      <c r="V76" s="55"/>
      <c r="W76" s="55">
        <f>IFERROR(__xludf.DUMMYFUNCTION("""COMPUTED_VALUE"""),94.59)</f>
        <v>94.59</v>
      </c>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35"/>
      <c r="AX76" s="35"/>
      <c r="AY76" s="35"/>
      <c r="AZ76" s="35"/>
      <c r="BA76" s="35"/>
      <c r="BB76" s="35"/>
      <c r="BC76" s="35"/>
      <c r="BD76" s="35"/>
      <c r="BE76" s="35"/>
      <c r="BF76" s="35"/>
      <c r="BG76" s="35"/>
    </row>
    <row r="77" ht="15.75" customHeight="1">
      <c r="A77" s="55" t="str">
        <f>IFERROR(__xludf.DUMMYFUNCTION("""COMPUTED_VALUE"""),"Youtube")</f>
        <v>Youtube</v>
      </c>
      <c r="B77" s="56">
        <f>IFERROR(__xludf.DUMMYFUNCTION("""COMPUTED_VALUE"""),46207.0)</f>
        <v>46207</v>
      </c>
      <c r="C77" s="55" t="str">
        <f>IFERROR(__xludf.DUMMYFUNCTION("""COMPUTED_VALUE"""),"July")</f>
        <v>July</v>
      </c>
      <c r="D77" s="58" t="str">
        <f>IFERROR(__xludf.DUMMYFUNCTION("""COMPUTED_VALUE"""),"https://youtube.com/shorts/UlO98GQ1ipg?feature=share")</f>
        <v>https://youtube.com/shorts/UlO98GQ1ipg?feature=share</v>
      </c>
      <c r="E77" s="55" t="str">
        <f>IFERROR(__xludf.DUMMYFUNCTION("""COMPUTED_VALUE"""),"@na")</f>
        <v>@na</v>
      </c>
      <c r="F77" s="55"/>
      <c r="G77" s="55" t="str">
        <f>IFERROR(__xludf.DUMMYFUNCTION("""COMPUTED_VALUE"""),"Target Shelf Showdown")</f>
        <v>Target Shelf Showdown</v>
      </c>
      <c r="H77" s="55"/>
      <c r="I77" s="55">
        <f>IFERROR(__xludf.DUMMYFUNCTION("""COMPUTED_VALUE"""),0.0)</f>
        <v>0</v>
      </c>
      <c r="J77" s="55" t="str">
        <f>IFERROR(__xludf.DUMMYFUNCTION("""COMPUTED_VALUE"""),"N/A")</f>
        <v>N/A</v>
      </c>
      <c r="K77" s="55" t="str">
        <f>IFERROR(__xludf.DUMMYFUNCTION("""COMPUTED_VALUE"""),"No")</f>
        <v>No</v>
      </c>
      <c r="L77" s="55" t="str">
        <f>IFERROR(__xludf.DUMMYFUNCTION("""COMPUTED_VALUE"""),"YouTube not scored")</f>
        <v>YouTube not scored</v>
      </c>
      <c r="M77" s="55" t="str">
        <f>IFERROR(__xludf.DUMMYFUNCTION("""COMPUTED_VALUE"""),"N/A")</f>
        <v>N/A</v>
      </c>
      <c r="N77" s="55"/>
      <c r="O77" s="55"/>
      <c r="P77" s="55">
        <f>IFERROR(__xludf.DUMMYFUNCTION("""COMPUTED_VALUE"""),17.0)</f>
        <v>17</v>
      </c>
      <c r="Q77" s="55">
        <f>IFERROR(__xludf.DUMMYFUNCTION("""COMPUTED_VALUE"""),0.0)</f>
        <v>0</v>
      </c>
      <c r="R77" s="55">
        <f>IFERROR(__xludf.DUMMYFUNCTION("""COMPUTED_VALUE"""),1.0)</f>
        <v>1</v>
      </c>
      <c r="S77" s="55"/>
      <c r="T77" s="55"/>
      <c r="U77" s="55"/>
      <c r="V77" s="55"/>
      <c r="W77" s="55">
        <f>IFERROR(__xludf.DUMMYFUNCTION("""COMPUTED_VALUE"""),94.59)</f>
        <v>94.59</v>
      </c>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35"/>
      <c r="AX77" s="35"/>
      <c r="AY77" s="35"/>
      <c r="AZ77" s="35"/>
      <c r="BA77" s="35"/>
      <c r="BB77" s="35"/>
      <c r="BC77" s="35"/>
      <c r="BD77" s="35"/>
      <c r="BE77" s="35"/>
      <c r="BF77" s="35"/>
      <c r="BG77" s="35"/>
    </row>
    <row r="78" ht="15.75" customHeight="1">
      <c r="A78" s="55" t="str">
        <f>IFERROR(__xludf.DUMMYFUNCTION("""COMPUTED_VALUE"""),"Youtube")</f>
        <v>Youtube</v>
      </c>
      <c r="B78" s="56">
        <f>IFERROR(__xludf.DUMMYFUNCTION("""COMPUTED_VALUE"""),46208.0)</f>
        <v>46208</v>
      </c>
      <c r="C78" s="55" t="str">
        <f>IFERROR(__xludf.DUMMYFUNCTION("""COMPUTED_VALUE"""),"July")</f>
        <v>July</v>
      </c>
      <c r="D78" s="58" t="str">
        <f>IFERROR(__xludf.DUMMYFUNCTION("""COMPUTED_VALUE"""),"https://youtube.com/shorts/gatUfLgpUp8?is=uxTiexmiOEd30K0c")</f>
        <v>https://youtube.com/shorts/gatUfLgpUp8?is=uxTiexmiOEd30K0c</v>
      </c>
      <c r="E78" s="55" t="str">
        <f>IFERROR(__xludf.DUMMYFUNCTION("""COMPUTED_VALUE"""),"@na")</f>
        <v>@na</v>
      </c>
      <c r="F78" s="55"/>
      <c r="G78" s="55" t="str">
        <f>IFERROR(__xludf.DUMMYFUNCTION("""COMPUTED_VALUE"""),"Target Shelf Showdown")</f>
        <v>Target Shelf Showdown</v>
      </c>
      <c r="H78" s="55"/>
      <c r="I78" s="55">
        <f>IFERROR(__xludf.DUMMYFUNCTION("""COMPUTED_VALUE"""),0.0)</f>
        <v>0</v>
      </c>
      <c r="J78" s="55" t="str">
        <f>IFERROR(__xludf.DUMMYFUNCTION("""COMPUTED_VALUE"""),"N/A")</f>
        <v>N/A</v>
      </c>
      <c r="K78" s="55" t="str">
        <f>IFERROR(__xludf.DUMMYFUNCTION("""COMPUTED_VALUE"""),"No")</f>
        <v>No</v>
      </c>
      <c r="L78" s="55" t="str">
        <f>IFERROR(__xludf.DUMMYFUNCTION("""COMPUTED_VALUE"""),"YouTube not scored")</f>
        <v>YouTube not scored</v>
      </c>
      <c r="M78" s="55" t="str">
        <f>IFERROR(__xludf.DUMMYFUNCTION("""COMPUTED_VALUE"""),"N/A")</f>
        <v>N/A</v>
      </c>
      <c r="N78" s="55"/>
      <c r="O78" s="55"/>
      <c r="P78" s="55">
        <f>IFERROR(__xludf.DUMMYFUNCTION("""COMPUTED_VALUE"""),261.0)</f>
        <v>261</v>
      </c>
      <c r="Q78" s="55">
        <f>IFERROR(__xludf.DUMMYFUNCTION("""COMPUTED_VALUE"""),2.0)</f>
        <v>2</v>
      </c>
      <c r="R78" s="55"/>
      <c r="S78" s="55"/>
      <c r="T78" s="55"/>
      <c r="U78" s="55"/>
      <c r="V78" s="55"/>
      <c r="W78" s="55">
        <f>IFERROR(__xludf.DUMMYFUNCTION("""COMPUTED_VALUE"""),94.59)</f>
        <v>94.59</v>
      </c>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35"/>
      <c r="AX78" s="35"/>
      <c r="AY78" s="35"/>
      <c r="AZ78" s="35"/>
      <c r="BA78" s="35"/>
      <c r="BB78" s="35"/>
      <c r="BC78" s="35"/>
      <c r="BD78" s="35"/>
      <c r="BE78" s="35"/>
      <c r="BF78" s="35"/>
      <c r="BG78" s="35"/>
    </row>
    <row r="79" ht="15.75" customHeight="1">
      <c r="A79" s="55" t="str">
        <f>IFERROR(__xludf.DUMMYFUNCTION("""COMPUTED_VALUE"""),"Youtube")</f>
        <v>Youtube</v>
      </c>
      <c r="B79" s="56">
        <f>IFERROR(__xludf.DUMMYFUNCTION("""COMPUTED_VALUE"""),46210.0)</f>
        <v>46210</v>
      </c>
      <c r="C79" s="55" t="str">
        <f>IFERROR(__xludf.DUMMYFUNCTION("""COMPUTED_VALUE"""),"July")</f>
        <v>July</v>
      </c>
      <c r="D79" s="58" t="str">
        <f>IFERROR(__xludf.DUMMYFUNCTION("""COMPUTED_VALUE"""),"https://youtube.com/shorts/xdScaChsAds?is=M-Yt4bq7yoSHYm1Q")</f>
        <v>https://youtube.com/shorts/xdScaChsAds?is=M-Yt4bq7yoSHYm1Q</v>
      </c>
      <c r="E79" s="55" t="str">
        <f>IFERROR(__xludf.DUMMYFUNCTION("""COMPUTED_VALUE"""),"@na")</f>
        <v>@na</v>
      </c>
      <c r="F79" s="55"/>
      <c r="G79" s="55" t="str">
        <f>IFERROR(__xludf.DUMMYFUNCTION("""COMPUTED_VALUE"""),"Target Shelf Showdown")</f>
        <v>Target Shelf Showdown</v>
      </c>
      <c r="H79" s="55"/>
      <c r="I79" s="55">
        <f>IFERROR(__xludf.DUMMYFUNCTION("""COMPUTED_VALUE"""),0.0)</f>
        <v>0</v>
      </c>
      <c r="J79" s="55" t="str">
        <f>IFERROR(__xludf.DUMMYFUNCTION("""COMPUTED_VALUE"""),"N/A")</f>
        <v>N/A</v>
      </c>
      <c r="K79" s="55" t="str">
        <f>IFERROR(__xludf.DUMMYFUNCTION("""COMPUTED_VALUE"""),"No")</f>
        <v>No</v>
      </c>
      <c r="L79" s="55" t="str">
        <f>IFERROR(__xludf.DUMMYFUNCTION("""COMPUTED_VALUE"""),"YouTube not scored")</f>
        <v>YouTube not scored</v>
      </c>
      <c r="M79" s="55" t="str">
        <f>IFERROR(__xludf.DUMMYFUNCTION("""COMPUTED_VALUE"""),"N/A")</f>
        <v>N/A</v>
      </c>
      <c r="N79" s="55"/>
      <c r="O79" s="55"/>
      <c r="P79" s="55"/>
      <c r="Q79" s="55"/>
      <c r="R79" s="55"/>
      <c r="S79" s="55"/>
      <c r="T79" s="55"/>
      <c r="U79" s="55"/>
      <c r="V79" s="55"/>
      <c r="W79" s="55">
        <f>IFERROR(__xludf.DUMMYFUNCTION("""COMPUTED_VALUE"""),94.59)</f>
        <v>94.59</v>
      </c>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35"/>
      <c r="AX79" s="35"/>
      <c r="AY79" s="35"/>
      <c r="AZ79" s="35"/>
      <c r="BA79" s="35"/>
      <c r="BB79" s="35"/>
      <c r="BC79" s="35"/>
      <c r="BD79" s="35"/>
      <c r="BE79" s="35"/>
      <c r="BF79" s="35"/>
      <c r="BG79" s="35"/>
    </row>
    <row r="80" ht="15.75" customHeight="1">
      <c r="A80" s="55" t="str">
        <f>IFERROR(__xludf.DUMMYFUNCTION("""COMPUTED_VALUE"""),"Youtube")</f>
        <v>Youtube</v>
      </c>
      <c r="B80" s="56">
        <f>IFERROR(__xludf.DUMMYFUNCTION("""COMPUTED_VALUE"""),46191.0)</f>
        <v>46191</v>
      </c>
      <c r="C80" s="55" t="str">
        <f>IFERROR(__xludf.DUMMYFUNCTION("""COMPUTED_VALUE"""),"June")</f>
        <v>June</v>
      </c>
      <c r="D80" s="58" t="str">
        <f>IFERROR(__xludf.DUMMYFUNCTION("""COMPUTED_VALUE"""),"https://www.youtube.com/shorts/itlciMkWxoU")</f>
        <v>https://www.youtube.com/shorts/itlciMkWxoU</v>
      </c>
      <c r="E80" s="55"/>
      <c r="F80" s="55"/>
      <c r="G80" s="55" t="str">
        <f>IFERROR(__xludf.DUMMYFUNCTION("""COMPUTED_VALUE"""),"Content + Posting")</f>
        <v>Content + Posting</v>
      </c>
      <c r="H80" s="55"/>
      <c r="I80" s="55">
        <f>IFERROR(__xludf.DUMMYFUNCTION("""COMPUTED_VALUE"""),0.0)</f>
        <v>0</v>
      </c>
      <c r="J80" s="55" t="str">
        <f>IFERROR(__xludf.DUMMYFUNCTION("""COMPUTED_VALUE"""),"N/A")</f>
        <v>N/A</v>
      </c>
      <c r="K80" s="55"/>
      <c r="L80" s="55" t="str">
        <f>IFERROR(__xludf.DUMMYFUNCTION("""COMPUTED_VALUE"""),"YouTube not scored")</f>
        <v>YouTube not scored</v>
      </c>
      <c r="M80" s="55" t="str">
        <f>IFERROR(__xludf.DUMMYFUNCTION("""COMPUTED_VALUE"""),"No Ad Data")</f>
        <v>No Ad Data</v>
      </c>
      <c r="N80" s="55"/>
      <c r="O80" s="55"/>
      <c r="P80" s="55">
        <f>IFERROR(__xludf.DUMMYFUNCTION("""COMPUTED_VALUE"""),267.0)</f>
        <v>267</v>
      </c>
      <c r="Q80" s="55">
        <f>IFERROR(__xludf.DUMMYFUNCTION("""COMPUTED_VALUE"""),4.0)</f>
        <v>4</v>
      </c>
      <c r="R80" s="55">
        <f>IFERROR(__xludf.DUMMYFUNCTION("""COMPUTED_VALUE"""),2.0)</f>
        <v>2</v>
      </c>
      <c r="S80" s="55"/>
      <c r="T80" s="55"/>
      <c r="U80" s="55"/>
      <c r="V80" s="55"/>
      <c r="W80" s="55">
        <f>IFERROR(__xludf.DUMMYFUNCTION("""COMPUTED_VALUE"""),67.58)</f>
        <v>67.58</v>
      </c>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35"/>
      <c r="AX80" s="35"/>
      <c r="AY80" s="35"/>
      <c r="AZ80" s="35"/>
      <c r="BA80" s="35"/>
      <c r="BB80" s="35"/>
      <c r="BC80" s="35"/>
      <c r="BD80" s="35"/>
      <c r="BE80" s="35"/>
      <c r="BF80" s="35"/>
      <c r="BG80" s="35"/>
    </row>
    <row r="81" ht="15.75" customHeight="1">
      <c r="A81" s="55" t="str">
        <f>IFERROR(__xludf.DUMMYFUNCTION("""COMPUTED_VALUE"""),"Youtube")</f>
        <v>Youtube</v>
      </c>
      <c r="B81" s="56">
        <f>IFERROR(__xludf.DUMMYFUNCTION("""COMPUTED_VALUE"""),46211.0)</f>
        <v>46211</v>
      </c>
      <c r="C81" s="55" t="str">
        <f>IFERROR(__xludf.DUMMYFUNCTION("""COMPUTED_VALUE"""),"July")</f>
        <v>July</v>
      </c>
      <c r="D81" s="58" t="str">
        <f>IFERROR(__xludf.DUMMYFUNCTION("""COMPUTED_VALUE"""),"https://www.youtube.com/shorts/GLWXiwbYQzg")</f>
        <v>https://www.youtube.com/shorts/GLWXiwbYQzg</v>
      </c>
      <c r="E81" s="55"/>
      <c r="F81" s="55"/>
      <c r="G81" s="55" t="str">
        <f>IFERROR(__xludf.DUMMYFUNCTION("""COMPUTED_VALUE"""),"Content + Posting")</f>
        <v>Content + Posting</v>
      </c>
      <c r="H81" s="55"/>
      <c r="I81" s="55">
        <f>IFERROR(__xludf.DUMMYFUNCTION("""COMPUTED_VALUE"""),0.0)</f>
        <v>0</v>
      </c>
      <c r="J81" s="55" t="str">
        <f>IFERROR(__xludf.DUMMYFUNCTION("""COMPUTED_VALUE"""),"N/A")</f>
        <v>N/A</v>
      </c>
      <c r="K81" s="55"/>
      <c r="L81" s="55" t="str">
        <f>IFERROR(__xludf.DUMMYFUNCTION("""COMPUTED_VALUE"""),"YouTube not scored")</f>
        <v>YouTube not scored</v>
      </c>
      <c r="M81" s="55" t="str">
        <f>IFERROR(__xludf.DUMMYFUNCTION("""COMPUTED_VALUE"""),"No Ad Data")</f>
        <v>No Ad Data</v>
      </c>
      <c r="N81" s="55"/>
      <c r="O81" s="55"/>
      <c r="P81" s="55">
        <f>IFERROR(__xludf.DUMMYFUNCTION("""COMPUTED_VALUE"""),2032.0)</f>
        <v>2032</v>
      </c>
      <c r="Q81" s="55">
        <f>IFERROR(__xludf.DUMMYFUNCTION("""COMPUTED_VALUE"""),12.0)</f>
        <v>12</v>
      </c>
      <c r="R81" s="55">
        <f>IFERROR(__xludf.DUMMYFUNCTION("""COMPUTED_VALUE"""),2.0)</f>
        <v>2</v>
      </c>
      <c r="S81" s="55"/>
      <c r="T81" s="55"/>
      <c r="U81" s="55"/>
      <c r="V81" s="55"/>
      <c r="W81" s="55">
        <f>IFERROR(__xludf.DUMMYFUNCTION("""COMPUTED_VALUE"""),67.58)</f>
        <v>67.58</v>
      </c>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35"/>
      <c r="AX81" s="35"/>
      <c r="AY81" s="35"/>
      <c r="AZ81" s="35"/>
      <c r="BA81" s="35"/>
      <c r="BB81" s="35"/>
      <c r="BC81" s="35"/>
      <c r="BD81" s="35"/>
      <c r="BE81" s="35"/>
      <c r="BF81" s="35"/>
      <c r="BG81" s="35"/>
    </row>
    <row r="82" ht="15.75" customHeight="1">
      <c r="A82" s="55" t="str">
        <f>IFERROR(__xludf.DUMMYFUNCTION("""COMPUTED_VALUE"""),"Youtube")</f>
        <v>Youtube</v>
      </c>
      <c r="B82" s="56">
        <f>IFERROR(__xludf.DUMMYFUNCTION("""COMPUTED_VALUE"""),46216.0)</f>
        <v>46216</v>
      </c>
      <c r="C82" s="55" t="str">
        <f>IFERROR(__xludf.DUMMYFUNCTION("""COMPUTED_VALUE"""),"July")</f>
        <v>July</v>
      </c>
      <c r="D82" s="58" t="str">
        <f>IFERROR(__xludf.DUMMYFUNCTION("""COMPUTED_VALUE"""),"https://www.youtube.com/shorts/9GUtBOcpdRs")</f>
        <v>https://www.youtube.com/shorts/9GUtBOcpdRs</v>
      </c>
      <c r="E82" s="55"/>
      <c r="F82" s="55"/>
      <c r="G82" s="55" t="str">
        <f>IFERROR(__xludf.DUMMYFUNCTION("""COMPUTED_VALUE"""),"Content + Posting")</f>
        <v>Content + Posting</v>
      </c>
      <c r="H82" s="55"/>
      <c r="I82" s="55">
        <f>IFERROR(__xludf.DUMMYFUNCTION("""COMPUTED_VALUE"""),0.0)</f>
        <v>0</v>
      </c>
      <c r="J82" s="55" t="str">
        <f>IFERROR(__xludf.DUMMYFUNCTION("""COMPUTED_VALUE"""),"N/A")</f>
        <v>N/A</v>
      </c>
      <c r="K82" s="55"/>
      <c r="L82" s="55" t="str">
        <f>IFERROR(__xludf.DUMMYFUNCTION("""COMPUTED_VALUE"""),"YouTube not scored")</f>
        <v>YouTube not scored</v>
      </c>
      <c r="M82" s="55" t="str">
        <f>IFERROR(__xludf.DUMMYFUNCTION("""COMPUTED_VALUE"""),"No Ad Data")</f>
        <v>No Ad Data</v>
      </c>
      <c r="N82" s="55"/>
      <c r="O82" s="55"/>
      <c r="P82" s="55">
        <f>IFERROR(__xludf.DUMMYFUNCTION("""COMPUTED_VALUE"""),1226.0)</f>
        <v>1226</v>
      </c>
      <c r="Q82" s="55">
        <f>IFERROR(__xludf.DUMMYFUNCTION("""COMPUTED_VALUE"""),14.0)</f>
        <v>14</v>
      </c>
      <c r="R82" s="55">
        <f>IFERROR(__xludf.DUMMYFUNCTION("""COMPUTED_VALUE"""),1.0)</f>
        <v>1</v>
      </c>
      <c r="S82" s="55"/>
      <c r="T82" s="55"/>
      <c r="U82" s="55"/>
      <c r="V82" s="55"/>
      <c r="W82" s="55">
        <f>IFERROR(__xludf.DUMMYFUNCTION("""COMPUTED_VALUE"""),67.58)</f>
        <v>67.58</v>
      </c>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35"/>
      <c r="AX82" s="35"/>
      <c r="AY82" s="35"/>
      <c r="AZ82" s="35"/>
      <c r="BA82" s="35"/>
      <c r="BB82" s="35"/>
      <c r="BC82" s="35"/>
      <c r="BD82" s="35"/>
      <c r="BE82" s="35"/>
      <c r="BF82" s="35"/>
      <c r="BG82" s="35"/>
    </row>
    <row r="83" ht="15.75" customHeight="1">
      <c r="A83" s="55" t="str">
        <f>IFERROR(__xludf.DUMMYFUNCTION("""COMPUTED_VALUE"""),"YouTube")</f>
        <v>YouTube</v>
      </c>
      <c r="B83" s="78">
        <f>IFERROR(__xludf.DUMMYFUNCTION("""COMPUTED_VALUE"""),46217.0)</f>
        <v>46217</v>
      </c>
      <c r="C83" s="55" t="str">
        <f>IFERROR(__xludf.DUMMYFUNCTION("""COMPUTED_VALUE"""),"July")</f>
        <v>July</v>
      </c>
      <c r="D83" s="58" t="str">
        <f>IFERROR(__xludf.DUMMYFUNCTION("""COMPUTED_VALUE"""),"https://www.youtube.com/shorts/rvkwlQZ1S-Q")</f>
        <v>https://www.youtube.com/shorts/rvkwlQZ1S-Q</v>
      </c>
      <c r="E83" s="55"/>
      <c r="F83" s="55"/>
      <c r="G83" s="55" t="str">
        <f>IFERROR(__xludf.DUMMYFUNCTION("""COMPUTED_VALUE"""),"UGC")</f>
        <v>UGC</v>
      </c>
      <c r="H83" s="55"/>
      <c r="I83" s="55">
        <f>IFERROR(__xludf.DUMMYFUNCTION("""COMPUTED_VALUE"""),0.0)</f>
        <v>0</v>
      </c>
      <c r="J83" s="55" t="str">
        <f>IFERROR(__xludf.DUMMYFUNCTION("""COMPUTED_VALUE"""),"N/A")</f>
        <v>N/A</v>
      </c>
      <c r="K83" s="55"/>
      <c r="L83" s="55" t="str">
        <f>IFERROR(__xludf.DUMMYFUNCTION("""COMPUTED_VALUE"""),"YouTube not scored")</f>
        <v>YouTube not scored</v>
      </c>
      <c r="M83" s="55"/>
      <c r="N83" s="55"/>
      <c r="O83" s="55"/>
      <c r="P83" s="55"/>
      <c r="Q83" s="55"/>
      <c r="R83" s="55"/>
      <c r="S83" s="55"/>
      <c r="T83" s="55"/>
      <c r="U83" s="55"/>
      <c r="V83" s="55"/>
      <c r="W83" s="55">
        <f>IFERROR(__xludf.DUMMYFUNCTION("""COMPUTED_VALUE"""),67.58)</f>
        <v>67.58</v>
      </c>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35"/>
      <c r="AX83" s="35"/>
      <c r="AY83" s="35"/>
      <c r="AZ83" s="35"/>
      <c r="BA83" s="35"/>
      <c r="BB83" s="35"/>
      <c r="BC83" s="35"/>
      <c r="BD83" s="35"/>
      <c r="BE83" s="35"/>
      <c r="BF83" s="35"/>
      <c r="BG83" s="35"/>
    </row>
    <row r="84" ht="15.75" customHeight="1">
      <c r="A84" s="55" t="str">
        <f>IFERROR(__xludf.DUMMYFUNCTION("""COMPUTED_VALUE"""),"YouTube")</f>
        <v>YouTube</v>
      </c>
      <c r="B84" s="78">
        <f>IFERROR(__xludf.DUMMYFUNCTION("""COMPUTED_VALUE"""),46217.0)</f>
        <v>46217</v>
      </c>
      <c r="C84" s="55" t="str">
        <f>IFERROR(__xludf.DUMMYFUNCTION("""COMPUTED_VALUE"""),"July")</f>
        <v>July</v>
      </c>
      <c r="D84" s="58" t="str">
        <f>IFERROR(__xludf.DUMMYFUNCTION("""COMPUTED_VALUE"""),"https://www.youtube.com/shorts/KTTvL82TbmU")</f>
        <v>https://www.youtube.com/shorts/KTTvL82TbmU</v>
      </c>
      <c r="E84" s="55"/>
      <c r="F84" s="55"/>
      <c r="G84" s="55" t="str">
        <f>IFERROR(__xludf.DUMMYFUNCTION("""COMPUTED_VALUE"""),"UGC")</f>
        <v>UGC</v>
      </c>
      <c r="H84" s="55"/>
      <c r="I84" s="55">
        <f>IFERROR(__xludf.DUMMYFUNCTION("""COMPUTED_VALUE"""),0.0)</f>
        <v>0</v>
      </c>
      <c r="J84" s="55" t="str">
        <f>IFERROR(__xludf.DUMMYFUNCTION("""COMPUTED_VALUE"""),"N/A")</f>
        <v>N/A</v>
      </c>
      <c r="K84" s="55"/>
      <c r="L84" s="55" t="str">
        <f>IFERROR(__xludf.DUMMYFUNCTION("""COMPUTED_VALUE"""),"YouTube not scored")</f>
        <v>YouTube not scored</v>
      </c>
      <c r="M84" s="55"/>
      <c r="N84" s="55"/>
      <c r="O84" s="55"/>
      <c r="P84" s="55"/>
      <c r="Q84" s="55"/>
      <c r="R84" s="55"/>
      <c r="S84" s="55"/>
      <c r="T84" s="55"/>
      <c r="U84" s="55"/>
      <c r="V84" s="55"/>
      <c r="W84" s="55">
        <f>IFERROR(__xludf.DUMMYFUNCTION("""COMPUTED_VALUE"""),67.58)</f>
        <v>67.58</v>
      </c>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35"/>
      <c r="AX84" s="35"/>
      <c r="AY84" s="35"/>
      <c r="AZ84" s="35"/>
      <c r="BA84" s="35"/>
      <c r="BB84" s="35"/>
      <c r="BC84" s="35"/>
      <c r="BD84" s="35"/>
      <c r="BE84" s="35"/>
      <c r="BF84" s="35"/>
      <c r="BG84" s="35"/>
    </row>
    <row r="85" ht="15.75" customHeight="1">
      <c r="A85" s="55" t="str">
        <f>IFERROR(__xludf.DUMMYFUNCTION("""COMPUTED_VALUE"""),"Tiktok")</f>
        <v>Tiktok</v>
      </c>
      <c r="B85" s="56">
        <f>IFERROR(__xludf.DUMMYFUNCTION("""COMPUTED_VALUE"""),46181.0)</f>
        <v>46181</v>
      </c>
      <c r="C85" s="55" t="str">
        <f>IFERROR(__xludf.DUMMYFUNCTION("""COMPUTED_VALUE"""),"June")</f>
        <v>June</v>
      </c>
      <c r="D85" s="58" t="str">
        <f>IFERROR(__xludf.DUMMYFUNCTION("""COMPUTED_VALUE"""),"https://www.tiktok.com/@lynnemeye/video/7649015153563798814")</f>
        <v>https://www.tiktok.com/@lynnemeye/video/7649015153563798814</v>
      </c>
      <c r="E85" s="55" t="str">
        <f>IFERROR(__xludf.DUMMYFUNCTION("""COMPUTED_VALUE"""),"@lynnemeye")</f>
        <v>@lynnemeye</v>
      </c>
      <c r="F85" s="55" t="str">
        <f>IFERROR(__xludf.DUMMYFUNCTION("""COMPUTED_VALUE"""),"Lynne Meyer")</f>
        <v>Lynne Meyer</v>
      </c>
      <c r="G85" s="55" t="str">
        <f>IFERROR(__xludf.DUMMYFUNCTION("""COMPUTED_VALUE"""),"Target In-Store Discovery")</f>
        <v>Target In-Store Discovery</v>
      </c>
      <c r="H85" s="55">
        <f>IFERROR(__xludf.DUMMYFUNCTION("""COMPUTED_VALUE"""),21.0)</f>
        <v>21</v>
      </c>
      <c r="I85" s="55">
        <f>IFERROR(__xludf.DUMMYFUNCTION("""COMPUTED_VALUE"""),19.2)</f>
        <v>19.2</v>
      </c>
      <c r="J85" s="55" t="str">
        <f>IFERROR(__xludf.DUMMYFUNCTION("""COMPUTED_VALUE"""),"No")</f>
        <v>No</v>
      </c>
      <c r="K85" s="55" t="str">
        <f>IFERROR(__xludf.DUMMYFUNCTION("""COMPUTED_VALUE"""),"Yes")</f>
        <v>Yes</v>
      </c>
      <c r="L85" s="55" t="str">
        <f>IFERROR(__xludf.DUMMYFUNCTION("""COMPUTED_VALUE"""),"Score 15.4 | 6-sec 0.0% — below thresholds")</f>
        <v>Score 15.4 | 6-sec 0.0% — below thresholds</v>
      </c>
      <c r="M85" s="59" t="str">
        <f>IFERROR(__xludf.DUMMYFUNCTION("""COMPUTED_VALUE"""),"Misfit ✗ — Not recommended but algorithm spent heavily")</f>
        <v>Misfit ✗ — Not recommended but algorithm spent heavily</v>
      </c>
      <c r="N85" s="55"/>
      <c r="O85" s="55"/>
      <c r="P85" s="59">
        <f>IFERROR(__xludf.DUMMYFUNCTION("""COMPUTED_VALUE"""),300.0)</f>
        <v>300</v>
      </c>
      <c r="Q85" s="59">
        <f>IFERROR(__xludf.DUMMYFUNCTION("""COMPUTED_VALUE"""),1.0)</f>
        <v>1</v>
      </c>
      <c r="R85" s="59">
        <f>IFERROR(__xludf.DUMMYFUNCTION("""COMPUTED_VALUE"""),0.0)</f>
        <v>0</v>
      </c>
      <c r="S85" s="55"/>
      <c r="T85" s="68">
        <f>IFERROR(__xludf.DUMMYFUNCTION("""COMPUTED_VALUE"""),0.0)</f>
        <v>0</v>
      </c>
      <c r="U85" s="55"/>
      <c r="V85" s="62">
        <f>IFERROR(__xludf.DUMMYFUNCTION("""COMPUTED_VALUE"""),0.03666666667)</f>
        <v>0.03666666667</v>
      </c>
      <c r="W85" s="63">
        <f>IFERROR(__xludf.DUMMYFUNCTION("""COMPUTED_VALUE"""),52.58)</f>
        <v>52.58</v>
      </c>
      <c r="X85" s="59">
        <f>IFERROR(__xludf.DUMMYFUNCTION("""COMPUTED_VALUE"""),31273.0)</f>
        <v>31273</v>
      </c>
      <c r="Y85" s="59">
        <f>IFERROR(__xludf.DUMMYFUNCTION("""COMPUTED_VALUE"""),56.0)</f>
        <v>56</v>
      </c>
      <c r="Z85" s="59">
        <f>IFERROR(__xludf.DUMMYFUNCTION("""COMPUTED_VALUE"""),1.0)</f>
        <v>1</v>
      </c>
      <c r="AA85" s="59">
        <f>IFERROR(__xludf.DUMMYFUNCTION("""COMPUTED_VALUE"""),6.0)</f>
        <v>6</v>
      </c>
      <c r="AB85" s="64">
        <f>IFERROR(__xludf.DUMMYFUNCTION("""COMPUTED_VALUE"""),5.0)</f>
        <v>5</v>
      </c>
      <c r="AC85" s="62">
        <f>IFERROR(__xludf.DUMMYFUNCTION("""COMPUTED_VALUE"""),0.2)</f>
        <v>0.2</v>
      </c>
      <c r="AD85" s="62">
        <f>IFERROR(__xludf.DUMMYFUNCTION("""COMPUTED_VALUE"""),63.9)</f>
        <v>63.9</v>
      </c>
      <c r="AE85" s="62">
        <f>IFERROR(__xludf.DUMMYFUNCTION("""COMPUTED_VALUE"""),26.1)</f>
        <v>26.1</v>
      </c>
      <c r="AF85" s="55" t="str">
        <f>IFERROR(__xludf.DUMMYFUNCTION("""COMPUTED_VALUE"""),"Yes")</f>
        <v>Yes</v>
      </c>
      <c r="AG85" s="63">
        <f>IFERROR(__xludf.DUMMYFUNCTION("""COMPUTED_VALUE"""),286.05)</f>
        <v>286.05</v>
      </c>
      <c r="AH85" s="59">
        <f>IFERROR(__xludf.DUMMYFUNCTION("""COMPUTED_VALUE"""),30668.0)</f>
        <v>30668</v>
      </c>
      <c r="AI85" s="55"/>
      <c r="AJ85" s="59">
        <f>IFERROR(__xludf.DUMMYFUNCTION("""COMPUTED_VALUE"""),576.0)</f>
        <v>576</v>
      </c>
      <c r="AK85" s="62">
        <f>IFERROR(__xludf.DUMMYFUNCTION("""COMPUTED_VALUE"""),1.8782)</f>
        <v>1.8782</v>
      </c>
      <c r="AL85" s="65">
        <f>IFERROR(__xludf.DUMMYFUNCTION("""COMPUTED_VALUE"""),0.497)</f>
        <v>0.497</v>
      </c>
      <c r="AM85" s="55" t="str">
        <f>IFERROR(__xludf.DUMMYFUNCTION("""COMPUTED_VALUE"""),"#d/fEn5VwGajcBhqYFh+Tk46xiLOjmGkXCb14pXuwlTxtcf0rhKZVYwKNKGoOEYM=")</f>
        <v>#d/fEn5VwGajcBhqYFh+Tk46xiLOjmGkXCb14pXuwlTxtcf0rhKZVYwKNKGoOEYM=</v>
      </c>
      <c r="AN85" s="55"/>
      <c r="AO85" s="58" t="str">
        <f>IFERROR(__xludf.DUMMYFUNCTION("""COMPUTED_VALUE"""),"https://us.brand.joinbrands.com/job/676310")</f>
        <v>https://us.brand.joinbrands.com/job/676310</v>
      </c>
      <c r="AP85" s="55" t="str">
        <f>IFERROR(__xludf.DUMMYFUNCTION("""COMPUTED_VALUE"""),"Nice but TikTok seller shop tagged")</f>
        <v>Nice but TikTok seller shop tagged</v>
      </c>
      <c r="AQ85" s="55" t="str">
        <f>IFERROR(__xludf.DUMMYFUNCTION("""COMPUTED_VALUE"""),"Coffee is non-negotiableâ€¦ but if it can support my wellness goals too? Even better. â˜•âœ¨ Iâ€™ve been swapping my regular cup for @VAHDAM USA Ashwagandha Coffee, and itâ€™s quickly become part of my...")</f>
        <v>Coffee is non-negotiableâ€¦ but if it can support my wellness goals too? Even better. â˜•âœ¨ Iâ€™ve been swapping my regular cup for @VAHDAM USA Ashwagandha Coffee, and itâ€™s quickly become part of my...</v>
      </c>
      <c r="AR85" s="55" t="str">
        <f>IFERROR(__xludf.DUMMYFUNCTION("""COMPUTED_VALUE"""),"As a busy sports mom, coffee is a non negotiable, but I'm always looking for ways to improve my overall wellness, too.")</f>
        <v>As a busy sports mom, coffee is a non negotiable, but I'm always looking for ways to improve my overall wellness, too.</v>
      </c>
      <c r="AS85" s="55" t="str">
        <f>IFERROR(__xludf.DUMMYFUNCTION("""COMPUTED_VALUE"""),"General / Lifestyle")</f>
        <v>General / Lifestyle</v>
      </c>
      <c r="AT85" s="55" t="str">
        <f>IFERROR(__xludf.DUMMYFUNCTION("""COMPUTED_VALUE"""),"• While I was shopping, I came across this coffee and I immediately threw it in my basket.")</f>
        <v>• While I was shopping, I came across this coffee and I immediately threw it in my basket.</v>
      </c>
      <c r="AU85" s="55" t="str">
        <f>IFERROR(__xludf.DUMMYFUNCTION("""COMPUTED_VALUE"""),"I love discovering products that fit seamlessly into my routine, especially when they combine something I already enjoy with wellness focused ingredients.")</f>
        <v>I love discovering products that fit seamlessly into my routine, especially when they combine something I already enjoy with wellness focused ingredients.</v>
      </c>
      <c r="AV85" s="55" t="str">
        <f>IFERROR(__xludf.DUMMYFUNCTION("""COMPUTED_VALUE"""),"As a busy sports mom, coffee is a non negotiable, but I'm always looking for ways to improve my overall wellness, too. While I was shopping, I came across this coffee and I immediately threw it in my basket. I love discovering products that fit seamlessly"&amp;" into my routine, especially when they combine something I already enjoy with wellness focused ingredients.")</f>
        <v>As a busy sports mom, coffee is a non negotiable, but I'm always looking for ways to improve my overall wellness, too. While I was shopping, I came across this coffee and I immediately threw it in my basket. I love discovering products that fit seamlessly into my routine, especially when they combine something I already enjoy with wellness focused ingredients.</v>
      </c>
      <c r="AW85" s="35"/>
      <c r="AX85" s="35"/>
      <c r="AY85" s="35"/>
      <c r="AZ85" s="35"/>
      <c r="BA85" s="35"/>
      <c r="BB85" s="35"/>
      <c r="BC85" s="35"/>
      <c r="BD85" s="35"/>
      <c r="BE85" s="35"/>
      <c r="BF85" s="35"/>
      <c r="BG85" s="35"/>
    </row>
    <row r="86" ht="15.75" customHeight="1">
      <c r="A86" s="55" t="str">
        <f>IFERROR(__xludf.DUMMYFUNCTION("""COMPUTED_VALUE"""),"Tiktok")</f>
        <v>Tiktok</v>
      </c>
      <c r="B86" s="56">
        <f>IFERROR(__xludf.DUMMYFUNCTION("""COMPUTED_VALUE"""),46175.0)</f>
        <v>46175</v>
      </c>
      <c r="C86" s="55" t="str">
        <f>IFERROR(__xludf.DUMMYFUNCTION("""COMPUTED_VALUE"""),"June")</f>
        <v>June</v>
      </c>
      <c r="D86" s="58" t="str">
        <f>IFERROR(__xludf.DUMMYFUNCTION("""COMPUTED_VALUE"""),"https://www.tiktok.com/@gelyugccreator/video/7646572183514320141")</f>
        <v>https://www.tiktok.com/@gelyugccreator/video/7646572183514320141</v>
      </c>
      <c r="E86" s="55" t="str">
        <f>IFERROR(__xludf.DUMMYFUNCTION("""COMPUTED_VALUE"""),"@gelyugccreator")</f>
        <v>@gelyugccreator</v>
      </c>
      <c r="F86" s="55" t="str">
        <f>IFERROR(__xludf.DUMMYFUNCTION("""COMPUTED_VALUE"""),"Gelayne Viamonte Carpio")</f>
        <v>Gelayne Viamonte Carpio</v>
      </c>
      <c r="G86" s="55" t="str">
        <f>IFERROR(__xludf.DUMMYFUNCTION("""COMPUTED_VALUE"""),"Target In-Store Discovery")</f>
        <v>Target In-Store Discovery</v>
      </c>
      <c r="H86" s="55">
        <f>IFERROR(__xludf.DUMMYFUNCTION("""COMPUTED_VALUE"""),65.0)</f>
        <v>65</v>
      </c>
      <c r="I86" s="55">
        <f>IFERROR(__xludf.DUMMYFUNCTION("""COMPUTED_VALUE"""),22.0)</f>
        <v>22</v>
      </c>
      <c r="J86" s="55" t="str">
        <f>IFERROR(__xludf.DUMMYFUNCTION("""COMPUTED_VALUE"""),"No")</f>
        <v>No</v>
      </c>
      <c r="K86" s="55" t="str">
        <f>IFERROR(__xludf.DUMMYFUNCTION("""COMPUTED_VALUE"""),"Yes")</f>
        <v>Yes</v>
      </c>
      <c r="L86" s="55" t="str">
        <f>IFERROR(__xludf.DUMMYFUNCTION("""COMPUTED_VALUE"""),"Score 12.0 | 6-sec 0.0% — below thresholds")</f>
        <v>Score 12.0 | 6-sec 0.0% — below thresholds</v>
      </c>
      <c r="M86" s="59" t="str">
        <f>IFERROR(__xludf.DUMMYFUNCTION("""COMPUTED_VALUE"""),"Misfit ✗ — Not recommended but algorithm spent heavily")</f>
        <v>Misfit ✗ — Not recommended but algorithm spent heavily</v>
      </c>
      <c r="N86" s="55"/>
      <c r="O86" s="55"/>
      <c r="P86" s="59">
        <f>IFERROR(__xludf.DUMMYFUNCTION("""COMPUTED_VALUE"""),191.0)</f>
        <v>191</v>
      </c>
      <c r="Q86" s="59">
        <f>IFERROR(__xludf.DUMMYFUNCTION("""COMPUTED_VALUE"""),11.0)</f>
        <v>11</v>
      </c>
      <c r="R86" s="59">
        <f>IFERROR(__xludf.DUMMYFUNCTION("""COMPUTED_VALUE"""),0.0)</f>
        <v>0</v>
      </c>
      <c r="S86" s="55"/>
      <c r="T86" s="68">
        <f>IFERROR(__xludf.DUMMYFUNCTION("""COMPUTED_VALUE"""),0.0)</f>
        <v>0</v>
      </c>
      <c r="U86" s="55"/>
      <c r="V86" s="62">
        <f>IFERROR(__xludf.DUMMYFUNCTION("""COMPUTED_VALUE"""),0.059)</f>
        <v>0.059</v>
      </c>
      <c r="W86" s="63">
        <f>IFERROR(__xludf.DUMMYFUNCTION("""COMPUTED_VALUE"""),52.58)</f>
        <v>52.58</v>
      </c>
      <c r="X86" s="59">
        <f>IFERROR(__xludf.DUMMYFUNCTION("""COMPUTED_VALUE"""),31013.0)</f>
        <v>31013</v>
      </c>
      <c r="Y86" s="59">
        <f>IFERROR(__xludf.DUMMYFUNCTION("""COMPUTED_VALUE"""),143.0)</f>
        <v>143</v>
      </c>
      <c r="Z86" s="59">
        <f>IFERROR(__xludf.DUMMYFUNCTION("""COMPUTED_VALUE"""),3.0)</f>
        <v>3</v>
      </c>
      <c r="AA86" s="59">
        <f>IFERROR(__xludf.DUMMYFUNCTION("""COMPUTED_VALUE"""),10.0)</f>
        <v>10</v>
      </c>
      <c r="AB86" s="64">
        <f>IFERROR(__xludf.DUMMYFUNCTION("""COMPUTED_VALUE"""),9.0)</f>
        <v>9</v>
      </c>
      <c r="AC86" s="62">
        <f>IFERROR(__xludf.DUMMYFUNCTION("""COMPUTED_VALUE"""),0.5)</f>
        <v>0.5</v>
      </c>
      <c r="AD86" s="62">
        <f>IFERROR(__xludf.DUMMYFUNCTION("""COMPUTED_VALUE"""),66.6)</f>
        <v>66.6</v>
      </c>
      <c r="AE86" s="62">
        <f>IFERROR(__xludf.DUMMYFUNCTION("""COMPUTED_VALUE"""),27.1)</f>
        <v>27.1</v>
      </c>
      <c r="AF86" s="55" t="str">
        <f>IFERROR(__xludf.DUMMYFUNCTION("""COMPUTED_VALUE"""),"Yes")</f>
        <v>Yes</v>
      </c>
      <c r="AG86" s="63">
        <f>IFERROR(__xludf.DUMMYFUNCTION("""COMPUTED_VALUE"""),249.74)</f>
        <v>249.74</v>
      </c>
      <c r="AH86" s="59">
        <f>IFERROR(__xludf.DUMMYFUNCTION("""COMPUTED_VALUE"""),30234.0)</f>
        <v>30234</v>
      </c>
      <c r="AI86" s="55"/>
      <c r="AJ86" s="59">
        <f>IFERROR(__xludf.DUMMYFUNCTION("""COMPUTED_VALUE"""),235.0)</f>
        <v>235</v>
      </c>
      <c r="AK86" s="62">
        <f>IFERROR(__xludf.DUMMYFUNCTION("""COMPUTED_VALUE"""),0.7773)</f>
        <v>0.7773</v>
      </c>
      <c r="AL86" s="65">
        <f>IFERROR(__xludf.DUMMYFUNCTION("""COMPUTED_VALUE"""),1.063)</f>
        <v>1.063</v>
      </c>
      <c r="AM86" s="55" t="str">
        <f>IFERROR(__xludf.DUMMYFUNCTION("""COMPUTED_VALUE"""),"#2QnlXDajfLYjwZ19Vpt7xog7tPbk35BywarfW4qsnLhflBcoxHzf05oGpCE0z9k=")</f>
        <v>#2QnlXDajfLYjwZ19Vpt7xog7tPbk35BywarfW4qsnLhflBcoxHzf05oGpCE0z9k=</v>
      </c>
      <c r="AN86" s="55"/>
      <c r="AO86" s="58" t="str">
        <f>IFERROR(__xludf.DUMMYFUNCTION("""COMPUTED_VALUE"""),"https://us.brand.joinbrands.com/job/676316")</f>
        <v>https://us.brand.joinbrands.com/job/676316</v>
      </c>
      <c r="AP86" s="55" t="str">
        <f>IFERROR(__xludf.DUMMYFUNCTION("""COMPUTED_VALUE"""),"NA")</f>
        <v>NA</v>
      </c>
      <c r="AQ86" s="55" t="str">
        <f>IFERROR(__xludf.DUMMYFUNCTION("""COMPUTED_VALUE"""),"CafÃ© saludable con ashwagandha disponible en Target â˜•âœ¨ #VAHDAM #CafeSaludable #CafeConAshwagandha #TargetFinds #CoffeeTok")</f>
        <v>CafÃ© saludable con ashwagandha disponible en Target â˜•âœ¨ #VAHDAM #CafeSaludable #CafeConAshwagandha #TargetFinds #CoffeeTok</v>
      </c>
      <c r="AR86" s="55" t="str">
        <f>IFERROR(__xludf.DUMMYFUNCTION("""COMPUTED_VALUE"""),"un dÃ­a sin cafÃ© es un dÃ­a perdido para mÃ­ y cuando me di cuenta que se me acabÃ³ el cafÃ© me querÃ­a morir quiÃ©n mejor que target mi mejor amigo ...")</f>
        <v>un dÃ­a sin cafÃ© es un dÃ­a perdido para mÃ­ y cuando me di cuenta que se me acabÃ³ el cafÃ© me querÃ­a morir quiÃ©n mejor que target mi mejor amigo ...</v>
      </c>
      <c r="AS86" s="55" t="str">
        <f>IFERROR(__xludf.DUMMYFUNCTION("""COMPUTED_VALUE"""),"In-Store / Target Discovery")</f>
        <v>In-Store / Target Discovery</v>
      </c>
      <c r="AT86" s="55" t="str">
        <f>IFERROR(__xludf.DUMMYFUNCTION("""COMPUTED_VALUE"""),"• un dÃ­a sin cafÃ© es un dÃ­a perdido para mÃ­ y cuando me di cuenta que se me acabÃ³ el cafÃ© me querÃ­a morir quiÃ©n mejor que target mi mejor amigo para buscar mi cafecito de todos los dÃ­as pero aquÃ­ buscando y buscando mi cafÃ© preferido me encontr"&amp;"Ã© con esta opciÃ³n y increÃ­ble este cafÃ© de ashoganda de baron lo que mÃ¡s me impresionÃ³ es que no es un cafÃ© cualquiera sino que estÃ¡ pensado para el bienestar el equilibrio y tener una vida mÃ¡s saludable obviamente tenÃ­amos que probarlo asÃ­ que"&amp;" dejÃ© mi cafÃ© habitual para probar suerte con este ya que me parece una opciÃ³n creÃ­ble para mi nueva versiÃ³n de bienestar y mÃ¡s que me hace la vida mucho mÃ¡s sencilla porque como es instantÃ¡neo es superfÃ¡cil de preparar estando en pleno verano ob"&amp;"viamente tenÃ­amos que hacer un cafecito frÃ­o asÃ­ que le ponemos agÃ¼ita el cafecito la lechita y le ponemos nuestros hielitos yo lo prefiero asÃ­ pero tÃº lo puedes preparar como mÃ¡s te guste a mÃ­ me sorprendiÃ³ y me gustÃ³ mucho el pan creo que va p"&amp;"ara mis nuevos preferidos asÃ­ que si lo ves en casa pruÃ©balo y cuÃ©ntame quÃ© tal te fue")</f>
        <v>• un dÃ­a sin cafÃ© es un dÃ­a perdido para mÃ­ y cuando me di cuenta que se me acabÃ³ el cafÃ© me querÃ­a morir quiÃ©n mejor que target mi mejor amigo para buscar mi cafecito de todos los dÃ­as pero aquÃ­ buscando y buscando mi cafÃ© preferido me encontrÃ© con esta opciÃ³n y increÃ­ble este cafÃ© de ashoganda de baron lo que mÃ¡s me impresionÃ³ es que no es un cafÃ© cualquiera sino que estÃ¡ pensado para el bienestar el equilibrio y tener una vida mÃ¡s saludable obviamente tenÃ­amos que probarlo asÃ­ que dejÃ© mi cafÃ© habitual para probar suerte con este ya que me parece una opciÃ³n creÃ­ble para mi nueva versiÃ³n de bienestar y mÃ¡s que me hace la vida mucho mÃ¡s sencilla porque como es instantÃ¡neo es superfÃ¡cil de preparar estando en pleno verano obviamente tenÃ­amos que hacer un cafecito frÃ­o asÃ­ que le ponemos agÃ¼ita el cafecito la lechita y le ponemos nuestros hielitos yo lo prefiero asÃ­ pero tÃº lo puedes preparar como mÃ¡s te guste a mÃ­ me sorprendiÃ³ y me gustÃ³ mucho el pan creo que va para mis nuevos preferidos asÃ­ que si lo ves en casa pruÃ©balo y cuÃ©ntame quÃ© tal te fue</v>
      </c>
      <c r="AU86" s="55" t="str">
        <f>IFERROR(__xludf.DUMMYFUNCTION("""COMPUTED_VALUE"""),"un dÃ­a sin cafÃ© es un dÃ­a perdido para mÃ­ y cuando me di cuenta que se me acabÃ³ el cafÃ© me querÃ­a morir quiÃ©n mejor que target mi mejor amigo para buscar mi cafecito de todos los dÃ­as pero aq...")</f>
        <v>un dÃ­a sin cafÃ© es un dÃ­a perdido para mÃ­ y cuando me di cuenta que se me acabÃ³ el cafÃ© me querÃ­a morir quiÃ©n mejor que target mi mejor amigo para buscar mi cafecito de todos los dÃ­as pero aq...</v>
      </c>
      <c r="AV86" s="55" t="str">
        <f>IFERROR(__xludf.DUMMYFUNCTION("""COMPUTED_VALUE"""),"un dÃ­a sin cafÃ© es un dÃ­a perdido para mÃ­ y cuando me di cuenta que se me acabÃ³ el cafÃ© me querÃ­a morir quiÃ©n mejor que target mi mejor amigo para buscar mi cafecito de todos los dÃ­as pero aquÃ­ buscando y buscando mi cafÃ© preferido me encontrÃ©"&amp;" con esta opciÃ³n y increÃ­ble este cafÃ© de ashoganda de baron lo que mÃ¡s me impresionÃ³ es que no es un cafÃ© cualquiera sino que estÃ¡ pensado para el bienestar el equilibrio y tener una vida mÃ¡s saludable obviamente tenÃ­amos que probarlo asÃ­ que d"&amp;"ejÃ© mi cafÃ© habitual para probar suerte con este ya que me parece una opciÃ³n creÃ­ble para mi nueva versiÃ³n de bienestar y mÃ¡s que me hace la vida mucho mÃ¡s sencilla porque como es instantÃ¡neo es superfÃ¡cil de preparar estando en pleno verano obvi"&amp;"amente tenÃ­amos que hacer un cafecito frÃ­o asÃ­ que le ponemos agÃ¼ita el cafecito la lechita y le ponemos nuestros hielitos yo lo prefiero asÃ­ pero tÃº lo puedes preparar como mÃ¡s te guste a mÃ­ me sorprendiÃ³ y me gustÃ³ mucho el pan creo que va par"&amp;"a mis nuevos preferidos asÃ­ que si lo ves en casa pruÃ©balo y cuÃ©ntame quÃ© tal te fue")</f>
        <v>un dÃ­a sin cafÃ© es un dÃ­a perdido para mÃ­ y cuando me di cuenta que se me acabÃ³ el cafÃ© me querÃ­a morir quiÃ©n mejor que target mi mejor amigo para buscar mi cafecito de todos los dÃ­as pero aquÃ­ buscando y buscando mi cafÃ© preferido me encontrÃ© con esta opciÃ³n y increÃ­ble este cafÃ© de ashoganda de baron lo que mÃ¡s me impresionÃ³ es que no es un cafÃ© cualquiera sino que estÃ¡ pensado para el bienestar el equilibrio y tener una vida mÃ¡s saludable obviamente tenÃ­amos que probarlo asÃ­ que dejÃ© mi cafÃ© habitual para probar suerte con este ya que me parece una opciÃ³n creÃ­ble para mi nueva versiÃ³n de bienestar y mÃ¡s que me hace la vida mucho mÃ¡s sencilla porque como es instantÃ¡neo es superfÃ¡cil de preparar estando en pleno verano obviamente tenÃ­amos que hacer un cafecito frÃ­o asÃ­ que le ponemos agÃ¼ita el cafecito la lechita y le ponemos nuestros hielitos yo lo prefiero asÃ­ pero tÃº lo puedes preparar como mÃ¡s te guste a mÃ­ me sorprendiÃ³ y me gustÃ³ mucho el pan creo que va para mis nuevos preferidos asÃ­ que si lo ves en casa pruÃ©balo y cuÃ©ntame quÃ© tal te fue</v>
      </c>
      <c r="AW86" s="35"/>
      <c r="AX86" s="35"/>
      <c r="AY86" s="35"/>
      <c r="AZ86" s="35"/>
      <c r="BA86" s="35"/>
      <c r="BB86" s="35"/>
      <c r="BC86" s="35"/>
      <c r="BD86" s="35"/>
      <c r="BE86" s="35"/>
      <c r="BF86" s="35"/>
      <c r="BG86" s="35"/>
    </row>
    <row r="87" ht="15.75" customHeight="1">
      <c r="A87" s="55" t="str">
        <f>IFERROR(__xludf.DUMMYFUNCTION("""COMPUTED_VALUE"""),"Tiktok")</f>
        <v>Tiktok</v>
      </c>
      <c r="B87" s="56">
        <f>IFERROR(__xludf.DUMMYFUNCTION("""COMPUTED_VALUE"""),46190.0)</f>
        <v>46190</v>
      </c>
      <c r="C87" s="55" t="str">
        <f>IFERROR(__xludf.DUMMYFUNCTION("""COMPUTED_VALUE"""),"June")</f>
        <v>June</v>
      </c>
      <c r="D87" s="58" t="str">
        <f>IFERROR(__xludf.DUMMYFUNCTION("""COMPUTED_VALUE"""),"https://www.tiktok.com/@maddieandhilty/video/7652384982245084429")</f>
        <v>https://www.tiktok.com/@maddieandhilty/video/7652384982245084429</v>
      </c>
      <c r="E87" s="55" t="str">
        <f>IFERROR(__xludf.DUMMYFUNCTION("""COMPUTED_VALUE"""),"@maddieandhilty")</f>
        <v>@maddieandhilty</v>
      </c>
      <c r="F87" s="55" t="str">
        <f>IFERROR(__xludf.DUMMYFUNCTION("""COMPUTED_VALUE"""),"Rebecca Hall")</f>
        <v>Rebecca Hall</v>
      </c>
      <c r="G87" s="55" t="str">
        <f>IFERROR(__xludf.DUMMYFUNCTION("""COMPUTED_VALUE"""),"Cortisol")</f>
        <v>Cortisol</v>
      </c>
      <c r="H87" s="55">
        <f>IFERROR(__xludf.DUMMYFUNCTION("""COMPUTED_VALUE"""),51.0)</f>
        <v>51</v>
      </c>
      <c r="I87" s="55">
        <f>IFERROR(__xludf.DUMMYFUNCTION("""COMPUTED_VALUE"""),12.0)</f>
        <v>12</v>
      </c>
      <c r="J87" s="55" t="str">
        <f>IFERROR(__xludf.DUMMYFUNCTION("""COMPUTED_VALUE"""),"No")</f>
        <v>No</v>
      </c>
      <c r="K87" s="55" t="str">
        <f>IFERROR(__xludf.DUMMYFUNCTION("""COMPUTED_VALUE"""),"Yes")</f>
        <v>Yes</v>
      </c>
      <c r="L87" s="55" t="str">
        <f>IFERROR(__xludf.DUMMYFUNCTION("""COMPUTED_VALUE"""),"Score 10.8 | 6-sec 0.0% — below thresholds")</f>
        <v>Score 10.8 | 6-sec 0.0% — below thresholds</v>
      </c>
      <c r="M87" s="59" t="str">
        <f>IFERROR(__xludf.DUMMYFUNCTION("""COMPUTED_VALUE"""),"Logic Fit ✓")</f>
        <v>Logic Fit ✓</v>
      </c>
      <c r="N87" s="55"/>
      <c r="O87" s="55"/>
      <c r="P87" s="59">
        <f>IFERROR(__xludf.DUMMYFUNCTION("""COMPUTED_VALUE"""),135.0)</f>
        <v>135</v>
      </c>
      <c r="Q87" s="59">
        <f>IFERROR(__xludf.DUMMYFUNCTION("""COMPUTED_VALUE"""),7.0)</f>
        <v>7</v>
      </c>
      <c r="R87" s="59">
        <f>IFERROR(__xludf.DUMMYFUNCTION("""COMPUTED_VALUE"""),0.0)</f>
        <v>0</v>
      </c>
      <c r="S87" s="55"/>
      <c r="T87" s="68">
        <f>IFERROR(__xludf.DUMMYFUNCTION("""COMPUTED_VALUE"""),0.0)</f>
        <v>0</v>
      </c>
      <c r="U87" s="55"/>
      <c r="V87" s="62">
        <f>IFERROR(__xludf.DUMMYFUNCTION("""COMPUTED_VALUE"""),0.051)</f>
        <v>0.051</v>
      </c>
      <c r="W87" s="63">
        <f>IFERROR(__xludf.DUMMYFUNCTION("""COMPUTED_VALUE"""),117.58)</f>
        <v>117.58</v>
      </c>
      <c r="X87" s="59">
        <f>IFERROR(__xludf.DUMMYFUNCTION("""COMPUTED_VALUE"""),19792.0)</f>
        <v>19792</v>
      </c>
      <c r="Y87" s="59">
        <f>IFERROR(__xludf.DUMMYFUNCTION("""COMPUTED_VALUE"""),22.0)</f>
        <v>22</v>
      </c>
      <c r="Z87" s="59">
        <f>IFERROR(__xludf.DUMMYFUNCTION("""COMPUTED_VALUE"""),0.0)</f>
        <v>0</v>
      </c>
      <c r="AA87" s="59">
        <f>IFERROR(__xludf.DUMMYFUNCTION("""COMPUTED_VALUE"""),0.0)</f>
        <v>0</v>
      </c>
      <c r="AB87" s="64">
        <f>IFERROR(__xludf.DUMMYFUNCTION("""COMPUTED_VALUE"""),2.0)</f>
        <v>2</v>
      </c>
      <c r="AC87" s="62">
        <f>IFERROR(__xludf.DUMMYFUNCTION("""COMPUTED_VALUE"""),0.11)</f>
        <v>0.11</v>
      </c>
      <c r="AD87" s="62">
        <f>IFERROR(__xludf.DUMMYFUNCTION("""COMPUTED_VALUE"""),11.0)</f>
        <v>11</v>
      </c>
      <c r="AE87" s="62">
        <f>IFERROR(__xludf.DUMMYFUNCTION("""COMPUTED_VALUE"""),3.1)</f>
        <v>3.1</v>
      </c>
      <c r="AF87" s="55" t="str">
        <f>IFERROR(__xludf.DUMMYFUNCTION("""COMPUTED_VALUE"""),"Yes")</f>
        <v>Yes</v>
      </c>
      <c r="AG87" s="63">
        <f>IFERROR(__xludf.DUMMYFUNCTION("""COMPUTED_VALUE"""),14.92)</f>
        <v>14.92</v>
      </c>
      <c r="AH87" s="59">
        <f>IFERROR(__xludf.DUMMYFUNCTION("""COMPUTED_VALUE"""),10014.0)</f>
        <v>10014</v>
      </c>
      <c r="AI87" s="55"/>
      <c r="AJ87" s="59">
        <f>IFERROR(__xludf.DUMMYFUNCTION("""COMPUTED_VALUE"""),44.0)</f>
        <v>44</v>
      </c>
      <c r="AK87" s="62">
        <f>IFERROR(__xludf.DUMMYFUNCTION("""COMPUTED_VALUE"""),0.4394)</f>
        <v>0.4394</v>
      </c>
      <c r="AL87" s="65">
        <f>IFERROR(__xludf.DUMMYFUNCTION("""COMPUTED_VALUE"""),0.339)</f>
        <v>0.339</v>
      </c>
      <c r="AM87" s="55" t="str">
        <f>IFERROR(__xludf.DUMMYFUNCTION("""COMPUTED_VALUE"""),"#33eW44JYj1+LFxbILY6kQd1xSHh0fwzwEInDDaJ8AUjnL7YUETtYJxrR26R4PZE=")</f>
        <v>#33eW44JYj1+LFxbILY6kQd1xSHh0fwzwEInDDaJ8AUjnL7YUETtYJxrR26R4PZE=</v>
      </c>
      <c r="AN87" s="55"/>
      <c r="AO87" s="58" t="str">
        <f>IFERROR(__xludf.DUMMYFUNCTION("""COMPUTED_VALUE"""),"https://us.brand.joinbrands.com/job/690151")</f>
        <v>https://us.brand.joinbrands.com/job/690151</v>
      </c>
      <c r="AP87" s="55" t="str">
        <f>IFERROR(__xludf.DUMMYFUNCTION("""COMPUTED_VALUE"""),"NA | MISFIT: Strong organic signal (score 28.3, 3.1% 6-sec) but only $14.92 spent — content was under-invested in ads.")</f>
        <v>NA | MISFIT: Strong organic signal (score 28.3, 3.1% 6-sec) but only $14.92 spent — content was under-invested in ads.</v>
      </c>
      <c r="AQ87" s="55" t="str">
        <f>IFERROR(__xludf.DUMMYFUNCTION("""COMPUTED_VALUE"""),"This coffee is upgraded with 5 powerful wellness ingredients in one cup. If you want your coffee to do more go to Target and grab delicious Vahdam Ashwagandha Coffee today! @VAHDAM USA @Target")</f>
        <v>This coffee is upgraded with 5 powerful wellness ingredients in one cup. If you want your coffee to do more go to Target and grab delicious Vahdam Ashwagandha Coffee today! @VAHDAM USA @Target</v>
      </c>
      <c r="AR87" s="55" t="str">
        <f>IFERROR(__xludf.DUMMYFUNCTION("""COMPUTED_VALUE"""),"If you're over 40 and wondering why your coffee suddenly makes you anxious, puffy and exhausted by two PM, I think I found the upgrade we needed.")</f>
        <v>If you're over 40 and wondering why your coffee suddenly makes you anxious, puffy and exhausted by two PM, I think I found the upgrade we needed.</v>
      </c>
      <c r="AS87" s="55" t="str">
        <f>IFERROR(__xludf.DUMMYFUNCTION("""COMPUTED_VALUE"""),"Age / Life Stage")</f>
        <v>Age / Life Stage</v>
      </c>
      <c r="AT87" s="55" t="str">
        <f>IFERROR(__xludf.DUMMYFUNCTION("""COMPUTED_VALUE"""),"• It's made with premium coffee plus KSM66 Ashwagandha Turmeric, echinacea and functional mushrooms all in one cup.
• I still need my coffee every morning, but I wanted something that supported my wellness, too, without adding five more supplements to my "&amp;"routine.
• As women over 40 dealing with stress, changing hormones and stubborn weight gain, I love finding simple wellness swaps like this.
• So I switched to Vadam Ashwagandha coffee.")</f>
        <v>• It's made with premium coffee plus KSM66 Ashwagandha Turmeric, echinacea and functional mushrooms all in one cup.
• I still need my coffee every morning, but I wanted something that supported my wellness, too, without adding five more supplements to my routine.
• As women over 40 dealing with stress, changing hormones and stubborn weight gain, I love finding simple wellness swaps like this.
• So I switched to Vadam Ashwagandha coffee.</v>
      </c>
      <c r="AU87" s="55" t="str">
        <f>IFERROR(__xludf.DUMMYFUNCTION("""COMPUTED_VALUE"""),"You can find Vadam Ashwagandha Coffee at target stores nationwide or on target.com.")</f>
        <v>You can find Vadam Ashwagandha Coffee at target stores nationwide or on target.com.</v>
      </c>
      <c r="AV87" s="55" t="str">
        <f>IFERROR(__xludf.DUMMYFUNCTION("""COMPUTED_VALUE"""),"If you're over 40 and wondering why your coffee suddenly makes you anxious, puffy and exhausted by two PM, I think I found the upgrade we needed. I still need my coffee every morning, but I wanted something that supported my wellness, too, without adding "&amp;"five more supplements to my routine. So I switched to Vadam Ashwagandha coffee. And honestly, this is one of the coolest target finds I've had in a while. It's made with premium coffee plus KSM66 Ashwagandha Turmeric, echinacea and functional mushrooms al"&amp;"l in one cup. As women over 40 dealing with stress, changing hormones and stubborn weight gain, I love finding simple wellness swaps like this. And the best part is it actually tastes like delicious regular coffee. Seriously, so good. You can find Vadam A"&amp;"shwagandha Coffee at target stores nationwide or on target.com.")</f>
        <v>If you're over 40 and wondering why your coffee suddenly makes you anxious, puffy and exhausted by two PM, I think I found the upgrade we needed. I still need my coffee every morning, but I wanted something that supported my wellness, too, without adding five more supplements to my routine. So I switched to Vadam Ashwagandha coffee. And honestly, this is one of the coolest target finds I've had in a while. It's made with premium coffee plus KSM66 Ashwagandha Turmeric, echinacea and functional mushrooms all in one cup. As women over 40 dealing with stress, changing hormones and stubborn weight gain, I love finding simple wellness swaps like this. And the best part is it actually tastes like delicious regular coffee. Seriously, so good. You can find Vadam Ashwagandha Coffee at target stores nationwide or on target.com.</v>
      </c>
      <c r="AW87" s="35"/>
      <c r="AX87" s="35"/>
      <c r="AY87" s="35"/>
      <c r="AZ87" s="35"/>
      <c r="BA87" s="35"/>
      <c r="BB87" s="35"/>
      <c r="BC87" s="35"/>
      <c r="BD87" s="35"/>
      <c r="BE87" s="35"/>
      <c r="BF87" s="35"/>
      <c r="BG87" s="35"/>
    </row>
    <row r="88" ht="15.75" customHeight="1">
      <c r="A88" s="55" t="str">
        <f>IFERROR(__xludf.DUMMYFUNCTION("""COMPUTED_VALUE"""),"Tiktok")</f>
        <v>Tiktok</v>
      </c>
      <c r="B88" s="56">
        <f>IFERROR(__xludf.DUMMYFUNCTION("""COMPUTED_VALUE"""),46181.0)</f>
        <v>46181</v>
      </c>
      <c r="C88" s="55" t="str">
        <f>IFERROR(__xludf.DUMMYFUNCTION("""COMPUTED_VALUE"""),"June")</f>
        <v>June</v>
      </c>
      <c r="D88" s="58" t="str">
        <f>IFERROR(__xludf.DUMMYFUNCTION("""COMPUTED_VALUE"""),"https://www.tiktok.com/@almitaa1125/video/7649027859507416333")</f>
        <v>https://www.tiktok.com/@almitaa1125/video/7649027859507416333</v>
      </c>
      <c r="E88" s="55" t="str">
        <f>IFERROR(__xludf.DUMMYFUNCTION("""COMPUTED_VALUE"""),"@almitaa1125")</f>
        <v>@almitaa1125</v>
      </c>
      <c r="F88" s="55" t="str">
        <f>IFERROR(__xludf.DUMMYFUNCTION("""COMPUTED_VALUE"""),"Alma Arizaga")</f>
        <v>Alma Arizaga</v>
      </c>
      <c r="G88" s="55" t="str">
        <f>IFERROR(__xludf.DUMMYFUNCTION("""COMPUTED_VALUE"""),"Cortisol")</f>
        <v>Cortisol</v>
      </c>
      <c r="H88" s="55">
        <f>IFERROR(__xludf.DUMMYFUNCTION("""COMPUTED_VALUE"""),46.0)</f>
        <v>46</v>
      </c>
      <c r="I88" s="55">
        <f>IFERROR(__xludf.DUMMYFUNCTION("""COMPUTED_VALUE"""),17.6)</f>
        <v>17.6</v>
      </c>
      <c r="J88" s="55" t="str">
        <f>IFERROR(__xludf.DUMMYFUNCTION("""COMPUTED_VALUE"""),"No")</f>
        <v>No</v>
      </c>
      <c r="K88" s="55" t="str">
        <f>IFERROR(__xludf.DUMMYFUNCTION("""COMPUTED_VALUE"""),"Yes")</f>
        <v>Yes</v>
      </c>
      <c r="L88" s="55" t="str">
        <f>IFERROR(__xludf.DUMMYFUNCTION("""COMPUTED_VALUE"""),"Score 10.6 | 6-sec 0.0% — below thresholds")</f>
        <v>Score 10.6 | 6-sec 0.0% — below thresholds</v>
      </c>
      <c r="M88" s="59" t="str">
        <f>IFERROR(__xludf.DUMMYFUNCTION("""COMPUTED_VALUE"""),"Logic Fit ✓")</f>
        <v>Logic Fit ✓</v>
      </c>
      <c r="N88" s="55"/>
      <c r="O88" s="55"/>
      <c r="P88" s="59">
        <f>IFERROR(__xludf.DUMMYFUNCTION("""COMPUTED_VALUE"""),105.0)</f>
        <v>105</v>
      </c>
      <c r="Q88" s="59">
        <f>IFERROR(__xludf.DUMMYFUNCTION("""COMPUTED_VALUE"""),8.0)</f>
        <v>8</v>
      </c>
      <c r="R88" s="59">
        <f>IFERROR(__xludf.DUMMYFUNCTION("""COMPUTED_VALUE"""),0.0)</f>
        <v>0</v>
      </c>
      <c r="S88" s="55"/>
      <c r="T88" s="68">
        <f>IFERROR(__xludf.DUMMYFUNCTION("""COMPUTED_VALUE"""),0.0)</f>
        <v>0</v>
      </c>
      <c r="U88" s="55"/>
      <c r="V88" s="62">
        <f>IFERROR(__xludf.DUMMYFUNCTION("""COMPUTED_VALUE"""),0.065)</f>
        <v>0.065</v>
      </c>
      <c r="W88" s="63">
        <f>IFERROR(__xludf.DUMMYFUNCTION("""COMPUTED_VALUE"""),52.58)</f>
        <v>52.58</v>
      </c>
      <c r="X88" s="59">
        <f>IFERROR(__xludf.DUMMYFUNCTION("""COMPUTED_VALUE"""),13717.0)</f>
        <v>13717</v>
      </c>
      <c r="Y88" s="59">
        <f>IFERROR(__xludf.DUMMYFUNCTION("""COMPUTED_VALUE"""),269.0)</f>
        <v>269</v>
      </c>
      <c r="Z88" s="59">
        <f>IFERROR(__xludf.DUMMYFUNCTION("""COMPUTED_VALUE"""),0.0)</f>
        <v>0</v>
      </c>
      <c r="AA88" s="59">
        <f>IFERROR(__xludf.DUMMYFUNCTION("""COMPUTED_VALUE"""),4.0)</f>
        <v>4</v>
      </c>
      <c r="AB88" s="64">
        <f>IFERROR(__xludf.DUMMYFUNCTION("""COMPUTED_VALUE"""),5.0)</f>
        <v>5</v>
      </c>
      <c r="AC88" s="62">
        <f>IFERROR(__xludf.DUMMYFUNCTION("""COMPUTED_VALUE"""),1.9)</f>
        <v>1.9</v>
      </c>
      <c r="AD88" s="62">
        <f>IFERROR(__xludf.DUMMYFUNCTION("""COMPUTED_VALUE"""),48.6)</f>
        <v>48.6</v>
      </c>
      <c r="AE88" s="62">
        <f>IFERROR(__xludf.DUMMYFUNCTION("""COMPUTED_VALUE"""),14.0)</f>
        <v>14</v>
      </c>
      <c r="AF88" s="55" t="str">
        <f>IFERROR(__xludf.DUMMYFUNCTION("""COMPUTED_VALUE"""),"Yes")</f>
        <v>Yes</v>
      </c>
      <c r="AG88" s="63">
        <f>IFERROR(__xludf.DUMMYFUNCTION("""COMPUTED_VALUE"""),123.35)</f>
        <v>123.35</v>
      </c>
      <c r="AH88" s="59">
        <f>IFERROR(__xludf.DUMMYFUNCTION("""COMPUTED_VALUE"""),10552.0)</f>
        <v>10552</v>
      </c>
      <c r="AI88" s="55"/>
      <c r="AJ88" s="59">
        <f>IFERROR(__xludf.DUMMYFUNCTION("""COMPUTED_VALUE"""),310.0)</f>
        <v>310</v>
      </c>
      <c r="AK88" s="62">
        <f>IFERROR(__xludf.DUMMYFUNCTION("""COMPUTED_VALUE"""),2.9378)</f>
        <v>2.9378</v>
      </c>
      <c r="AL88" s="65">
        <f>IFERROR(__xludf.DUMMYFUNCTION("""COMPUTED_VALUE"""),0.398)</f>
        <v>0.398</v>
      </c>
      <c r="AM88" s="55" t="str">
        <f>IFERROR(__xludf.DUMMYFUNCTION("""COMPUTED_VALUE"""),"#1OX4eyKSwBR29btJ6N7nUpYxfWQg5rCeblOYxbyUTBMkODD/CGxgIAEAbCQp4Fs=")</f>
        <v>#1OX4eyKSwBR29btJ6N7nUpYxfWQg5rCeblOYxbyUTBMkODD/CGxgIAEAbCQp4Fs=</v>
      </c>
      <c r="AN88" s="55"/>
      <c r="AO88" s="58" t="str">
        <f>IFERROR(__xludf.DUMMYFUNCTION("""COMPUTED_VALUE"""),"https://us.brand.joinbrands.com/job/683791")</f>
        <v>https://us.brand.joinbrands.com/job/683791</v>
      </c>
      <c r="AP88" s="55" t="str">
        <f>IFERROR(__xludf.DUMMYFUNCTION("""COMPUTED_VALUE"""),"NA")</f>
        <v>NA</v>
      </c>
      <c r="AQ88" s="55" t="str">
        <f>IFERROR(__xludf.DUMMYFUNCTION("""COMPUTED_VALUE"""),"Run to @target and get your @VAHDAM USA #ashwagandhacoffee #targetfinds #coffeelovers")</f>
        <v>Run to @target and get your @VAHDAM USA #ashwagandhacoffee #targetfinds #coffeelovers</v>
      </c>
      <c r="AR88" s="55" t="str">
        <f>IFERROR(__xludf.DUMMYFUNCTION("""COMPUTED_VALUE"""),"A friend kept telling me I needed to try this ashwagandha coffee, so I decided to see what the hype was about.")</f>
        <v>A friend kept telling me I needed to try this ashwagandha coffee, so I decided to see what the hype was about.</v>
      </c>
      <c r="AS88" s="55" t="str">
        <f>IFERROR(__xludf.DUMMYFUNCTION("""COMPUTED_VALUE"""),"General / Lifestyle")</f>
        <v>General / Lifestyle</v>
      </c>
      <c r="AT88" s="55" t="str">
        <f>IFERROR(__xludf.DUMMYFUNCTION("""COMPUTED_VALUE"""),"• It's made with 100% Arabica coffee and KSM66 Ashwagandha, which I've been hearing a lot about lately.
• I've never tried ashwagandha coffee before, so I'm pretty curious about it.
• One thing that stood out to me is that it's designed to give calm, focu"&amp;"s, energy without the crash.
• She said I could find it at target, so that's exactly where I headed.")</f>
        <v>• It's made with 100% Arabica coffee and KSM66 Ashwagandha, which I've been hearing a lot about lately.
• I've never tried ashwagandha coffee before, so I'm pretty curious about it.
• One thing that stood out to me is that it's designed to give calm, focus, energy without the crash.
• She said I could find it at target, so that's exactly where I headed.</v>
      </c>
      <c r="AU88" s="55" t="str">
        <f>IFERROR(__xludf.DUMMYFUNCTION("""COMPUTED_VALUE"""),"She said I could find it at target, so that's exactly where I headed.")</f>
        <v>She said I could find it at target, so that's exactly where I headed.</v>
      </c>
      <c r="AV88" s="55" t="str">
        <f>IFERROR(__xludf.DUMMYFUNCTION("""COMPUTED_VALUE"""),"A friend kept telling me I needed to try this ashwagandha coffee, so I decided to see what the hype was about. She said I could find it at target, so that's exactly where I headed. Okay, I found it. It's made with 100% Arabica coffee and KSM66 Ashwagandha"&amp;", which I've been hearing a lot about lately. I've never tried ashwagandha coffee before, so I'm pretty curious about it. Alright, let's take this home and see if my friend was right. I like that it's super simple to make. No extra steps. One thing that s"&amp;"tood out to me is that it's designed to give calm, focus, energy without the crash. Which sounds a lot better than feeling jittery all day. Okay, but that's actually pretty good. I honestly wasn't sure what to expect since this is my first time trying ash"&amp;"wagandha coffee.")</f>
        <v>A friend kept telling me I needed to try this ashwagandha coffee, so I decided to see what the hype was about. She said I could find it at target, so that's exactly where I headed. Okay, I found it. It's made with 100% Arabica coffee and KSM66 Ashwagandha, which I've been hearing a lot about lately. I've never tried ashwagandha coffee before, so I'm pretty curious about it. Alright, let's take this home and see if my friend was right. I like that it's super simple to make. No extra steps. One thing that stood out to me is that it's designed to give calm, focus, energy without the crash. Which sounds a lot better than feeling jittery all day. Okay, but that's actually pretty good. I honestly wasn't sure what to expect since this is my first time trying ashwagandha coffee.</v>
      </c>
      <c r="AW88" s="35"/>
      <c r="AX88" s="35"/>
      <c r="AY88" s="35"/>
      <c r="AZ88" s="35"/>
      <c r="BA88" s="35"/>
      <c r="BB88" s="35"/>
      <c r="BC88" s="35"/>
      <c r="BD88" s="35"/>
      <c r="BE88" s="35"/>
      <c r="BF88" s="35"/>
      <c r="BG88" s="35"/>
    </row>
    <row r="89" ht="15.75" customHeight="1">
      <c r="A89" s="55" t="str">
        <f>IFERROR(__xludf.DUMMYFUNCTION("""COMPUTED_VALUE"""),"Tiktok")</f>
        <v>Tiktok</v>
      </c>
      <c r="B89" s="56">
        <f>IFERROR(__xludf.DUMMYFUNCTION("""COMPUTED_VALUE"""),46190.0)</f>
        <v>46190</v>
      </c>
      <c r="C89" s="55" t="str">
        <f>IFERROR(__xludf.DUMMYFUNCTION("""COMPUTED_VALUE"""),"June")</f>
        <v>June</v>
      </c>
      <c r="D89" s="58" t="str">
        <f>IFERROR(__xludf.DUMMYFUNCTION("""COMPUTED_VALUE"""),"https://www.tiktok.com/@dealsilovetoshop/video/7652428773454908685")</f>
        <v>https://www.tiktok.com/@dealsilovetoshop/video/7652428773454908685</v>
      </c>
      <c r="E89" s="55" t="str">
        <f>IFERROR(__xludf.DUMMYFUNCTION("""COMPUTED_VALUE"""),"@dealsilovetoshop")</f>
        <v>@dealsilovetoshop</v>
      </c>
      <c r="F89" s="55" t="str">
        <f>IFERROR(__xludf.DUMMYFUNCTION("""COMPUTED_VALUE"""),"Sarah Eriksen")</f>
        <v>Sarah Eriksen</v>
      </c>
      <c r="G89" s="55" t="str">
        <f>IFERROR(__xludf.DUMMYFUNCTION("""COMPUTED_VALUE"""),"Cortisol")</f>
        <v>Cortisol</v>
      </c>
      <c r="H89" s="55">
        <f>IFERROR(__xludf.DUMMYFUNCTION("""COMPUTED_VALUE"""),56.0)</f>
        <v>56</v>
      </c>
      <c r="I89" s="55">
        <f>IFERROR(__xludf.DUMMYFUNCTION("""COMPUTED_VALUE"""),10.4)</f>
        <v>10.4</v>
      </c>
      <c r="J89" s="55" t="str">
        <f>IFERROR(__xludf.DUMMYFUNCTION("""COMPUTED_VALUE"""),"No")</f>
        <v>No</v>
      </c>
      <c r="K89" s="55" t="str">
        <f>IFERROR(__xludf.DUMMYFUNCTION("""COMPUTED_VALUE"""),"Yes")</f>
        <v>Yes</v>
      </c>
      <c r="L89" s="55" t="str">
        <f>IFERROR(__xludf.DUMMYFUNCTION("""COMPUTED_VALUE"""),"Score 7.9 | 6-sec 0.0% — below thresholds")</f>
        <v>Score 7.9 | 6-sec 0.0% — below thresholds</v>
      </c>
      <c r="M89" s="59" t="str">
        <f>IFERROR(__xludf.DUMMYFUNCTION("""COMPUTED_VALUE"""),"Logic Fit ✓")</f>
        <v>Logic Fit ✓</v>
      </c>
      <c r="N89" s="55"/>
      <c r="O89" s="55"/>
      <c r="P89" s="59">
        <f>IFERROR(__xludf.DUMMYFUNCTION("""COMPUTED_VALUE"""),52.0)</f>
        <v>52</v>
      </c>
      <c r="Q89" s="59">
        <f>IFERROR(__xludf.DUMMYFUNCTION("""COMPUTED_VALUE"""),2.0)</f>
        <v>2</v>
      </c>
      <c r="R89" s="59">
        <f>IFERROR(__xludf.DUMMYFUNCTION("""COMPUTED_VALUE"""),0.0)</f>
        <v>0</v>
      </c>
      <c r="S89" s="55"/>
      <c r="T89" s="68">
        <f>IFERROR(__xludf.DUMMYFUNCTION("""COMPUTED_VALUE"""),0.0)</f>
        <v>0</v>
      </c>
      <c r="U89" s="55"/>
      <c r="V89" s="62">
        <f>IFERROR(__xludf.DUMMYFUNCTION("""COMPUTED_VALUE"""),0.034)</f>
        <v>0.034</v>
      </c>
      <c r="W89" s="63">
        <f>IFERROR(__xludf.DUMMYFUNCTION("""COMPUTED_VALUE"""),117.58)</f>
        <v>117.58</v>
      </c>
      <c r="X89" s="59">
        <f>IFERROR(__xludf.DUMMYFUNCTION("""COMPUTED_VALUE"""),11289.0)</f>
        <v>11289</v>
      </c>
      <c r="Y89" s="59">
        <f>IFERROR(__xludf.DUMMYFUNCTION("""COMPUTED_VALUE"""),13.0)</f>
        <v>13</v>
      </c>
      <c r="Z89" s="59">
        <f>IFERROR(__xludf.DUMMYFUNCTION("""COMPUTED_VALUE"""),0.0)</f>
        <v>0</v>
      </c>
      <c r="AA89" s="59">
        <f>IFERROR(__xludf.DUMMYFUNCTION("""COMPUTED_VALUE"""),1.0)</f>
        <v>1</v>
      </c>
      <c r="AB89" s="64">
        <f>IFERROR(__xludf.DUMMYFUNCTION("""COMPUTED_VALUE"""),2.0)</f>
        <v>2</v>
      </c>
      <c r="AC89" s="62">
        <f>IFERROR(__xludf.DUMMYFUNCTION("""COMPUTED_VALUE"""),0.12)</f>
        <v>0.12</v>
      </c>
      <c r="AD89" s="62">
        <f>IFERROR(__xludf.DUMMYFUNCTION("""COMPUTED_VALUE"""),11.5)</f>
        <v>11.5</v>
      </c>
      <c r="AE89" s="62">
        <f>IFERROR(__xludf.DUMMYFUNCTION("""COMPUTED_VALUE"""),2.6)</f>
        <v>2.6</v>
      </c>
      <c r="AF89" s="55" t="str">
        <f>IFERROR(__xludf.DUMMYFUNCTION("""COMPUTED_VALUE"""),"Yes")</f>
        <v>Yes</v>
      </c>
      <c r="AG89" s="63">
        <f>IFERROR(__xludf.DUMMYFUNCTION("""COMPUTED_VALUE"""),22.78)</f>
        <v>22.78</v>
      </c>
      <c r="AH89" s="59">
        <f>IFERROR(__xludf.DUMMYFUNCTION("""COMPUTED_VALUE"""),6163.0)</f>
        <v>6163</v>
      </c>
      <c r="AI89" s="55"/>
      <c r="AJ89" s="59">
        <f>IFERROR(__xludf.DUMMYFUNCTION("""COMPUTED_VALUE"""),51.0)</f>
        <v>51</v>
      </c>
      <c r="AK89" s="62">
        <f>IFERROR(__xludf.DUMMYFUNCTION("""COMPUTED_VALUE"""),0.8275)</f>
        <v>0.8275</v>
      </c>
      <c r="AL89" s="65">
        <f>IFERROR(__xludf.DUMMYFUNCTION("""COMPUTED_VALUE"""),0.447)</f>
        <v>0.447</v>
      </c>
      <c r="AM89" s="55" t="str">
        <f>IFERROR(__xludf.DUMMYFUNCTION("""COMPUTED_VALUE"""),"#/dJfbpoUTRWb3M5RZcUh+0mE9hH5LsLrY7dcZvl0ar1k5wnRkzGMOZaO718dkjQ=")</f>
        <v>#/dJfbpoUTRWb3M5RZcUh+0mE9hH5LsLrY7dcZvl0ar1k5wnRkzGMOZaO718dkjQ=</v>
      </c>
      <c r="AN89" s="55"/>
      <c r="AO89" s="58" t="str">
        <f>IFERROR(__xludf.DUMMYFUNCTION("""COMPUTED_VALUE"""),"https://us.brand.joinbrands.com/job/689643")</f>
        <v>https://us.brand.joinbrands.com/job/689643</v>
      </c>
      <c r="AP89" s="55" t="str">
        <f>IFERROR(__xludf.DUMMYFUNCTION("""COMPUTED_VALUE"""),"NA | MISFIT: Strong organic signal (score 22.3, 2.6% 6-sec) but only $22.78 spent — content was under-invested in ads.")</f>
        <v>NA | MISFIT: Strong organic signal (score 22.3, 2.6% 6-sec) but only $22.78 spent — content was under-invested in ads.</v>
      </c>
      <c r="AQ89" s="55" t="str">
        <f>IFERROR(__xludf.DUMMYFUNCTION("""COMPUTED_VALUE"""),"Iâ€™ve been trying VAHDAM Ashwagandha Coffee and was curious to see what all the hype was about. I love that it combines coffee with ashwagandha, making it an easy addition to a busy morning...")</f>
        <v>Iâ€™ve been trying VAHDAM Ashwagandha Coffee and was curious to see what all the hype was about. I love that it combines coffee with ashwagandha, making it an easy addition to a busy morning...</v>
      </c>
      <c r="AR89" s="55" t="str">
        <f>IFERROR(__xludf.DUMMYFUNCTION("""COMPUTED_VALUE"""),"If you're over 40 and your coffee is giving you the jitters, crashes, and just zero wellness benefits, you need this.")</f>
        <v>If you're over 40 and your coffee is giving you the jitters, crashes, and just zero wellness benefits, you need this.</v>
      </c>
      <c r="AS89" s="55" t="str">
        <f>IFERROR(__xludf.DUMMYFUNCTION("""COMPUTED_VALUE"""),"Age / Life Stage")</f>
        <v>Age / Life Stage</v>
      </c>
      <c r="AT89" s="55" t="str">
        <f>IFERROR(__xludf.DUMMYFUNCTION("""COMPUTED_VALUE"""),"• Instead of taking a bunch of different supplements, this combines coffee with K S M66, ashwagandha, turmeric, L theanine, and functional mushrooms all in one cup.
• I found this VAHDAM ashwagandha a coffee and honestly, it's such a smart upgrade from my"&amp;" regular coffee routine.
• What I love is that I still get my morning coffee, but with ingredients that support a calmer, more balanced start to the day.
• So if you're looking for an easy wellness upgrade without changing your routine, check out the VAHD"&amp;"AM ashwagandha coffee.")</f>
        <v>• Instead of taking a bunch of different supplements, this combines coffee with K S M66, ashwagandha, turmeric, L theanine, and functional mushrooms all in one cup.
• I found this VAHDAM ashwagandha a coffee and honestly, it's such a smart upgrade from my regular coffee routine.
• What I love is that I still get my morning coffee, but with ingredients that support a calmer, more balanced start to the day.
• So if you're looking for an easy wellness upgrade without changing your routine, check out the VAHDAM ashwagandha coffee.</v>
      </c>
      <c r="AU89" s="55" t="str">
        <f>IFERROR(__xludf.DUMMYFUNCTION("""COMPUTED_VALUE"""),"It's available at target, so just head to target stores or online.")</f>
        <v>It's available at target, so just head to target stores or online.</v>
      </c>
      <c r="AV89" s="55" t="str">
        <f>IFERROR(__xludf.DUMMYFUNCTION("""COMPUTED_VALUE"""),"If you're over 40 and your coffee is giving you the jitters, crashes, and just zero wellness benefits, you need this. I found this VAHDAM ashwagandha a coffee and honestly, it's such a smart upgrade from my regular coffee routine. Instead of taking a bunc"&amp;"h of different supplements, this combines coffee with K S M66, ashwagandha, turmeric, L theanine, and functional mushrooms all in one cup. What I love is that I still get my morning coffee, but with ingredients that support a calmer, more balanced start t"&amp;"o the day. And the best part? It actually tastes like delicious regular coffee. If nobody told me it was a wellness coffee, I'd really never know. So if you're looking for an easy wellness upgrade without changing your routine, check out the VAHDAM ashwag"&amp;"andha coffee. It's available at target, so just head to target stores or online.")</f>
        <v>If you're over 40 and your coffee is giving you the jitters, crashes, and just zero wellness benefits, you need this. I found this VAHDAM ashwagandha a coffee and honestly, it's such a smart upgrade from my regular coffee routine. Instead of taking a bunch of different supplements, this combines coffee with K S M66, ashwagandha, turmeric, L theanine, and functional mushrooms all in one cup. What I love is that I still get my morning coffee, but with ingredients that support a calmer, more balanced start to the day. And the best part? It actually tastes like delicious regular coffee. If nobody told me it was a wellness coffee, I'd really never know. So if you're looking for an easy wellness upgrade without changing your routine, check out the VAHDAM ashwagandha coffee. It's available at target, so just head to target stores or online.</v>
      </c>
      <c r="AW89" s="35"/>
      <c r="AX89" s="35"/>
      <c r="AY89" s="35"/>
      <c r="AZ89" s="35"/>
      <c r="BA89" s="35"/>
      <c r="BB89" s="35"/>
      <c r="BC89" s="35"/>
      <c r="BD89" s="35"/>
      <c r="BE89" s="35"/>
      <c r="BF89" s="35"/>
      <c r="BG89" s="35"/>
    </row>
    <row r="90" ht="15.75" customHeight="1">
      <c r="A90" s="55" t="str">
        <f>IFERROR(__xludf.DUMMYFUNCTION("""COMPUTED_VALUE"""),"Tiktok")</f>
        <v>Tiktok</v>
      </c>
      <c r="B90" s="56">
        <f>IFERROR(__xludf.DUMMYFUNCTION("""COMPUTED_VALUE"""),46190.0)</f>
        <v>46190</v>
      </c>
      <c r="C90" s="55" t="str">
        <f>IFERROR(__xludf.DUMMYFUNCTION("""COMPUTED_VALUE"""),"June")</f>
        <v>June</v>
      </c>
      <c r="D90" s="58" t="str">
        <f>IFERROR(__xludf.DUMMYFUNCTION("""COMPUTED_VALUE"""),"https://www.tiktok.com/@irish_kulish_life/video/7652232247428336926")</f>
        <v>https://www.tiktok.com/@irish_kulish_life/video/7652232247428336926</v>
      </c>
      <c r="E90" s="55" t="str">
        <f>IFERROR(__xludf.DUMMYFUNCTION("""COMPUTED_VALUE"""),"@irish_kulish_life")</f>
        <v>@irish_kulish_life</v>
      </c>
      <c r="F90" s="55" t="str">
        <f>IFERROR(__xludf.DUMMYFUNCTION("""COMPUTED_VALUE"""),"Irina Kulish")</f>
        <v>Irina Kulish</v>
      </c>
      <c r="G90" s="55" t="str">
        <f>IFERROR(__xludf.DUMMYFUNCTION("""COMPUTED_VALUE"""),"Target In-Store Discovery")</f>
        <v>Target In-Store Discovery</v>
      </c>
      <c r="H90" s="55">
        <f>IFERROR(__xludf.DUMMYFUNCTION("""COMPUTED_VALUE"""),31.0)</f>
        <v>31</v>
      </c>
      <c r="I90" s="55">
        <f>IFERROR(__xludf.DUMMYFUNCTION("""COMPUTED_VALUE"""),11.5)</f>
        <v>11.5</v>
      </c>
      <c r="J90" s="55" t="str">
        <f>IFERROR(__xludf.DUMMYFUNCTION("""COMPUTED_VALUE"""),"No")</f>
        <v>No</v>
      </c>
      <c r="K90" s="55" t="str">
        <f>IFERROR(__xludf.DUMMYFUNCTION("""COMPUTED_VALUE"""),"Yes")</f>
        <v>Yes</v>
      </c>
      <c r="L90" s="55" t="str">
        <f>IFERROR(__xludf.DUMMYFUNCTION("""COMPUTED_VALUE"""),"Score 9.3 | 6-sec 0.0% — below thresholds")</f>
        <v>Score 9.3 | 6-sec 0.0% — below thresholds</v>
      </c>
      <c r="M90" s="59" t="str">
        <f>IFERROR(__xludf.DUMMYFUNCTION("""COMPUTED_VALUE"""),"Logic Fit ✓")</f>
        <v>Logic Fit ✓</v>
      </c>
      <c r="N90" s="55"/>
      <c r="O90" s="55"/>
      <c r="P90" s="59">
        <f>IFERROR(__xludf.DUMMYFUNCTION("""COMPUTED_VALUE"""),123.0)</f>
        <v>123</v>
      </c>
      <c r="Q90" s="59">
        <f>IFERROR(__xludf.DUMMYFUNCTION("""COMPUTED_VALUE"""),2.0)</f>
        <v>2</v>
      </c>
      <c r="R90" s="59">
        <f>IFERROR(__xludf.DUMMYFUNCTION("""COMPUTED_VALUE"""),0.0)</f>
        <v>0</v>
      </c>
      <c r="S90" s="55"/>
      <c r="T90" s="68">
        <f>IFERROR(__xludf.DUMMYFUNCTION("""COMPUTED_VALUE"""),0.0)</f>
        <v>0</v>
      </c>
      <c r="U90" s="55"/>
      <c r="V90" s="62">
        <f>IFERROR(__xludf.DUMMYFUNCTION("""COMPUTED_VALUE"""),0.016)</f>
        <v>0.016</v>
      </c>
      <c r="W90" s="63">
        <f>IFERROR(__xludf.DUMMYFUNCTION("""COMPUTED_VALUE"""),52.58)</f>
        <v>52.58</v>
      </c>
      <c r="X90" s="59">
        <f>IFERROR(__xludf.DUMMYFUNCTION("""COMPUTED_VALUE"""),10766.0)</f>
        <v>10766</v>
      </c>
      <c r="Y90" s="59">
        <f>IFERROR(__xludf.DUMMYFUNCTION("""COMPUTED_VALUE"""),12.0)</f>
        <v>12</v>
      </c>
      <c r="Z90" s="59">
        <f>IFERROR(__xludf.DUMMYFUNCTION("""COMPUTED_VALUE"""),0.0)</f>
        <v>0</v>
      </c>
      <c r="AA90" s="59">
        <f>IFERROR(__xludf.DUMMYFUNCTION("""COMPUTED_VALUE"""),1.0)</f>
        <v>1</v>
      </c>
      <c r="AB90" s="64">
        <f>IFERROR(__xludf.DUMMYFUNCTION("""COMPUTED_VALUE"""),2.0)</f>
        <v>2</v>
      </c>
      <c r="AC90" s="62">
        <f>IFERROR(__xludf.DUMMYFUNCTION("""COMPUTED_VALUE"""),0.12)</f>
        <v>0.12</v>
      </c>
      <c r="AD90" s="62">
        <f>IFERROR(__xludf.DUMMYFUNCTION("""COMPUTED_VALUE"""),18.5)</f>
        <v>18.5</v>
      </c>
      <c r="AE90" s="62">
        <f>IFERROR(__xludf.DUMMYFUNCTION("""COMPUTED_VALUE"""),4.6)</f>
        <v>4.6</v>
      </c>
      <c r="AF90" s="55" t="str">
        <f>IFERROR(__xludf.DUMMYFUNCTION("""COMPUTED_VALUE"""),"Yes")</f>
        <v>Yes</v>
      </c>
      <c r="AG90" s="63">
        <f>IFERROR(__xludf.DUMMYFUNCTION("""COMPUTED_VALUE"""),7.61)</f>
        <v>7.61</v>
      </c>
      <c r="AH90" s="59">
        <f>IFERROR(__xludf.DUMMYFUNCTION("""COMPUTED_VALUE"""),5395.0)</f>
        <v>5395</v>
      </c>
      <c r="AI90" s="55"/>
      <c r="AJ90" s="59">
        <f>IFERROR(__xludf.DUMMYFUNCTION("""COMPUTED_VALUE"""),25.0)</f>
        <v>25</v>
      </c>
      <c r="AK90" s="62">
        <f>IFERROR(__xludf.DUMMYFUNCTION("""COMPUTED_VALUE"""),0.4634)</f>
        <v>0.4634</v>
      </c>
      <c r="AL90" s="65">
        <f>IFERROR(__xludf.DUMMYFUNCTION("""COMPUTED_VALUE"""),0.304)</f>
        <v>0.304</v>
      </c>
      <c r="AM90" s="55" t="str">
        <f>IFERROR(__xludf.DUMMYFUNCTION("""COMPUTED_VALUE"""),"#yI/PFWKMnIAwtutkMbLHK3NdZg8V06TSbG7E+EdIwehpNpnWD7gxr1Tti4HcQHs=")</f>
        <v>#yI/PFWKMnIAwtutkMbLHK3NdZg8V06TSbG7E+EdIwehpNpnWD7gxr1Tti4HcQHs=</v>
      </c>
      <c r="AN90" s="55"/>
      <c r="AO90" s="58" t="str">
        <f>IFERROR(__xludf.DUMMYFUNCTION("""COMPUTED_VALUE"""),"https://us.brand.joinbrands.com/job/684945")</f>
        <v>https://us.brand.joinbrands.com/job/684945</v>
      </c>
      <c r="AP90" s="55" t="str">
        <f>IFERROR(__xludf.DUMMYFUNCTION("""COMPUTED_VALUE"""),"NA | MISFIT: Strong organic signal (score 24.8, 4.6% 6-sec) but only $30.20 spent — content was under-invested in ads.")</f>
        <v>NA | MISFIT: Strong organic signal (score 24.8, 4.6% 6-sec) but only $30.20 spent — content was under-invested in ads.</v>
      </c>
      <c r="AQ90" s="55" t="str">
        <f>IFERROR(__xludf.DUMMYFUNCTION("""COMPUTED_VALUE"""),"âœ¨ @target run + discovered something new ðŸ‘€ I tried @VAHDAM USA Coffee and honestly didnâ€™t expect to love it this much. A cozy iced coffee moment with a wellness twist â€” smooth taste, easy to...")</f>
        <v>âœ¨ @target run + discovered something new ðŸ‘€ I tried @VAHDAM USA Coffee and honestly didnâ€™t expect to love it this much. A cozy iced coffee moment with a wellness twist â€” smooth taste, easy to...</v>
      </c>
      <c r="AR90" s="55" t="str">
        <f>IFERROR(__xludf.DUMMYFUNCTION("""COMPUTED_VALUE"""),"Okay, I'm heading to target with my three kids because they actually sell this amazing coffee there.")</f>
        <v>Okay, I'm heading to target with my three kids because they actually sell this amazing coffee there.</v>
      </c>
      <c r="AS90" s="55" t="str">
        <f>IFERROR(__xludf.DUMMYFUNCTION("""COMPUTED_VALUE"""),"In-Store / Target Discovery")</f>
        <v>In-Store / Target Discovery</v>
      </c>
      <c r="AT90" s="55" t="str">
        <f>IFERROR(__xludf.DUMMYFUNCTION("""COMPUTED_VALUE"""),"• And maybe it's the ashwagandha turmeric, lions mane and mushrooms doing their thing.
• So let's make it ice cold milk, a bit of syrup, one scoop coffee, a little hot water and just mix it together.
• This is such a good iced coffee.
• No shaky feeling, "&amp;"no crash.")</f>
        <v>• And maybe it's the ashwagandha turmeric, lions mane and mushrooms doing their thing.
• So let's make it ice cold milk, a bit of syrup, one scoop coffee, a little hot water and just mix it together.
• This is such a good iced coffee.
• No shaky feeling, no crash.</v>
      </c>
      <c r="AU90" s="55" t="str">
        <f>IFERROR(__xludf.DUMMYFUNCTION("""COMPUTED_VALUE"""),"Happy mom, happy kids.")</f>
        <v>Happy mom, happy kids.</v>
      </c>
      <c r="AV90" s="55" t="str">
        <f>IFERROR(__xludf.DUMMYFUNCTION("""COMPUTED_VALUE"""),"Okay, I'm heading to target with my three kids because they actually sell this amazing coffee there. And I'm like, let's just make it together. So let's make it ice cold milk, a bit of syrup, one scoop coffee, a little hot water and just mix it together. "&amp;"This is such a good iced coffee. No shaky feeling, no crash. And maybe it's the ashwagandha turmeric, lions mane and mushrooms doing their thing. But I actually feel really good after this. Happy mom, happy kids.")</f>
        <v>Okay, I'm heading to target with my three kids because they actually sell this amazing coffee there. And I'm like, let's just make it together. So let's make it ice cold milk, a bit of syrup, one scoop coffee, a little hot water and just mix it together. This is such a good iced coffee. No shaky feeling, no crash. And maybe it's the ashwagandha turmeric, lions mane and mushrooms doing their thing. But I actually feel really good after this. Happy mom, happy kids.</v>
      </c>
      <c r="AW90" s="35"/>
      <c r="AX90" s="35"/>
      <c r="AY90" s="35"/>
      <c r="AZ90" s="35"/>
      <c r="BA90" s="35"/>
      <c r="BB90" s="35"/>
      <c r="BC90" s="35"/>
      <c r="BD90" s="35"/>
      <c r="BE90" s="35"/>
      <c r="BF90" s="35"/>
      <c r="BG90" s="35"/>
    </row>
    <row r="91" ht="15.75" customHeight="1">
      <c r="A91" s="55" t="str">
        <f>IFERROR(__xludf.DUMMYFUNCTION("""COMPUTED_VALUE"""),"Tiktok")</f>
        <v>Tiktok</v>
      </c>
      <c r="B91" s="56">
        <f>IFERROR(__xludf.DUMMYFUNCTION("""COMPUTED_VALUE"""),46190.0)</f>
        <v>46190</v>
      </c>
      <c r="C91" s="55" t="str">
        <f>IFERROR(__xludf.DUMMYFUNCTION("""COMPUTED_VALUE"""),"June")</f>
        <v>June</v>
      </c>
      <c r="D91" s="58" t="str">
        <f>IFERROR(__xludf.DUMMYFUNCTION("""COMPUTED_VALUE"""),"https://www.tiktok.com/@lorrainealbernazugc/video/7652408065832078606")</f>
        <v>https://www.tiktok.com/@lorrainealbernazugc/video/7652408065832078606</v>
      </c>
      <c r="E91" s="55" t="str">
        <f>IFERROR(__xludf.DUMMYFUNCTION("""COMPUTED_VALUE"""),"@lorrainealbernazugc")</f>
        <v>@lorrainealbernazugc</v>
      </c>
      <c r="F91" s="55" t="str">
        <f>IFERROR(__xludf.DUMMYFUNCTION("""COMPUTED_VALUE"""),"Lorraine Albernaz")</f>
        <v>Lorraine Albernaz</v>
      </c>
      <c r="G91" s="55" t="str">
        <f>IFERROR(__xludf.DUMMYFUNCTION("""COMPUTED_VALUE"""),"Cortisol")</f>
        <v>Cortisol</v>
      </c>
      <c r="H91" s="55">
        <f>IFERROR(__xludf.DUMMYFUNCTION("""COMPUTED_VALUE"""),28.0)</f>
        <v>28</v>
      </c>
      <c r="I91" s="55">
        <f>IFERROR(__xludf.DUMMYFUNCTION("""COMPUTED_VALUE"""),8.6)</f>
        <v>8.6</v>
      </c>
      <c r="J91" s="55" t="str">
        <f>IFERROR(__xludf.DUMMYFUNCTION("""COMPUTED_VALUE"""),"No")</f>
        <v>No</v>
      </c>
      <c r="K91" s="55" t="str">
        <f>IFERROR(__xludf.DUMMYFUNCTION("""COMPUTED_VALUE"""),"Yes")</f>
        <v>Yes</v>
      </c>
      <c r="L91" s="55" t="str">
        <f>IFERROR(__xludf.DUMMYFUNCTION("""COMPUTED_VALUE"""),"Score 8.7 | 6-sec 0.0% — below thresholds")</f>
        <v>Score 8.7 | 6-sec 0.0% — below thresholds</v>
      </c>
      <c r="M91" s="59" t="str">
        <f>IFERROR(__xludf.DUMMYFUNCTION("""COMPUTED_VALUE"""),"Logic Fit ✓")</f>
        <v>Logic Fit ✓</v>
      </c>
      <c r="N91" s="55"/>
      <c r="O91" s="55"/>
      <c r="P91" s="59">
        <f>IFERROR(__xludf.DUMMYFUNCTION("""COMPUTED_VALUE"""),87.0)</f>
        <v>87</v>
      </c>
      <c r="Q91" s="59">
        <f>IFERROR(__xludf.DUMMYFUNCTION("""COMPUTED_VALUE"""),2.0)</f>
        <v>2</v>
      </c>
      <c r="R91" s="59">
        <f>IFERROR(__xludf.DUMMYFUNCTION("""COMPUTED_VALUE"""),0.0)</f>
        <v>0</v>
      </c>
      <c r="S91" s="55"/>
      <c r="T91" s="68">
        <f>IFERROR(__xludf.DUMMYFUNCTION("""COMPUTED_VALUE"""),0.0)</f>
        <v>0</v>
      </c>
      <c r="U91" s="55"/>
      <c r="V91" s="62">
        <f>IFERROR(__xludf.DUMMYFUNCTION("""COMPUTED_VALUE"""),0.022)</f>
        <v>0.022</v>
      </c>
      <c r="W91" s="63">
        <f>IFERROR(__xludf.DUMMYFUNCTION("""COMPUTED_VALUE"""),117.58)</f>
        <v>117.58</v>
      </c>
      <c r="X91" s="59">
        <f>IFERROR(__xludf.DUMMYFUNCTION("""COMPUTED_VALUE"""),9870.0)</f>
        <v>9870</v>
      </c>
      <c r="Y91" s="59">
        <f>IFERROR(__xludf.DUMMYFUNCTION("""COMPUTED_VALUE"""),12.0)</f>
        <v>12</v>
      </c>
      <c r="Z91" s="59">
        <f>IFERROR(__xludf.DUMMYFUNCTION("""COMPUTED_VALUE"""),1.0)</f>
        <v>1</v>
      </c>
      <c r="AA91" s="59">
        <f>IFERROR(__xludf.DUMMYFUNCTION("""COMPUTED_VALUE"""),0.0)</f>
        <v>0</v>
      </c>
      <c r="AB91" s="64">
        <f>IFERROR(__xludf.DUMMYFUNCTION("""COMPUTED_VALUE"""),2.0)</f>
        <v>2</v>
      </c>
      <c r="AC91" s="62">
        <f>IFERROR(__xludf.DUMMYFUNCTION("""COMPUTED_VALUE"""),0.12)</f>
        <v>0.12</v>
      </c>
      <c r="AD91" s="62">
        <f>IFERROR(__xludf.DUMMYFUNCTION("""COMPUTED_VALUE"""),19.0)</f>
        <v>19</v>
      </c>
      <c r="AE91" s="62">
        <f>IFERROR(__xludf.DUMMYFUNCTION("""COMPUTED_VALUE"""),3.5)</f>
        <v>3.5</v>
      </c>
      <c r="AF91" s="55" t="str">
        <f>IFERROR(__xludf.DUMMYFUNCTION("""COMPUTED_VALUE"""),"Yes")</f>
        <v>Yes</v>
      </c>
      <c r="AG91" s="63">
        <f>IFERROR(__xludf.DUMMYFUNCTION("""COMPUTED_VALUE"""),3.5)</f>
        <v>3.5</v>
      </c>
      <c r="AH91" s="59">
        <f>IFERROR(__xludf.DUMMYFUNCTION("""COMPUTED_VALUE"""),4821.0)</f>
        <v>4821</v>
      </c>
      <c r="AI91" s="55"/>
      <c r="AJ91" s="59">
        <f>IFERROR(__xludf.DUMMYFUNCTION("""COMPUTED_VALUE"""),12.0)</f>
        <v>12</v>
      </c>
      <c r="AK91" s="62">
        <f>IFERROR(__xludf.DUMMYFUNCTION("""COMPUTED_VALUE"""),0.2489)</f>
        <v>0.2489</v>
      </c>
      <c r="AL91" s="65">
        <f>IFERROR(__xludf.DUMMYFUNCTION("""COMPUTED_VALUE"""),0.292)</f>
        <v>0.292</v>
      </c>
      <c r="AM91" s="55" t="str">
        <f>IFERROR(__xludf.DUMMYFUNCTION("""COMPUTED_VALUE"""),"#fuw2PR5vksuersBb8xlV0Fm3eYCIQRLid1gh0/jSuyC2FEm83mUkJC4fcv1gly8=")</f>
        <v>#fuw2PR5vksuersBb8xlV0Fm3eYCIQRLid1gh0/jSuyC2FEm83mUkJC4fcv1gly8=</v>
      </c>
      <c r="AN91" s="55"/>
      <c r="AO91" s="58" t="str">
        <f>IFERROR(__xludf.DUMMYFUNCTION("""COMPUTED_VALUE"""),"https://us.brand.joinbrands.com/job/689754")</f>
        <v>https://us.brand.joinbrands.com/job/689754</v>
      </c>
      <c r="AP91" s="55" t="str">
        <f>IFERROR(__xludf.DUMMYFUNCTION("""COMPUTED_VALUE"""),"NA | MISFIT: Strong organic signal (score 23.5, 3.5% 6-sec) but only $3.50 spent — content was under-invested in ads.")</f>
        <v>NA | MISFIT: Strong organic signal (score 23.5, 3.5% 6-sec) but only $3.50 spent — content was under-invested in ads.</v>
      </c>
      <c r="AQ91" s="55" t="str">
        <f>IFERROR(__xludf.DUMMYFUNCTION("""COMPUTED_VALUE"""),"My new favorite way to start the day â˜•ï¸âœ¨ Iâ€™ve been enjoying VAHDAM Ashwagandha Coffee, and itâ€™s available at Target! @VAHDAM USA @target #VAHDAM #AshwagandhaCoffee #TargetFinds #CoffeeLover...")</f>
        <v>My new favorite way to start the day â˜•ï¸_x008f_âœ¨ Iâ€™ve been enjoying VAHDAM Ashwagandha Coffee, and itâ€™s available at Target! @VAHDAM USA @target #VAHDAM #AshwagandhaCoffee #TargetFinds #CoffeeLover...</v>
      </c>
      <c r="AR91" s="55" t="str">
        <f>IFERROR(__xludf.DUMMYFUNCTION("""COMPUTED_VALUE"""),"If your morning coffee leaves you feeling jittery or crashing by the afternoon, you need to try this.")</f>
        <v>If your morning coffee leaves you feeling jittery or crashing by the afternoon, you need to try this.</v>
      </c>
      <c r="AS91" s="55" t="str">
        <f>IFERROR(__xludf.DUMMYFUNCTION("""COMPUTED_VALUE"""),"Problem / Pain Point")</f>
        <v>Problem / Pain Point</v>
      </c>
      <c r="AT91" s="55" t="str">
        <f>IFERROR(__xludf.DUMMYFUNCTION("""COMPUTED_VALUE"""),"• It has five wellness ingredients in one cup for calm, focused energy without the jitters or crash.
• I found Vahdam Ashwagandha Coffee at target and it's become my favorite coffee upgrade.
• And honestly, it tastes just like delicious regular coffee.")</f>
        <v>• It has five wellness ingredients in one cup for calm, focused energy without the jitters or crash.
• I found Vahdam Ashwagandha Coffee at target and it's become my favorite coffee upgrade.
• And honestly, it tastes just like delicious regular coffee.</v>
      </c>
      <c r="AU91" s="55" t="str">
        <f>IFERROR(__xludf.DUMMYFUNCTION("""COMPUTED_VALUE"""),"You can find it at target stores nationwide or on target.com.")</f>
        <v>You can find it at target stores nationwide or on target.com.</v>
      </c>
      <c r="AV91" s="55" t="str">
        <f>IFERROR(__xludf.DUMMYFUNCTION("""COMPUTED_VALUE"""),"If your morning coffee leaves you feeling jittery or crashing by the afternoon, you need to try this. I found Vahdam Ashwagandha Coffee at target and it's become my favorite coffee upgrade. It has five wellness ingredients in one cup for calm, focused ene"&amp;"rgy without the jitters or crash. And honestly, it tastes just like delicious regular coffee. You can find it at target stores nationwide or on target.com.")</f>
        <v>If your morning coffee leaves you feeling jittery or crashing by the afternoon, you need to try this. I found Vahdam Ashwagandha Coffee at target and it's become my favorite coffee upgrade. It has five wellness ingredients in one cup for calm, focused energy without the jitters or crash. And honestly, it tastes just like delicious regular coffee. You can find it at target stores nationwide or on target.com.</v>
      </c>
      <c r="AW91" s="35"/>
      <c r="AX91" s="35"/>
      <c r="AY91" s="35"/>
      <c r="AZ91" s="35"/>
      <c r="BA91" s="35"/>
      <c r="BB91" s="35"/>
      <c r="BC91" s="35"/>
      <c r="BD91" s="35"/>
      <c r="BE91" s="35"/>
      <c r="BF91" s="35"/>
      <c r="BG91" s="35"/>
    </row>
    <row r="92" ht="15.75" customHeight="1">
      <c r="A92" s="55" t="str">
        <f>IFERROR(__xludf.DUMMYFUNCTION("""COMPUTED_VALUE"""),"Tiktok")</f>
        <v>Tiktok</v>
      </c>
      <c r="B92" s="56">
        <f>IFERROR(__xludf.DUMMYFUNCTION("""COMPUTED_VALUE"""),46190.0)</f>
        <v>46190</v>
      </c>
      <c r="C92" s="55" t="str">
        <f>IFERROR(__xludf.DUMMYFUNCTION("""COMPUTED_VALUE"""),"June")</f>
        <v>June</v>
      </c>
      <c r="D92" s="58" t="str">
        <f>IFERROR(__xludf.DUMMYFUNCTION("""COMPUTED_VALUE"""),"https://www.tiktok.com/@irish_kulish_life/video/7652310738953981214")</f>
        <v>https://www.tiktok.com/@irish_kulish_life/video/7652310738953981214</v>
      </c>
      <c r="E92" s="55" t="str">
        <f>IFERROR(__xludf.DUMMYFUNCTION("""COMPUTED_VALUE"""),"@irish_kulish_life")</f>
        <v>@irish_kulish_life</v>
      </c>
      <c r="F92" s="55" t="str">
        <f>IFERROR(__xludf.DUMMYFUNCTION("""COMPUTED_VALUE"""),"Irina Kulish")</f>
        <v>Irina Kulish</v>
      </c>
      <c r="G92" s="55" t="str">
        <f>IFERROR(__xludf.DUMMYFUNCTION("""COMPUTED_VALUE"""),"Over 40/ High Performer")</f>
        <v>Over 40/ High Performer</v>
      </c>
      <c r="H92" s="55">
        <f>IFERROR(__xludf.DUMMYFUNCTION("""COMPUTED_VALUE"""),29.0)</f>
        <v>29</v>
      </c>
      <c r="I92" s="55">
        <f>IFERROR(__xludf.DUMMYFUNCTION("""COMPUTED_VALUE"""),14.6)</f>
        <v>14.6</v>
      </c>
      <c r="J92" s="55" t="str">
        <f>IFERROR(__xludf.DUMMYFUNCTION("""COMPUTED_VALUE"""),"No")</f>
        <v>No</v>
      </c>
      <c r="K92" s="55" t="str">
        <f>IFERROR(__xludf.DUMMYFUNCTION("""COMPUTED_VALUE"""),"Yes")</f>
        <v>Yes</v>
      </c>
      <c r="L92" s="55" t="str">
        <f>IFERROR(__xludf.DUMMYFUNCTION("""COMPUTED_VALUE"""),"Score 9.5 | 6-sec 0.0% — below thresholds")</f>
        <v>Score 9.5 | 6-sec 0.0% — below thresholds</v>
      </c>
      <c r="M92" s="59" t="str">
        <f>IFERROR(__xludf.DUMMYFUNCTION("""COMPUTED_VALUE"""),"Logic Fit ✓")</f>
        <v>Logic Fit ✓</v>
      </c>
      <c r="N92" s="55"/>
      <c r="O92" s="55"/>
      <c r="P92" s="59">
        <f>IFERROR(__xludf.DUMMYFUNCTION("""COMPUTED_VALUE"""),111.0)</f>
        <v>111</v>
      </c>
      <c r="Q92" s="59">
        <f>IFERROR(__xludf.DUMMYFUNCTION("""COMPUTED_VALUE"""),3.0)</f>
        <v>3</v>
      </c>
      <c r="R92" s="59">
        <f>IFERROR(__xludf.DUMMYFUNCTION("""COMPUTED_VALUE"""),0.0)</f>
        <v>0</v>
      </c>
      <c r="S92" s="55"/>
      <c r="T92" s="68">
        <f>IFERROR(__xludf.DUMMYFUNCTION("""COMPUTED_VALUE"""),0.0)</f>
        <v>0</v>
      </c>
      <c r="U92" s="55"/>
      <c r="V92" s="62">
        <f>IFERROR(__xludf.DUMMYFUNCTION("""COMPUTED_VALUE"""),0.027)</f>
        <v>0.027</v>
      </c>
      <c r="W92" s="63">
        <f>IFERROR(__xludf.DUMMYFUNCTION("""COMPUTED_VALUE"""),117.58)</f>
        <v>117.58</v>
      </c>
      <c r="X92" s="59">
        <f>IFERROR(__xludf.DUMMYFUNCTION("""COMPUTED_VALUE"""),8389.0)</f>
        <v>8389</v>
      </c>
      <c r="Y92" s="59">
        <f>IFERROR(__xludf.DUMMYFUNCTION("""COMPUTED_VALUE"""),10.0)</f>
        <v>10</v>
      </c>
      <c r="Z92" s="59">
        <f>IFERROR(__xludf.DUMMYFUNCTION("""COMPUTED_VALUE"""),0.0)</f>
        <v>0</v>
      </c>
      <c r="AA92" s="59">
        <f>IFERROR(__xludf.DUMMYFUNCTION("""COMPUTED_VALUE"""),3.0)</f>
        <v>3</v>
      </c>
      <c r="AB92" s="64">
        <f>IFERROR(__xludf.DUMMYFUNCTION("""COMPUTED_VALUE"""),2.0)</f>
        <v>2</v>
      </c>
      <c r="AC92" s="62">
        <f>IFERROR(__xludf.DUMMYFUNCTION("""COMPUTED_VALUE"""),0.15)</f>
        <v>0.15</v>
      </c>
      <c r="AD92" s="62">
        <f>IFERROR(__xludf.DUMMYFUNCTION("""COMPUTED_VALUE"""),13.2)</f>
        <v>13.2</v>
      </c>
      <c r="AE92" s="62">
        <f>IFERROR(__xludf.DUMMYFUNCTION("""COMPUTED_VALUE"""),4.2)</f>
        <v>4.2</v>
      </c>
      <c r="AF92" s="55" t="str">
        <f>IFERROR(__xludf.DUMMYFUNCTION("""COMPUTED_VALUE"""),"Yes")</f>
        <v>Yes</v>
      </c>
      <c r="AG92" s="63">
        <f>IFERROR(__xludf.DUMMYFUNCTION("""COMPUTED_VALUE"""),22.59)</f>
        <v>22.59</v>
      </c>
      <c r="AH92" s="59">
        <f>IFERROR(__xludf.DUMMYFUNCTION("""COMPUTED_VALUE"""),4934.0)</f>
        <v>4934</v>
      </c>
      <c r="AI92" s="55"/>
      <c r="AJ92" s="59">
        <f>IFERROR(__xludf.DUMMYFUNCTION("""COMPUTED_VALUE"""),52.0)</f>
        <v>52</v>
      </c>
      <c r="AK92" s="62">
        <f>IFERROR(__xludf.DUMMYFUNCTION("""COMPUTED_VALUE"""),1.0539)</f>
        <v>1.0539</v>
      </c>
      <c r="AL92" s="65">
        <f>IFERROR(__xludf.DUMMYFUNCTION("""COMPUTED_VALUE"""),0.434)</f>
        <v>0.434</v>
      </c>
      <c r="AM92" s="55" t="str">
        <f>IFERROR(__xludf.DUMMYFUNCTION("""COMPUTED_VALUE"""),"#TxZ4qTfy4/90yP8KB7CTLh3TsdJxy/II/uEMCD8n8d1q+Mnx12fCpuxjSMycPWU=")</f>
        <v>#TxZ4qTfy4/90yP8KB7CTLh3TsdJxy/II/uEMCD8n8d1q+Mnx12fCpuxjSMycPWU=</v>
      </c>
      <c r="AN92" s="55"/>
      <c r="AO92" s="58" t="str">
        <f>IFERROR(__xludf.DUMMYFUNCTION("""COMPUTED_VALUE"""),"https://us.brand.joinbrands.com/job/690408")</f>
        <v>https://us.brand.joinbrands.com/job/690408</v>
      </c>
      <c r="AP92" s="55" t="str">
        <f>IFERROR(__xludf.DUMMYFUNCTION("""COMPUTED_VALUE"""),"NA | MISFIT: Strong organic signal (score 26.2, 4.2% 6-sec) but only $30.20 spent — content was under-invested in ads.")</f>
        <v>NA | MISFIT: Strong organic signal (score 26.2, 4.2% 6-sec) but only $30.20 spent — content was under-invested in ads.</v>
      </c>
      <c r="AQ92" s="55" t="str">
        <f>IFERROR(__xludf.DUMMYFUNCTION("""COMPUTED_VALUE"""),"âœ¨ @target discovered something new ðŸ‘€ I picked up @VAHDAM USA andha Coffee at Target and honestly didnâ€™t expect to enjoy it this much. Itâ€™s a cozy iced coffee moment with a wellness twist â€”...")</f>
        <v>âœ¨ @target discovered something new ðŸ‘€ I picked up @VAHDAM USA andha Coffee at Target and honestly didnâ€™t expect to enjoy it this much. Itâ€™s a cozy iced coffee moment with a wellness twist â€”...</v>
      </c>
      <c r="AR92" s="55" t="str">
        <f>IFERROR(__xludf.DUMMYFUNCTION("""COMPUTED_VALUE"""),"If coffee usually leaves you feeling shaky or jittery, you need to try this.")</f>
        <v>If coffee usually leaves you feeling shaky or jittery, you need to try this.</v>
      </c>
      <c r="AS92" s="55" t="str">
        <f>IFERROR(__xludf.DUMMYFUNCTION("""COMPUTED_VALUE"""),"Problem / Pain Point")</f>
        <v>Problem / Pain Point</v>
      </c>
      <c r="AT92" s="55" t="str">
        <f>IFERROR(__xludf.DUMMYFUNCTION("""COMPUTED_VALUE"""),"• Ashwagandha, Curcumin, L Theanine, lions mane, and chaga mushrooms.
• I blend frozen milk, brew my Vadam Ashwagandha coffee, whip up a little coffee foam with some syrup and pour everything together.
• And honestly, it tastes like delicious regular coff"&amp;"ee.
• I found it at target and it's still coffee, but upgraded with KSM66.")</f>
        <v>• Ashwagandha, Curcumin, L Theanine, lions mane, and chaga mushrooms.
• I blend frozen milk, brew my Vadam Ashwagandha coffee, whip up a little coffee foam with some syrup and pour everything together.
• And honestly, it tastes like delicious regular coffee.
• I found it at target and it's still coffee, but upgraded with KSM66.</v>
      </c>
      <c r="AU92" s="55" t="str">
        <f>IFERROR(__xludf.DUMMYFUNCTION("""COMPUTED_VALUE"""),"If coffee usually leaves you feeling shaky or jittery, you need to try this.")</f>
        <v>If coffee usually leaves you feeling shaky or jittery, you need to try this.</v>
      </c>
      <c r="AV92" s="55" t="str">
        <f>IFERROR(__xludf.DUMMYFUNCTION("""COMPUTED_VALUE"""),"If coffee usually leaves you feeling shaky or jittery, you need to try this. I found it at target and it's still coffee, but upgraded with KSM66. Ashwagandha, Curcumin, L Theanine, lions mane, and chaga mushrooms. And honestly, it tastes like delicious re"&amp;"gular coffee. And since it's summer, my favorite way to enjoy it is iced. I blend frozen milk, brew my Vadam Ashwagandha coffee, whip up a little coffee foam with some syrup and pour everything together. So refreshing and seriously delicious.")</f>
        <v>If coffee usually leaves you feeling shaky or jittery, you need to try this. I found it at target and it's still coffee, but upgraded with KSM66. Ashwagandha, Curcumin, L Theanine, lions mane, and chaga mushrooms. And honestly, it tastes like delicious regular coffee. And since it's summer, my favorite way to enjoy it is iced. I blend frozen milk, brew my Vadam Ashwagandha coffee, whip up a little coffee foam with some syrup and pour everything together. So refreshing and seriously delicious.</v>
      </c>
      <c r="AW92" s="35"/>
      <c r="AX92" s="35"/>
      <c r="AY92" s="35"/>
      <c r="AZ92" s="35"/>
      <c r="BA92" s="35"/>
      <c r="BB92" s="35"/>
      <c r="BC92" s="35"/>
      <c r="BD92" s="35"/>
      <c r="BE92" s="35"/>
      <c r="BF92" s="35"/>
      <c r="BG92" s="35"/>
    </row>
    <row r="93" ht="15.75" customHeight="1">
      <c r="A93" s="55" t="str">
        <f>IFERROR(__xludf.DUMMYFUNCTION("""COMPUTED_VALUE"""),"Tiktok")</f>
        <v>Tiktok</v>
      </c>
      <c r="B93" s="56">
        <f>IFERROR(__xludf.DUMMYFUNCTION("""COMPUTED_VALUE"""),46195.0)</f>
        <v>46195</v>
      </c>
      <c r="C93" s="55" t="str">
        <f>IFERROR(__xludf.DUMMYFUNCTION("""COMPUTED_VALUE"""),"June")</f>
        <v>June</v>
      </c>
      <c r="D93" s="58" t="str">
        <f>IFERROR(__xludf.DUMMYFUNCTION("""COMPUTED_VALUE"""),"https://www.tiktok.com/@its.noelle.not.ni/video/7654230778036997406")</f>
        <v>https://www.tiktok.com/@its.noelle.not.ni/video/7654230778036997406</v>
      </c>
      <c r="E93" s="55" t="str">
        <f>IFERROR(__xludf.DUMMYFUNCTION("""COMPUTED_VALUE"""),"@its.noelle.not.ni")</f>
        <v>@its.noelle.not.ni</v>
      </c>
      <c r="F93" s="55" t="str">
        <f>IFERROR(__xludf.DUMMYFUNCTION("""COMPUTED_VALUE"""),"Noelle Giannini")</f>
        <v>Noelle Giannini</v>
      </c>
      <c r="G93" s="55" t="str">
        <f>IFERROR(__xludf.DUMMYFUNCTION("""COMPUTED_VALUE"""),"Gummies vs Coffee")</f>
        <v>Gummies vs Coffee</v>
      </c>
      <c r="H93" s="55">
        <f>IFERROR(__xludf.DUMMYFUNCTION("""COMPUTED_VALUE"""),60.0)</f>
        <v>60</v>
      </c>
      <c r="I93" s="55">
        <f>IFERROR(__xludf.DUMMYFUNCTION("""COMPUTED_VALUE"""),10.8)</f>
        <v>10.8</v>
      </c>
      <c r="J93" s="55" t="str">
        <f>IFERROR(__xludf.DUMMYFUNCTION("""COMPUTED_VALUE"""),"No")</f>
        <v>No</v>
      </c>
      <c r="K93" s="55" t="str">
        <f>IFERROR(__xludf.DUMMYFUNCTION("""COMPUTED_VALUE"""),"Yes")</f>
        <v>Yes</v>
      </c>
      <c r="L93" s="55" t="str">
        <f>IFERROR(__xludf.DUMMYFUNCTION("""COMPUTED_VALUE"""),"Score 12.3 | 6-sec 0.0% — below thresholds")</f>
        <v>Score 12.3 | 6-sec 0.0% — below thresholds</v>
      </c>
      <c r="M93" s="59" t="str">
        <f>IFERROR(__xludf.DUMMYFUNCTION("""COMPUTED_VALUE"""),"Logic Fit ✓")</f>
        <v>Logic Fit ✓</v>
      </c>
      <c r="N93" s="55"/>
      <c r="O93" s="55"/>
      <c r="P93" s="59">
        <f>IFERROR(__xludf.DUMMYFUNCTION("""COMPUTED_VALUE"""),100.0)</f>
        <v>100</v>
      </c>
      <c r="Q93" s="59">
        <f>IFERROR(__xludf.DUMMYFUNCTION("""COMPUTED_VALUE"""),3.0)</f>
        <v>3</v>
      </c>
      <c r="R93" s="59">
        <f>IFERROR(__xludf.DUMMYFUNCTION("""COMPUTED_VALUE"""),2.0)</f>
        <v>2</v>
      </c>
      <c r="S93" s="55"/>
      <c r="T93" s="68">
        <f>IFERROR(__xludf.DUMMYFUNCTION("""COMPUTED_VALUE"""),0.0)</f>
        <v>0</v>
      </c>
      <c r="U93" s="55"/>
      <c r="V93" s="62">
        <f>IFERROR(__xludf.DUMMYFUNCTION("""COMPUTED_VALUE"""),0.05)</f>
        <v>0.05</v>
      </c>
      <c r="W93" s="63">
        <f>IFERROR(__xludf.DUMMYFUNCTION("""COMPUTED_VALUE"""),72.99)</f>
        <v>72.99</v>
      </c>
      <c r="X93" s="59">
        <f>IFERROR(__xludf.DUMMYFUNCTION("""COMPUTED_VALUE"""),8213.0)</f>
        <v>8213</v>
      </c>
      <c r="Y93" s="59">
        <f>IFERROR(__xludf.DUMMYFUNCTION("""COMPUTED_VALUE"""),4.0)</f>
        <v>4</v>
      </c>
      <c r="Z93" s="59">
        <f>IFERROR(__xludf.DUMMYFUNCTION("""COMPUTED_VALUE"""),2.0)</f>
        <v>2</v>
      </c>
      <c r="AA93" s="59">
        <f>IFERROR(__xludf.DUMMYFUNCTION("""COMPUTED_VALUE"""),0.0)</f>
        <v>0</v>
      </c>
      <c r="AB93" s="64">
        <f>IFERROR(__xludf.DUMMYFUNCTION("""COMPUTED_VALUE"""),2.0)</f>
        <v>2</v>
      </c>
      <c r="AC93" s="62">
        <f>IFERROR(__xludf.DUMMYFUNCTION("""COMPUTED_VALUE"""),0.073)</f>
        <v>0.073</v>
      </c>
      <c r="AD93" s="62">
        <f>IFERROR(__xludf.DUMMYFUNCTION("""COMPUTED_VALUE"""),17.3)</f>
        <v>17.3</v>
      </c>
      <c r="AE93" s="62">
        <f>IFERROR(__xludf.DUMMYFUNCTION("""COMPUTED_VALUE"""),3.1)</f>
        <v>3.1</v>
      </c>
      <c r="AF93" s="55" t="str">
        <f>IFERROR(__xludf.DUMMYFUNCTION("""COMPUTED_VALUE"""),"Yes")</f>
        <v>Yes</v>
      </c>
      <c r="AG93" s="63">
        <f>IFERROR(__xludf.DUMMYFUNCTION("""COMPUTED_VALUE"""),4.67)</f>
        <v>4.67</v>
      </c>
      <c r="AH93" s="59">
        <f>IFERROR(__xludf.DUMMYFUNCTION("""COMPUTED_VALUE"""),4062.0)</f>
        <v>4062</v>
      </c>
      <c r="AI93" s="55"/>
      <c r="AJ93" s="59">
        <f>IFERROR(__xludf.DUMMYFUNCTION("""COMPUTED_VALUE"""),10.0)</f>
        <v>10</v>
      </c>
      <c r="AK93" s="62">
        <f>IFERROR(__xludf.DUMMYFUNCTION("""COMPUTED_VALUE"""),0.2462)</f>
        <v>0.2462</v>
      </c>
      <c r="AL93" s="65">
        <f>IFERROR(__xludf.DUMMYFUNCTION("""COMPUTED_VALUE"""),0.467)</f>
        <v>0.467</v>
      </c>
      <c r="AM93" s="55" t="str">
        <f>IFERROR(__xludf.DUMMYFUNCTION("""COMPUTED_VALUE"""),"#hTAtleLUfm1rhkaLruo9J8Hjq/aeicCWhCRCArmDHK7GjcLrOdDi9uBq2ZZyXkI=")</f>
        <v>#hTAtleLUfm1rhkaLruo9J8Hjq/aeicCWhCRCArmDHK7GjcLrOdDi9uBq2ZZyXkI=</v>
      </c>
      <c r="AN93" s="55"/>
      <c r="AO93" s="58" t="str">
        <f>IFERROR(__xludf.DUMMYFUNCTION("""COMPUTED_VALUE"""),"https://us.brand.joinbrands.com/job/690539")</f>
        <v>https://us.brand.joinbrands.com/job/690539</v>
      </c>
      <c r="AP93" s="55" t="str">
        <f>IFERROR(__xludf.DUMMYFUNCTION("""COMPUTED_VALUE"""),"Nice content")</f>
        <v>Nice content</v>
      </c>
      <c r="AQ93" s="55" t="str">
        <f>IFERROR(__xludf.DUMMYFUNCTION("""COMPUTED_VALUE"""),"Vadham Ashwagandha Coffee helps lower my stress and helps me focus on my day! @VAHDAM USA @target #coffee #ashwagandha #mushroomcoffee #icedcoffee #health")</f>
        <v>Vadham Ashwagandha Coffee helps lower my stress and helps me focus on my day! @VAHDAM USA @target #coffee #ashwagandha #mushroomcoffee #icedcoffee #health</v>
      </c>
      <c r="AR93" s="55" t="str">
        <f>IFERROR(__xludf.DUMMYFUNCTION("""COMPUTED_VALUE"""),"let's talk about what your coffee does for you in the morning.")</f>
        <v>let's talk about what your coffee does for you in the morning.</v>
      </c>
      <c r="AS93" s="55" t="str">
        <f>IFERROR(__xludf.DUMMYFUNCTION("""COMPUTED_VALUE"""),"Call-Out / If You")</f>
        <v>Call-Out / If You</v>
      </c>
      <c r="AT93" s="55" t="str">
        <f>IFERROR(__xludf.DUMMYFUNCTION("""COMPUTED_VALUE"""),"• Mine does the exact same thing, but it also helps to release stress, helps lower cortisol.
• It has lions mane chaga.
• It has ashwagandha and, um, turmeric and alphaine, which are actually already supplements that I had in my drawer anyways.
• But now "&amp;"I can drink it, and it's delicious.")</f>
        <v>• Mine does the exact same thing, but it also helps to release stress, helps lower cortisol.
• It has lions mane chaga.
• It has ashwagandha and, um, turmeric and alphaine, which are actually already supplements that I had in my drawer anyways.
• But now I can drink it, and it's delicious.</v>
      </c>
      <c r="AU93" s="55" t="str">
        <f>IFERROR(__xludf.DUMMYFUNCTION("""COMPUTED_VALUE"""),"And I have been singing mushroom coffee from the tops of the roofs for a long time, so I'm really excited about this.")</f>
        <v>And I have been singing mushroom coffee from the tops of the roofs for a long time, so I'm really excited about this.</v>
      </c>
      <c r="AV93" s="55" t="str">
        <f>IFERROR(__xludf.DUMMYFUNCTION("""COMPUTED_VALUE"""),"Hey, let's talk about what your coffee does for you in the morning. Does it wake you up? Does it give you a little bit of that huh? Feeling? Mine does the exact same thing, but it also helps to release stress, helps lower cortisol. It has lions mane chaga"&amp;". It has ashwagandha and, um, turmeric and alphaine, which are actually already supplements that I had in my drawer anyways. But now I can drink it, and it's delicious. It has, like, a caramel flavor. I usually put a little bit of cream in it. You can hav"&amp;"e it iced or you can have it hot, or both. I take one to work, I have one in the morning, and then I save one for later on. It's absolutely amazing. Getting close to 40, and it's very helpful because I feel like my brain just kind of. And, you know, you c"&amp;"hange all the kids names and all things like that. It's really delicious. And I have been singing mushroom coffee from the tops of the roofs for a long time, so I'm really excited about this.")</f>
        <v>Hey, let's talk about what your coffee does for you in the morning. Does it wake you up? Does it give you a little bit of that huh? Feeling? Mine does the exact same thing, but it also helps to release stress, helps lower cortisol. It has lions mane chaga. It has ashwagandha and, um, turmeric and alphaine, which are actually already supplements that I had in my drawer anyways. But now I can drink it, and it's delicious. It has, like, a caramel flavor. I usually put a little bit of cream in it. You can have it iced or you can have it hot, or both. I take one to work, I have one in the morning, and then I save one for later on. It's absolutely amazing. Getting close to 40, and it's very helpful because I feel like my brain just kind of. And, you know, you change all the kids names and all things like that. It's really delicious. And I have been singing mushroom coffee from the tops of the roofs for a long time, so I'm really excited about this.</v>
      </c>
      <c r="AW93" s="35"/>
      <c r="AX93" s="35"/>
      <c r="AY93" s="35"/>
      <c r="AZ93" s="35"/>
      <c r="BA93" s="35"/>
      <c r="BB93" s="35"/>
      <c r="BC93" s="35"/>
      <c r="BD93" s="35"/>
      <c r="BE93" s="35"/>
      <c r="BF93" s="35"/>
      <c r="BG93" s="35"/>
    </row>
    <row r="94" ht="15.75" customHeight="1">
      <c r="A94" s="55" t="str">
        <f>IFERROR(__xludf.DUMMYFUNCTION("""COMPUTED_VALUE"""),"Tiktok")</f>
        <v>Tiktok</v>
      </c>
      <c r="B94" s="56">
        <f>IFERROR(__xludf.DUMMYFUNCTION("""COMPUTED_VALUE"""),46196.0)</f>
        <v>46196</v>
      </c>
      <c r="C94" s="55" t="str">
        <f>IFERROR(__xludf.DUMMYFUNCTION("""COMPUTED_VALUE"""),"June")</f>
        <v>June</v>
      </c>
      <c r="D94" s="58" t="str">
        <f>IFERROR(__xludf.DUMMYFUNCTION("""COMPUTED_VALUE"""),"https://www.tiktok.com/@kcmvelasquez/video/7654573623444835598")</f>
        <v>https://www.tiktok.com/@kcmvelasquez/video/7654573623444835598</v>
      </c>
      <c r="E94" s="55" t="str">
        <f>IFERROR(__xludf.DUMMYFUNCTION("""COMPUTED_VALUE"""),"@kcmvelasquez")</f>
        <v>@kcmvelasquez</v>
      </c>
      <c r="F94" s="55" t="str">
        <f>IFERROR(__xludf.DUMMYFUNCTION("""COMPUTED_VALUE"""),"Kristen Velasquez")</f>
        <v>Kristen Velasquez</v>
      </c>
      <c r="G94" s="55" t="str">
        <f>IFERROR(__xludf.DUMMYFUNCTION("""COMPUTED_VALUE"""),"Over 40/ High Performer")</f>
        <v>Over 40/ High Performer</v>
      </c>
      <c r="H94" s="55">
        <f>IFERROR(__xludf.DUMMYFUNCTION("""COMPUTED_VALUE"""),59.0)</f>
        <v>59</v>
      </c>
      <c r="I94" s="55">
        <f>IFERROR(__xludf.DUMMYFUNCTION("""COMPUTED_VALUE"""),16.7)</f>
        <v>16.7</v>
      </c>
      <c r="J94" s="55" t="str">
        <f>IFERROR(__xludf.DUMMYFUNCTION("""COMPUTED_VALUE"""),"No")</f>
        <v>No</v>
      </c>
      <c r="K94" s="55" t="str">
        <f>IFERROR(__xludf.DUMMYFUNCTION("""COMPUTED_VALUE"""),"Yes")</f>
        <v>Yes</v>
      </c>
      <c r="L94" s="55" t="str">
        <f>IFERROR(__xludf.DUMMYFUNCTION("""COMPUTED_VALUE"""),"Score 11.5 | 6-sec 0.0% — below thresholds")</f>
        <v>Score 11.5 | 6-sec 0.0% — below thresholds</v>
      </c>
      <c r="M94" s="59" t="str">
        <f>IFERROR(__xludf.DUMMYFUNCTION("""COMPUTED_VALUE"""),"Logic Fit ✓")</f>
        <v>Logic Fit ✓</v>
      </c>
      <c r="N94" s="55"/>
      <c r="O94" s="55"/>
      <c r="P94" s="59">
        <f>IFERROR(__xludf.DUMMYFUNCTION("""COMPUTED_VALUE"""),167.0)</f>
        <v>167</v>
      </c>
      <c r="Q94" s="59">
        <f>IFERROR(__xludf.DUMMYFUNCTION("""COMPUTED_VALUE"""),9.0)</f>
        <v>9</v>
      </c>
      <c r="R94" s="59">
        <f>IFERROR(__xludf.DUMMYFUNCTION("""COMPUTED_VALUE"""),0.0)</f>
        <v>0</v>
      </c>
      <c r="S94" s="55"/>
      <c r="T94" s="68">
        <f>IFERROR(__xludf.DUMMYFUNCTION("""COMPUTED_VALUE"""),0.0)</f>
        <v>0</v>
      </c>
      <c r="U94" s="55"/>
      <c r="V94" s="62">
        <f>IFERROR(__xludf.DUMMYFUNCTION("""COMPUTED_VALUE"""),0.053)</f>
        <v>0.053</v>
      </c>
      <c r="W94" s="63">
        <f>IFERROR(__xludf.DUMMYFUNCTION("""COMPUTED_VALUE"""),117.58)</f>
        <v>117.58</v>
      </c>
      <c r="X94" s="59">
        <f>IFERROR(__xludf.DUMMYFUNCTION("""COMPUTED_VALUE"""),3869.0)</f>
        <v>3869</v>
      </c>
      <c r="Y94" s="59">
        <f>IFERROR(__xludf.DUMMYFUNCTION("""COMPUTED_VALUE"""),36.0)</f>
        <v>36</v>
      </c>
      <c r="Z94" s="59">
        <f>IFERROR(__xludf.DUMMYFUNCTION("""COMPUTED_VALUE"""),1.0)</f>
        <v>1</v>
      </c>
      <c r="AA94" s="59">
        <f>IFERROR(__xludf.DUMMYFUNCTION("""COMPUTED_VALUE"""),2.0)</f>
        <v>2</v>
      </c>
      <c r="AB94" s="64">
        <f>IFERROR(__xludf.DUMMYFUNCTION("""COMPUTED_VALUE"""),8.0)</f>
        <v>8</v>
      </c>
      <c r="AC94" s="62">
        <f>IFERROR(__xludf.DUMMYFUNCTION("""COMPUTED_VALUE"""),1.0)</f>
        <v>1</v>
      </c>
      <c r="AD94" s="62">
        <f>IFERROR(__xludf.DUMMYFUNCTION("""COMPUTED_VALUE"""),54.4)</f>
        <v>54.4</v>
      </c>
      <c r="AE94" s="62">
        <f>IFERROR(__xludf.DUMMYFUNCTION("""COMPUTED_VALUE"""),35.6)</f>
        <v>35.6</v>
      </c>
      <c r="AF94" s="55" t="str">
        <f>IFERROR(__xludf.DUMMYFUNCTION("""COMPUTED_VALUE"""),"Yes")</f>
        <v>Yes</v>
      </c>
      <c r="AG94" s="63">
        <f>IFERROR(__xludf.DUMMYFUNCTION("""COMPUTED_VALUE"""),43.42)</f>
        <v>43.42</v>
      </c>
      <c r="AH94" s="59">
        <f>IFERROR(__xludf.DUMMYFUNCTION("""COMPUTED_VALUE"""),3328.0)</f>
        <v>3328</v>
      </c>
      <c r="AI94" s="55"/>
      <c r="AJ94" s="59">
        <f>IFERROR(__xludf.DUMMYFUNCTION("""COMPUTED_VALUE"""),100.0)</f>
        <v>100</v>
      </c>
      <c r="AK94" s="62">
        <f>IFERROR(__xludf.DUMMYFUNCTION("""COMPUTED_VALUE"""),3.0048)</f>
        <v>3.0048</v>
      </c>
      <c r="AL94" s="65">
        <f>IFERROR(__xludf.DUMMYFUNCTION("""COMPUTED_VALUE"""),0.434)</f>
        <v>0.434</v>
      </c>
      <c r="AM94" s="55" t="str">
        <f>IFERROR(__xludf.DUMMYFUNCTION("""COMPUTED_VALUE"""),"#78Wap2m4D7X5tk2jFSsTKu7B1bbGzvOQeZl/8gBCMmzwb79LSz4HkyHq3729YY0=")</f>
        <v>#78Wap2m4D7X5tk2jFSsTKu7B1bbGzvOQeZl/8gBCMmzwb79LSz4HkyHq3729YY0=</v>
      </c>
      <c r="AN94" s="55"/>
      <c r="AO94" s="58" t="str">
        <f>IFERROR(__xludf.DUMMYFUNCTION("""COMPUTED_VALUE"""),"https://us.brand.joinbrands.com/job/691425")</f>
        <v>https://us.brand.joinbrands.com/job/691425</v>
      </c>
      <c r="AP94" s="55" t="str">
        <f>IFERROR(__xludf.DUMMYFUNCTION("""COMPUTED_VALUE"""),"NA")</f>
        <v>NA</v>
      </c>
      <c r="AQ94" s="55" t="str">
        <f>IFERROR(__xludf.DUMMYFUNCTION("""COMPUTED_VALUE"""),"@VAHDAM USA @target")</f>
        <v>@VAHDAM USA @target</v>
      </c>
      <c r="AR94" s="55" t="str">
        <f>IFERROR(__xludf.DUMMYFUNCTION("""COMPUTED_VALUE"""),"Okay, I need to know if anyone else has this problem.")</f>
        <v>Okay, I need to know if anyone else has this problem.</v>
      </c>
      <c r="AS94" s="55" t="str">
        <f>IFERROR(__xludf.DUMMYFUNCTION("""COMPUTED_VALUE"""),"Call-Out / If You")</f>
        <v>Call-Out / If You</v>
      </c>
      <c r="AT94" s="55" t="str">
        <f>IFERROR(__xludf.DUMMYFUNCTION("""COMPUTED_VALUE"""),"• It has 300 mg of KSM66 Ashwagandha plus the Turmeric, L Theanine, Lions, Mane, Shaga, mushrooms all in one cup.
• So I added this to my morning routine because I love that I get my coffee fixed without feeling super wired or crashing later.
• See, coffe"&amp;"e gives me energy, but sometimes it also gives me anxiety or the jitters and then I'll crash by two PM.
• So when I found this new Vadam Ashwagandha coffee at target, I was immediately curious because it is not just coffee.")</f>
        <v>• It has 300 mg of KSM66 Ashwagandha plus the Turmeric, L Theanine, Lions, Mane, Shaga, mushrooms all in one cup.
• So I added this to my morning routine because I love that I get my coffee fixed without feeling super wired or crashing later.
• See, coffee gives me energy, but sometimes it also gives me anxiety or the jitters and then I'll crash by two PM.
• So when I found this new Vadam Ashwagandha coffee at target, I was immediately curious because it is not just coffee.</v>
      </c>
      <c r="AU94" s="55" t="str">
        <f>IFERROR(__xludf.DUMMYFUNCTION("""COMPUTED_VALUE"""),"If you have been looking for a coffee upgrade, you can grab Vadam Ashwagandha coffee at target stores nationwide or on Target com.")</f>
        <v>If you have been looking for a coffee upgrade, you can grab Vadam Ashwagandha coffee at target stores nationwide or on Target com.</v>
      </c>
      <c r="AV94" s="55" t="str">
        <f>IFERROR(__xludf.DUMMYFUNCTION("""COMPUTED_VALUE"""),"Okay, I need to know if anyone else has this problem. See, coffee gives me energy, but sometimes it also gives me anxiety or the jitters and then I'll crash by two PM. So when I found this new Vadam Ashwagandha coffee at target, I was immediately curious "&amp;"because it is not just coffee. It has 300 mg of KSM66 Ashwagandha plus the Turmeric, L Theanine, Lions, Mane, Shaga, mushrooms all in one cup. And honestly, the biggest surprise is that it actually tastes like delicious regular coffee. Like if you didn't "&amp;"tell me there were wellness ingredients in there, I would have never guessed. So I added this to my morning routine because I love that I get my coffee fixed without feeling super wired or crashing later. If you have been looking for a coffee upgrade, you"&amp;" can grab Vadam Ashwagandha coffee at target stores nationwide or on Target com.")</f>
        <v>Okay, I need to know if anyone else has this problem. See, coffee gives me energy, but sometimes it also gives me anxiety or the jitters and then I'll crash by two PM. So when I found this new Vadam Ashwagandha coffee at target, I was immediately curious because it is not just coffee. It has 300 mg of KSM66 Ashwagandha plus the Turmeric, L Theanine, Lions, Mane, Shaga, mushrooms all in one cup. And honestly, the biggest surprise is that it actually tastes like delicious regular coffee. Like if you didn't tell me there were wellness ingredients in there, I would have never guessed. So I added this to my morning routine because I love that I get my coffee fixed without feeling super wired or crashing later. If you have been looking for a coffee upgrade, you can grab Vadam Ashwagandha coffee at target stores nationwide or on Target com.</v>
      </c>
      <c r="AW94" s="35"/>
      <c r="AX94" s="35"/>
      <c r="AY94" s="35"/>
      <c r="AZ94" s="35"/>
      <c r="BA94" s="35"/>
      <c r="BB94" s="35"/>
      <c r="BC94" s="35"/>
      <c r="BD94" s="35"/>
      <c r="BE94" s="35"/>
      <c r="BF94" s="35"/>
      <c r="BG94" s="35"/>
    </row>
    <row r="95" ht="15.75" customHeight="1">
      <c r="A95" s="55" t="str">
        <f>IFERROR(__xludf.DUMMYFUNCTION("""COMPUTED_VALUE"""),"Tiktok")</f>
        <v>Tiktok</v>
      </c>
      <c r="B95" s="56">
        <f>IFERROR(__xludf.DUMMYFUNCTION("""COMPUTED_VALUE"""),46195.0)</f>
        <v>46195</v>
      </c>
      <c r="C95" s="55" t="str">
        <f>IFERROR(__xludf.DUMMYFUNCTION("""COMPUTED_VALUE"""),"June")</f>
        <v>June</v>
      </c>
      <c r="D95" s="58" t="str">
        <f>IFERROR(__xludf.DUMMYFUNCTION("""COMPUTED_VALUE"""),"https://www.tiktok.com/@sherilin111/video/7654224023592684830")</f>
        <v>https://www.tiktok.com/@sherilin111/video/7654224023592684830</v>
      </c>
      <c r="E95" s="55" t="str">
        <f>IFERROR(__xludf.DUMMYFUNCTION("""COMPUTED_VALUE"""),"@sherilin111")</f>
        <v>@sherilin111</v>
      </c>
      <c r="F95" s="55" t="str">
        <f>IFERROR(__xludf.DUMMYFUNCTION("""COMPUTED_VALUE"""),"Sheri Lin")</f>
        <v>Sheri Lin</v>
      </c>
      <c r="G95" s="55" t="str">
        <f>IFERROR(__xludf.DUMMYFUNCTION("""COMPUTED_VALUE"""),"Over 40/ High Performer")</f>
        <v>Over 40/ High Performer</v>
      </c>
      <c r="H95" s="55">
        <f>IFERROR(__xludf.DUMMYFUNCTION("""COMPUTED_VALUE"""),55.0)</f>
        <v>55</v>
      </c>
      <c r="I95" s="55">
        <f>IFERROR(__xludf.DUMMYFUNCTION("""COMPUTED_VALUE"""),9.7)</f>
        <v>9.7</v>
      </c>
      <c r="J95" s="55" t="str">
        <f>IFERROR(__xludf.DUMMYFUNCTION("""COMPUTED_VALUE"""),"No")</f>
        <v>No</v>
      </c>
      <c r="K95" s="55" t="str">
        <f>IFERROR(__xludf.DUMMYFUNCTION("""COMPUTED_VALUE"""),"Yes")</f>
        <v>Yes</v>
      </c>
      <c r="L95" s="55" t="str">
        <f>IFERROR(__xludf.DUMMYFUNCTION("""COMPUTED_VALUE"""),"Score 9.5 | 6-sec 0.0% — below thresholds")</f>
        <v>Score 9.5 | 6-sec 0.0% — below thresholds</v>
      </c>
      <c r="M95" s="59" t="str">
        <f>IFERROR(__xludf.DUMMYFUNCTION("""COMPUTED_VALUE"""),"Logic Fit ✓")</f>
        <v>Logic Fit ✓</v>
      </c>
      <c r="N95" s="55"/>
      <c r="O95" s="55"/>
      <c r="P95" s="59">
        <f>IFERROR(__xludf.DUMMYFUNCTION("""COMPUTED_VALUE"""),110.0)</f>
        <v>110</v>
      </c>
      <c r="Q95" s="59">
        <f>IFERROR(__xludf.DUMMYFUNCTION("""COMPUTED_VALUE"""),3.0)</f>
        <v>3</v>
      </c>
      <c r="R95" s="59">
        <f>IFERROR(__xludf.DUMMYFUNCTION("""COMPUTED_VALUE"""),0.0)</f>
        <v>0</v>
      </c>
      <c r="S95" s="55"/>
      <c r="T95" s="68">
        <f>IFERROR(__xludf.DUMMYFUNCTION("""COMPUTED_VALUE"""),0.0)</f>
        <v>0</v>
      </c>
      <c r="U95" s="55"/>
      <c r="V95" s="62">
        <f>IFERROR(__xludf.DUMMYFUNCTION("""COMPUTED_VALUE"""),0.027)</f>
        <v>0.027</v>
      </c>
      <c r="W95" s="63">
        <f>IFERROR(__xludf.DUMMYFUNCTION("""COMPUTED_VALUE"""),117.58)</f>
        <v>117.58</v>
      </c>
      <c r="X95" s="59">
        <f>IFERROR(__xludf.DUMMYFUNCTION("""COMPUTED_VALUE"""),3066.0)</f>
        <v>3066</v>
      </c>
      <c r="Y95" s="59">
        <f>IFERROR(__xludf.DUMMYFUNCTION("""COMPUTED_VALUE"""),9.0)</f>
        <v>9</v>
      </c>
      <c r="Z95" s="59">
        <f>IFERROR(__xludf.DUMMYFUNCTION("""COMPUTED_VALUE"""),1.0)</f>
        <v>1</v>
      </c>
      <c r="AA95" s="59">
        <f>IFERROR(__xludf.DUMMYFUNCTION("""COMPUTED_VALUE"""),0.0)</f>
        <v>0</v>
      </c>
      <c r="AB95" s="64">
        <f>IFERROR(__xludf.DUMMYFUNCTION("""COMPUTED_VALUE"""),4.0)</f>
        <v>4</v>
      </c>
      <c r="AC95" s="62">
        <f>IFERROR(__xludf.DUMMYFUNCTION("""COMPUTED_VALUE"""),0.32)</f>
        <v>0.32</v>
      </c>
      <c r="AD95" s="62">
        <f>IFERROR(__xludf.DUMMYFUNCTION("""COMPUTED_VALUE"""),15.4)</f>
        <v>15.4</v>
      </c>
      <c r="AE95" s="62">
        <f>IFERROR(__xludf.DUMMYFUNCTION("""COMPUTED_VALUE"""),3.4)</f>
        <v>3.4</v>
      </c>
      <c r="AF95" s="55" t="str">
        <f>IFERROR(__xludf.DUMMYFUNCTION("""COMPUTED_VALUE"""),"Yes")</f>
        <v>Yes</v>
      </c>
      <c r="AG95" s="63">
        <f>IFERROR(__xludf.DUMMYFUNCTION("""COMPUTED_VALUE"""),2.55)</f>
        <v>2.55</v>
      </c>
      <c r="AH95" s="59">
        <f>IFERROR(__xludf.DUMMYFUNCTION("""COMPUTED_VALUE"""),1486.0)</f>
        <v>1486</v>
      </c>
      <c r="AI95" s="55"/>
      <c r="AJ95" s="59">
        <f>IFERROR(__xludf.DUMMYFUNCTION("""COMPUTED_VALUE"""),5.0)</f>
        <v>5</v>
      </c>
      <c r="AK95" s="62">
        <f>IFERROR(__xludf.DUMMYFUNCTION("""COMPUTED_VALUE"""),0.3365)</f>
        <v>0.3365</v>
      </c>
      <c r="AL95" s="65">
        <f>IFERROR(__xludf.DUMMYFUNCTION("""COMPUTED_VALUE"""),0.51)</f>
        <v>0.51</v>
      </c>
      <c r="AM95" s="55" t="str">
        <f>IFERROR(__xludf.DUMMYFUNCTION("""COMPUTED_VALUE"""),"#jhnfxkGdiZHbo8Gdu0iyPW3554+GWVWmVufgfzlD0oHgUXg+nG7fmIS+y8anpx8=")</f>
        <v>#jhnfxkGdiZHbo8Gdu0iyPW3554+GWVWmVufgfzlD0oHgUXg+nG7fmIS+y8anpx8=</v>
      </c>
      <c r="AN95" s="55"/>
      <c r="AO95" s="58" t="str">
        <f>IFERROR(__xludf.DUMMYFUNCTION("""COMPUTED_VALUE"""),"https://us.brand.joinbrands.com/job/690448")</f>
        <v>https://us.brand.joinbrands.com/job/690448</v>
      </c>
      <c r="AP95" s="55" t="str">
        <f>IFERROR(__xludf.DUMMYFUNCTION("""COMPUTED_VALUE"""),"Very nice | MISFIT: Strong organic signal (score 24.9, 3.4% 6-sec) but only $2.55 spent — content was under-invested in ads.")</f>
        <v>Very nice | MISFIT: Strong organic signal (score 24.9, 3.4% 6-sec) but only $2.55 spent — content was under-invested in ads.</v>
      </c>
      <c r="AQ95" s="55" t="str">
        <f>IFERROR(__xludf.DUMMYFUNCTION("""COMPUTED_VALUE"""),"Iâ€™ve been drinking their tea and now Iâ€™ll be drinking their coffee- @VAHDAM USA has this amazing coffee that is curated to not just give you natural energy but also a powerful ingredient blend...")</f>
        <v>Iâ€™ve been drinking their tea and now Iâ€™ll be drinking their coffee- @VAHDAM USA has this amazing coffee that is curated to not just give you natural energy but also a powerful ingredient blend...</v>
      </c>
      <c r="AR95" s="55" t="str">
        <f>IFERROR(__xludf.DUMMYFUNCTION("""COMPUTED_VALUE"""),"In case you don't know, my favorite tea company is now making coffee.")</f>
        <v>In case you don't know, my favorite tea company is now making coffee.</v>
      </c>
      <c r="AS95" s="55" t="str">
        <f>IFERROR(__xludf.DUMMYFUNCTION("""COMPUTED_VALUE"""),"General / Lifestyle")</f>
        <v>General / Lifestyle</v>
      </c>
      <c r="AT95" s="55" t="str">
        <f>IFERROR(__xludf.DUMMYFUNCTION("""COMPUTED_VALUE"""),"• After one cup, I was switching out my routine regular coffee with a ritual routine coffee.
• This coffee has five powerful wellness ingredients inside one cup.
• They have L theanine, mushroom blend, turmeric, and ashwagandha.
• It's my functional cup o"&amp;"f coffee that fits perfectly in my active, stressful lifestyle.")</f>
        <v>• After one cup, I was switching out my routine regular coffee with a ritual routine coffee.
• This coffee has five powerful wellness ingredients inside one cup.
• They have L theanine, mushroom blend, turmeric, and ashwagandha.
• It's my functional cup of coffee that fits perfectly in my active, stressful lifestyle.</v>
      </c>
      <c r="AU95" s="55" t="str">
        <f>IFERROR(__xludf.DUMMYFUNCTION("""COMPUTED_VALUE"""),"This is Vadam's Ashwagandha coffee, and you can get it at target.")</f>
        <v>This is Vadam's Ashwagandha coffee, and you can get it at target.</v>
      </c>
      <c r="AV95" s="55" t="str">
        <f>IFERROR(__xludf.DUMMYFUNCTION("""COMPUTED_VALUE"""),"In case you don't know, my favorite tea company is now making coffee. And it's instant, it's flavorful, and it's full of benefits. After one cup, I was switching out my routine regular coffee with a ritual routine coffee. Because not only did it give me t"&amp;"he temporary caffeine fix that I needed, I also felt amazing throughout the day. This coffee has five powerful wellness ingredients inside one cup. They have L theanine, mushroom blend, turmeric, and ashwagandha. Who knew that you can get so much from a c"&amp;"up of coffee besides caffeine? It's a coffee with purpose. It's my functional cup of coffee that fits perfectly in my active, stressful lifestyle. It has a rich, smooth flavor with a hint of delicious caramel. Exactly the flavors I want in a coffee. This "&amp;"special blend supports my joints, mood, mental stability, and it's enjoyable. It's a flavorful resource for feeling good. This is really such a great way to incorporate ashwagandha in my diet. I love this. This is Vadam's Ashwagandha coffee, and you can g"&amp;"et it at target.")</f>
        <v>In case you don't know, my favorite tea company is now making coffee. And it's instant, it's flavorful, and it's full of benefits. After one cup, I was switching out my routine regular coffee with a ritual routine coffee. Because not only did it give me the temporary caffeine fix that I needed, I also felt amazing throughout the day. This coffee has five powerful wellness ingredients inside one cup. They have L theanine, mushroom blend, turmeric, and ashwagandha. Who knew that you can get so much from a cup of coffee besides caffeine? It's a coffee with purpose. It's my functional cup of coffee that fits perfectly in my active, stressful lifestyle. It has a rich, smooth flavor with a hint of delicious caramel. Exactly the flavors I want in a coffee. This special blend supports my joints, mood, mental stability, and it's enjoyable. It's a flavorful resource for feeling good. This is really such a great way to incorporate ashwagandha in my diet. I love this. This is Vadam's Ashwagandha coffee, and you can get it at target.</v>
      </c>
      <c r="AW95" s="35"/>
      <c r="AX95" s="35"/>
      <c r="AY95" s="35"/>
      <c r="AZ95" s="35"/>
      <c r="BA95" s="35"/>
      <c r="BB95" s="35"/>
      <c r="BC95" s="35"/>
      <c r="BD95" s="35"/>
      <c r="BE95" s="35"/>
      <c r="BF95" s="35"/>
      <c r="BG95" s="35"/>
    </row>
    <row r="96" ht="15.75" customHeight="1">
      <c r="A96" s="55" t="str">
        <f>IFERROR(__xludf.DUMMYFUNCTION("""COMPUTED_VALUE"""),"Tiktok")</f>
        <v>Tiktok</v>
      </c>
      <c r="B96" s="56">
        <f>IFERROR(__xludf.DUMMYFUNCTION("""COMPUTED_VALUE"""),46190.0)</f>
        <v>46190</v>
      </c>
      <c r="C96" s="55" t="str">
        <f>IFERROR(__xludf.DUMMYFUNCTION("""COMPUTED_VALUE"""),"June")</f>
        <v>June</v>
      </c>
      <c r="D96" s="58" t="str">
        <f>IFERROR(__xludf.DUMMYFUNCTION("""COMPUTED_VALUE"""),"https://www.tiktok.com/@liz63785/video/7652359035085229342")</f>
        <v>https://www.tiktok.com/@liz63785/video/7652359035085229342</v>
      </c>
      <c r="E96" s="55" t="str">
        <f>IFERROR(__xludf.DUMMYFUNCTION("""COMPUTED_VALUE"""),"@liz63785")</f>
        <v>@liz63785</v>
      </c>
      <c r="F96" s="55" t="str">
        <f>IFERROR(__xludf.DUMMYFUNCTION("""COMPUTED_VALUE"""),"Liz Simone")</f>
        <v>Liz Simone</v>
      </c>
      <c r="G96" s="55" t="str">
        <f>IFERROR(__xludf.DUMMYFUNCTION("""COMPUTED_VALUE"""),"Cortisol")</f>
        <v>Cortisol</v>
      </c>
      <c r="H96" s="55">
        <f>IFERROR(__xludf.DUMMYFUNCTION("""COMPUTED_VALUE"""),64.0)</f>
        <v>64</v>
      </c>
      <c r="I96" s="55">
        <f>IFERROR(__xludf.DUMMYFUNCTION("""COMPUTED_VALUE"""),7.6)</f>
        <v>7.6</v>
      </c>
      <c r="J96" s="55" t="str">
        <f>IFERROR(__xludf.DUMMYFUNCTION("""COMPUTED_VALUE"""),"No")</f>
        <v>No</v>
      </c>
      <c r="K96" s="55" t="str">
        <f>IFERROR(__xludf.DUMMYFUNCTION("""COMPUTED_VALUE"""),"Yes")</f>
        <v>Yes</v>
      </c>
      <c r="L96" s="55" t="str">
        <f>IFERROR(__xludf.DUMMYFUNCTION("""COMPUTED_VALUE"""),"Score 9.0 | 6-sec 0.0% — below thresholds")</f>
        <v>Score 9.0 | 6-sec 0.0% — below thresholds</v>
      </c>
      <c r="M96" s="59" t="str">
        <f>IFERROR(__xludf.DUMMYFUNCTION("""COMPUTED_VALUE"""),"Logic Fit ✓")</f>
        <v>Logic Fit ✓</v>
      </c>
      <c r="N96" s="55"/>
      <c r="O96" s="55"/>
      <c r="P96" s="59">
        <f>IFERROR(__xludf.DUMMYFUNCTION("""COMPUTED_VALUE"""),93.0)</f>
        <v>93</v>
      </c>
      <c r="Q96" s="59">
        <f>IFERROR(__xludf.DUMMYFUNCTION("""COMPUTED_VALUE"""),0.0)</f>
        <v>0</v>
      </c>
      <c r="R96" s="59">
        <f>IFERROR(__xludf.DUMMYFUNCTION("""COMPUTED_VALUE"""),1.0)</f>
        <v>1</v>
      </c>
      <c r="S96" s="55"/>
      <c r="T96" s="68">
        <f>IFERROR(__xludf.DUMMYFUNCTION("""COMPUTED_VALUE"""),0.0)</f>
        <v>0</v>
      </c>
      <c r="U96" s="55"/>
      <c r="V96" s="62">
        <f>IFERROR(__xludf.DUMMYFUNCTION("""COMPUTED_VALUE"""),0.01)</f>
        <v>0.01</v>
      </c>
      <c r="W96" s="63">
        <f>IFERROR(__xludf.DUMMYFUNCTION("""COMPUTED_VALUE"""),72.99)</f>
        <v>72.99</v>
      </c>
      <c r="X96" s="59">
        <f>IFERROR(__xludf.DUMMYFUNCTION("""COMPUTED_VALUE"""),2062.0)</f>
        <v>2062</v>
      </c>
      <c r="Y96" s="59">
        <f>IFERROR(__xludf.DUMMYFUNCTION("""COMPUTED_VALUE"""),5.0)</f>
        <v>5</v>
      </c>
      <c r="Z96" s="59">
        <f>IFERROR(__xludf.DUMMYFUNCTION("""COMPUTED_VALUE"""),1.0)</f>
        <v>1</v>
      </c>
      <c r="AA96" s="59">
        <f>IFERROR(__xludf.DUMMYFUNCTION("""COMPUTED_VALUE"""),0.0)</f>
        <v>0</v>
      </c>
      <c r="AB96" s="64">
        <f>IFERROR(__xludf.DUMMYFUNCTION("""COMPUTED_VALUE"""),2.0)</f>
        <v>2</v>
      </c>
      <c r="AC96" s="62">
        <f>IFERROR(__xludf.DUMMYFUNCTION("""COMPUTED_VALUE"""),0.29)</f>
        <v>0.29</v>
      </c>
      <c r="AD96" s="62">
        <f>IFERROR(__xludf.DUMMYFUNCTION("""COMPUTED_VALUE"""),18.0)</f>
        <v>18</v>
      </c>
      <c r="AE96" s="62">
        <f>IFERROR(__xludf.DUMMYFUNCTION("""COMPUTED_VALUE"""),4.2)</f>
        <v>4.2</v>
      </c>
      <c r="AF96" s="55" t="str">
        <f>IFERROR(__xludf.DUMMYFUNCTION("""COMPUTED_VALUE"""),"Yes")</f>
        <v>Yes</v>
      </c>
      <c r="AG96" s="55"/>
      <c r="AH96" s="55"/>
      <c r="AI96" s="55"/>
      <c r="AJ96" s="55"/>
      <c r="AK96" s="55"/>
      <c r="AL96" s="55"/>
      <c r="AM96" s="55" t="str">
        <f>IFERROR(__xludf.DUMMYFUNCTION("""COMPUTED_VALUE"""),"#wCCfWraMGuCebq5YxvCtKf1Y+AkIotifjyyBQuFy8xcZnYNIvbD+9DbPkwzkaOc=")</f>
        <v>#wCCfWraMGuCebq5YxvCtKf1Y+AkIotifjyyBQuFy8xcZnYNIvbD+9DbPkwzkaOc=</v>
      </c>
      <c r="AN96" s="55"/>
      <c r="AO96" s="58" t="str">
        <f>IFERROR(__xludf.DUMMYFUNCTION("""COMPUTED_VALUE"""),"https://us.brand.joinbrands.com/job/689623")</f>
        <v>https://us.brand.joinbrands.com/job/689623</v>
      </c>
      <c r="AP96" s="55" t="str">
        <f>IFERROR(__xludf.DUMMYFUNCTION("""COMPUTED_VALUE"""),"NA | MISFIT: Strong organic signal (score 21.8, 4.2% 6-sec) but only $1.05 spent — content was under-invested in ads.")</f>
        <v>NA | MISFIT: Strong organic signal (score 21.8, 4.2% 6-sec) but only $1.05 spent — content was under-invested in ads.</v>
      </c>
      <c r="AQ96" s="55" t="str">
        <f>IFERROR(__xludf.DUMMYFUNCTION("""COMPUTED_VALUE"""),"Coffee over gummies!")</f>
        <v>Coffee over gummies!</v>
      </c>
      <c r="AR96" s="55" t="str">
        <f>IFERROR(__xludf.DUMMYFUNCTION("""COMPUTED_VALUE"""),"Why was I eating ashwagandha gummies when I drink coffee every single morning?")</f>
        <v>Why was I eating ashwagandha gummies when I drink coffee every single morning?</v>
      </c>
      <c r="AS96" s="55" t="str">
        <f>IFERROR(__xludf.DUMMYFUNCTION("""COMPUTED_VALUE"""),"Curiosity / Question")</f>
        <v>Curiosity / Question</v>
      </c>
      <c r="AT96" s="55" t="str">
        <f>IFERROR(__xludf.DUMMYFUNCTION("""COMPUTED_VALUE"""),"• It has KSM 60, six ashwagandha plus turmeric, plus L theanine chaga and lions mane.
• When I have one non negotiable habit every single morning, coffee.
• So when I found Vatoum's Ashwagandha coffee at target, I had to try it.
• With every cup I get my "&amp;"ashwagandha in two cups gives me half my daily recommended dose of ashwagandha.")</f>
        <v>• It has KSM 60, six ashwagandha plus turmeric, plus L theanine chaga and lions mane.
• When I have one non negotiable habit every single morning, coffee.
• So when I found Vatoum's Ashwagandha coffee at target, I had to try it.
• With every cup I get my ashwagandha in two cups gives me half my daily recommended dose of ashwagandha.</v>
      </c>
      <c r="AU96" s="55" t="str">
        <f>IFERROR(__xludf.DUMMYFUNCTION("""COMPUTED_VALUE"""),"Find Vatom Ashwagandha coffee at target stores or online.")</f>
        <v>Find Vatom Ashwagandha coffee at target stores or online.</v>
      </c>
      <c r="AV96" s="55" t="str">
        <f>IFERROR(__xludf.DUMMYFUNCTION("""COMPUTED_VALUE"""),"Why was I eating ashwagandha gummies when I drink coffee every single morning? Okay, I need to talk about something. I've been taking ashwagandha gummies, eating them like candy at random times of the day, hoping I'd remember to take my supplements. When "&amp;"I have one non negotiable habit every single morning, coffee. I never miss coffee. Never. So when I found Vatoum's Ashwagandha coffee at target, I had to try it. It has KSM 60, six ashwagandha plus turmeric, plus L theanine chaga and lions mane. With ever"&amp;"y cup I get my ashwagandha in two cups gives me half my daily recommended dose of ashwagandha. I genuinely felt a little silly for not having found this coffee earlier. I didn't need a new habit. I needed a better version of the one I already had. The gum"&amp;"mies are sitting on the counter. The coffee is already in my cup. This was not complicated. It just took me embarrassingly long to figure out. And now you can swap your gummies for a better coffee ritual too. Find Vatom Ashwagandha coffee at target stores"&amp;" or online.")</f>
        <v>Why was I eating ashwagandha gummies when I drink coffee every single morning? Okay, I need to talk about something. I've been taking ashwagandha gummies, eating them like candy at random times of the day, hoping I'd remember to take my supplements. When I have one non negotiable habit every single morning, coffee. I never miss coffee. Never. So when I found Vatoum's Ashwagandha coffee at target, I had to try it. It has KSM 60, six ashwagandha plus turmeric, plus L theanine chaga and lions mane. With every cup I get my ashwagandha in two cups gives me half my daily recommended dose of ashwagandha. I genuinely felt a little silly for not having found this coffee earlier. I didn't need a new habit. I needed a better version of the one I already had. The gummies are sitting on the counter. The coffee is already in my cup. This was not complicated. It just took me embarrassingly long to figure out. And now you can swap your gummies for a better coffee ritual too. Find Vatom Ashwagandha coffee at target stores or online.</v>
      </c>
      <c r="AW96" s="35"/>
      <c r="AX96" s="35"/>
      <c r="AY96" s="35"/>
      <c r="AZ96" s="35"/>
      <c r="BA96" s="35"/>
      <c r="BB96" s="35"/>
      <c r="BC96" s="35"/>
      <c r="BD96" s="35"/>
      <c r="BE96" s="35"/>
      <c r="BF96" s="35"/>
      <c r="BG96" s="35"/>
    </row>
    <row r="97" ht="15.75" customHeight="1">
      <c r="A97" s="55" t="str">
        <f>IFERROR(__xludf.DUMMYFUNCTION("""COMPUTED_VALUE"""),"Tiktok")</f>
        <v>Tiktok</v>
      </c>
      <c r="B97" s="56">
        <f>IFERROR(__xludf.DUMMYFUNCTION("""COMPUTED_VALUE"""),46196.0)</f>
        <v>46196</v>
      </c>
      <c r="C97" s="55" t="str">
        <f>IFERROR(__xludf.DUMMYFUNCTION("""COMPUTED_VALUE"""),"June")</f>
        <v>June</v>
      </c>
      <c r="D97" s="58" t="str">
        <f>IFERROR(__xludf.DUMMYFUNCTION("""COMPUTED_VALUE"""),"https://www.tiktok.com/@kt_girlmomof3/video/7654580775110692110")</f>
        <v>https://www.tiktok.com/@kt_girlmomof3/video/7654580775110692110</v>
      </c>
      <c r="E97" s="55" t="str">
        <f>IFERROR(__xludf.DUMMYFUNCTION("""COMPUTED_VALUE"""),"@kt_girlmomof3")</f>
        <v>@kt_girlmomof3</v>
      </c>
      <c r="F97" s="55" t="str">
        <f>IFERROR(__xludf.DUMMYFUNCTION("""COMPUTED_VALUE"""),"Katherine Salvatore")</f>
        <v>Katherine Salvatore</v>
      </c>
      <c r="G97" s="55" t="str">
        <f>IFERROR(__xludf.DUMMYFUNCTION("""COMPUTED_VALUE"""),"Target Shelf Showdown")</f>
        <v>Target Shelf Showdown</v>
      </c>
      <c r="H97" s="55">
        <f>IFERROR(__xludf.DUMMYFUNCTION("""COMPUTED_VALUE"""),63.0)</f>
        <v>63</v>
      </c>
      <c r="I97" s="55">
        <f>IFERROR(__xludf.DUMMYFUNCTION("""COMPUTED_VALUE"""),7.0)</f>
        <v>7</v>
      </c>
      <c r="J97" s="55" t="str">
        <f>IFERROR(__xludf.DUMMYFUNCTION("""COMPUTED_VALUE"""),"No")</f>
        <v>No</v>
      </c>
      <c r="K97" s="55" t="str">
        <f>IFERROR(__xludf.DUMMYFUNCTION("""COMPUTED_VALUE"""),"Yes")</f>
        <v>Yes</v>
      </c>
      <c r="L97" s="55" t="str">
        <f>IFERROR(__xludf.DUMMYFUNCTION("""COMPUTED_VALUE"""),"Score 7.5 | 6-sec 0.0% — below thresholds")</f>
        <v>Score 7.5 | 6-sec 0.0% — below thresholds</v>
      </c>
      <c r="M97" s="59" t="str">
        <f>IFERROR(__xludf.DUMMYFUNCTION("""COMPUTED_VALUE"""),"Logic Fit ✓")</f>
        <v>Logic Fit ✓</v>
      </c>
      <c r="N97" s="55"/>
      <c r="O97" s="55"/>
      <c r="P97" s="59">
        <f>IFERROR(__xludf.DUMMYFUNCTION("""COMPUTED_VALUE"""),58.0)</f>
        <v>58</v>
      </c>
      <c r="Q97" s="59">
        <f>IFERROR(__xludf.DUMMYFUNCTION("""COMPUTED_VALUE"""),1.0)</f>
        <v>1</v>
      </c>
      <c r="R97" s="59">
        <f>IFERROR(__xludf.DUMMYFUNCTION("""COMPUTED_VALUE"""),0.0)</f>
        <v>0</v>
      </c>
      <c r="S97" s="55"/>
      <c r="T97" s="68">
        <f>IFERROR(__xludf.DUMMYFUNCTION("""COMPUTED_VALUE"""),0.0)</f>
        <v>0</v>
      </c>
      <c r="U97" s="55"/>
      <c r="V97" s="62">
        <f>IFERROR(__xludf.DUMMYFUNCTION("""COMPUTED_VALUE"""),0.017)</f>
        <v>0.017</v>
      </c>
      <c r="W97" s="63">
        <f>IFERROR(__xludf.DUMMYFUNCTION("""COMPUTED_VALUE"""),72.99)</f>
        <v>72.99</v>
      </c>
      <c r="X97" s="59">
        <f>IFERROR(__xludf.DUMMYFUNCTION("""COMPUTED_VALUE"""),1446.0)</f>
        <v>1446</v>
      </c>
      <c r="Y97" s="59">
        <f>IFERROR(__xludf.DUMMYFUNCTION("""COMPUTED_VALUE"""),5.0)</f>
        <v>5</v>
      </c>
      <c r="Z97" s="59">
        <f>IFERROR(__xludf.DUMMYFUNCTION("""COMPUTED_VALUE"""),0.0)</f>
        <v>0</v>
      </c>
      <c r="AA97" s="59">
        <f>IFERROR(__xludf.DUMMYFUNCTION("""COMPUTED_VALUE"""),0.0)</f>
        <v>0</v>
      </c>
      <c r="AB97" s="64">
        <f>IFERROR(__xludf.DUMMYFUNCTION("""COMPUTED_VALUE"""),2.0)</f>
        <v>2</v>
      </c>
      <c r="AC97" s="62">
        <f>IFERROR(__xludf.DUMMYFUNCTION("""COMPUTED_VALUE"""),0.34)</f>
        <v>0.34</v>
      </c>
      <c r="AD97" s="62">
        <f>IFERROR(__xludf.DUMMYFUNCTION("""COMPUTED_VALUE"""),20.1)</f>
        <v>20.1</v>
      </c>
      <c r="AE97" s="62">
        <f>IFERROR(__xludf.DUMMYFUNCTION("""COMPUTED_VALUE"""),5.4)</f>
        <v>5.4</v>
      </c>
      <c r="AF97" s="55" t="str">
        <f>IFERROR(__xludf.DUMMYFUNCTION("""COMPUTED_VALUE"""),"Yes")</f>
        <v>Yes</v>
      </c>
      <c r="AG97" s="63">
        <f>IFERROR(__xludf.DUMMYFUNCTION("""COMPUTED_VALUE"""),5.31)</f>
        <v>5.31</v>
      </c>
      <c r="AH97" s="59">
        <f>IFERROR(__xludf.DUMMYFUNCTION("""COMPUTED_VALUE"""),884.0)</f>
        <v>884</v>
      </c>
      <c r="AI97" s="55"/>
      <c r="AJ97" s="59">
        <f>IFERROR(__xludf.DUMMYFUNCTION("""COMPUTED_VALUE"""),10.0)</f>
        <v>10</v>
      </c>
      <c r="AK97" s="62">
        <f>IFERROR(__xludf.DUMMYFUNCTION("""COMPUTED_VALUE"""),1.1312)</f>
        <v>1.1312</v>
      </c>
      <c r="AL97" s="65">
        <f>IFERROR(__xludf.DUMMYFUNCTION("""COMPUTED_VALUE"""),0.531)</f>
        <v>0.531</v>
      </c>
      <c r="AM97" s="55" t="str">
        <f>IFERROR(__xludf.DUMMYFUNCTION("""COMPUTED_VALUE"""),"#JsClgQg+nVzGtb6yyhjhBe0dTmeIgDjwJrZHb8/ix5PT/kKX8VMPCGT2qaF0E5k=")</f>
        <v>#JsClgQg+nVzGtb6yyhjhBe0dTmeIgDjwJrZHb8/ix5PT/kKX8VMPCGT2qaF0E5k=</v>
      </c>
      <c r="AN97" s="55"/>
      <c r="AO97" s="58" t="str">
        <f>IFERROR(__xludf.DUMMYFUNCTION("""COMPUTED_VALUE"""),"https://us.brand.joinbrands.com/job/693010")</f>
        <v>https://us.brand.joinbrands.com/job/693010</v>
      </c>
      <c r="AP97" s="55" t="str">
        <f>IFERROR(__xludf.DUMMYFUNCTION("""COMPUTED_VALUE"""),"Nicely executed")</f>
        <v>Nicely executed</v>
      </c>
      <c r="AQ97" s="55" t="str">
        <f>IFERROR(__xludf.DUMMYFUNCTION("""COMPUTED_VALUE"""),"Collagen coffee. Protein coffee. Mushroom coffee. Iâ€™ve tried them all, but VAHDAMÂ® Ashwagandha Coffee is the one I keep coming back to. â˜•ï¸âœ¨ Available at Target stores nationwide and on Target.com...")</f>
        <v>Collagen coffee. Protein coffee. Mushroom coffee. Iâ€™ve tried them all, but VAHDAMÂ® Ashwagandha Coffee is the one I keep coming back to. â˜•ï¸_x008f_âœ¨ Available at Target stores nationwide and on Target.com...</v>
      </c>
      <c r="AR97" s="55" t="str">
        <f>IFERROR(__xludf.DUMMYFUNCTION("""COMPUTED_VALUE"""),"If you're anything like me, you've probably tried every trendy coffee out there.")</f>
        <v>If you're anything like me, you've probably tried every trendy coffee out there.</v>
      </c>
      <c r="AS97" s="55" t="str">
        <f>IFERROR(__xludf.DUMMYFUNCTION("""COMPUTED_VALUE"""),"Call-Out / If You")</f>
        <v>Call-Out / If You</v>
      </c>
      <c r="AT97" s="55" t="str">
        <f>IFERROR(__xludf.DUMMYFUNCTION("""COMPUTED_VALUE"""),"• I've tried collagen coffee, protein coffee, and mushroom coffee, but none of them become a regular part of my routine.
• What's stood out to me is that it combines coffee with KSM-66 Ashwagandha, L Theanine, turmeric, and Lions mane.
• I love that it's "&amp;"coffee and wellness ingredients all in one cup.
• In mushroom coffee, I like the idea, but honestly, I didn't notice much of a difference.")</f>
        <v>• I've tried collagen coffee, protein coffee, and mushroom coffee, but none of them become a regular part of my routine.
• What's stood out to me is that it combines coffee with KSM-66 Ashwagandha, L Theanine, turmeric, and Lions mane.
• I love that it's coffee and wellness ingredients all in one cup.
• In mushroom coffee, I like the idea, but honestly, I didn't notice much of a difference.</v>
      </c>
      <c r="AU97" s="55" t="str">
        <f>IFERROR(__xludf.DUMMYFUNCTION("""COMPUTED_VALUE"""),"If you've been curious about functional coffee, VAHDAM ashwagandha coffee is available at target stores nationwide and online.")</f>
        <v>If you've been curious about functional coffee, VAHDAM ashwagandha coffee is available at target stores nationwide and online.</v>
      </c>
      <c r="AV97" s="55" t="str">
        <f>IFERROR(__xludf.DUMMYFUNCTION("""COMPUTED_VALUE"""),"If you're anything like me, you've probably tried every trendy coffee out there. I'm at target with my toddler grabbing the only one I've actually stuck with. I've tried collagen coffee, protein coffee, and mushroom coffee, but none of them become a regul"&amp;"ar part of my routine. Collagen coffee, that's a nice concept. Protein coffee, not really for me. In mushroom coffee, I like the idea, but honestly, I didn't notice much of a difference. Then I found VAHDAM Ashwagandha coffee. What's stood out to me is th"&amp;"at it combines coffee with KSM-66 Ashwagandha, L Theanine, turmeric, and Lions mane. I love that it's coffee and wellness ingredients all in one cup. So this is one that's coming home with me. For me, my energy feels smoother, and I don't get that jittery"&amp;" feeling I sometimes get from regular coffee. And honestly, the best surprise, it actually tastes like coffee. If you've been curious about functional coffee, VAHDAM ashwagandha coffee is available at target stores nationwide and online.")</f>
        <v>If you're anything like me, you've probably tried every trendy coffee out there. I'm at target with my toddler grabbing the only one I've actually stuck with. I've tried collagen coffee, protein coffee, and mushroom coffee, but none of them become a regular part of my routine. Collagen coffee, that's a nice concept. Protein coffee, not really for me. In mushroom coffee, I like the idea, but honestly, I didn't notice much of a difference. Then I found VAHDAM Ashwagandha coffee. What's stood out to me is that it combines coffee with KSM-66 Ashwagandha, L Theanine, turmeric, and Lions mane. I love that it's coffee and wellness ingredients all in one cup. So this is one that's coming home with me. For me, my energy feels smoother, and I don't get that jittery feeling I sometimes get from regular coffee. And honestly, the best surprise, it actually tastes like coffee. If you've been curious about functional coffee, VAHDAM ashwagandha coffee is available at target stores nationwide and online.</v>
      </c>
      <c r="AW97" s="35"/>
      <c r="AX97" s="35"/>
      <c r="AY97" s="35"/>
      <c r="AZ97" s="35"/>
      <c r="BA97" s="35"/>
      <c r="BB97" s="35"/>
      <c r="BC97" s="35"/>
      <c r="BD97" s="35"/>
      <c r="BE97" s="35"/>
      <c r="BF97" s="35"/>
      <c r="BG97" s="35"/>
    </row>
    <row r="98" ht="15.75" customHeight="1">
      <c r="A98" s="55" t="str">
        <f>IFERROR(__xludf.DUMMYFUNCTION("""COMPUTED_VALUE"""),"Tiktok")</f>
        <v>Tiktok</v>
      </c>
      <c r="B98" s="56">
        <f>IFERROR(__xludf.DUMMYFUNCTION("""COMPUTED_VALUE"""),46174.0)</f>
        <v>46174</v>
      </c>
      <c r="C98" s="55" t="str">
        <f>IFERROR(__xludf.DUMMYFUNCTION("""COMPUTED_VALUE"""),"June")</f>
        <v>June</v>
      </c>
      <c r="D98" s="58" t="str">
        <f>IFERROR(__xludf.DUMMYFUNCTION("""COMPUTED_VALUE"""),"https://www.tiktok.com/@maddijunefit/video/7646488739199438094")</f>
        <v>https://www.tiktok.com/@maddijunefit/video/7646488739199438094</v>
      </c>
      <c r="E98" s="55" t="str">
        <f>IFERROR(__xludf.DUMMYFUNCTION("""COMPUTED_VALUE"""),"@maddijunefit")</f>
        <v>@maddijunefit</v>
      </c>
      <c r="F98" s="55" t="str">
        <f>IFERROR(__xludf.DUMMYFUNCTION("""COMPUTED_VALUE"""),"Maddi Wartes")</f>
        <v>Maddi Wartes</v>
      </c>
      <c r="G98" s="55" t="str">
        <f>IFERROR(__xludf.DUMMYFUNCTION("""COMPUTED_VALUE"""),"Target In-Store Discovery")</f>
        <v>Target In-Store Discovery</v>
      </c>
      <c r="H98" s="55">
        <f>IFERROR(__xludf.DUMMYFUNCTION("""COMPUTED_VALUE"""),31.0)</f>
        <v>31</v>
      </c>
      <c r="I98" s="55">
        <f>IFERROR(__xludf.DUMMYFUNCTION("""COMPUTED_VALUE"""),12.4)</f>
        <v>12.4</v>
      </c>
      <c r="J98" s="55" t="str">
        <f>IFERROR(__xludf.DUMMYFUNCTION("""COMPUTED_VALUE"""),"No")</f>
        <v>No</v>
      </c>
      <c r="K98" s="55" t="str">
        <f>IFERROR(__xludf.DUMMYFUNCTION("""COMPUTED_VALUE"""),"Yes")</f>
        <v>Yes</v>
      </c>
      <c r="L98" s="55" t="str">
        <f>IFERROR(__xludf.DUMMYFUNCTION("""COMPUTED_VALUE"""),"Score 9.8 | 6-sec 0.0% — below thresholds")</f>
        <v>Score 9.8 | 6-sec 0.0% — below thresholds</v>
      </c>
      <c r="M98" s="59" t="str">
        <f>IFERROR(__xludf.DUMMYFUNCTION("""COMPUTED_VALUE"""),"Logic Fit ✓")</f>
        <v>Logic Fit ✓</v>
      </c>
      <c r="N98" s="55"/>
      <c r="O98" s="55"/>
      <c r="P98" s="59">
        <f>IFERROR(__xludf.DUMMYFUNCTION("""COMPUTED_VALUE"""),132.0)</f>
        <v>132</v>
      </c>
      <c r="Q98" s="59">
        <f>IFERROR(__xludf.DUMMYFUNCTION("""COMPUTED_VALUE"""),3.0)</f>
        <v>3</v>
      </c>
      <c r="R98" s="59">
        <f>IFERROR(__xludf.DUMMYFUNCTION("""COMPUTED_VALUE"""),0.0)</f>
        <v>0</v>
      </c>
      <c r="S98" s="55"/>
      <c r="T98" s="68">
        <f>IFERROR(__xludf.DUMMYFUNCTION("""COMPUTED_VALUE"""),0.0)</f>
        <v>0</v>
      </c>
      <c r="U98" s="55"/>
      <c r="V98" s="62">
        <f>IFERROR(__xludf.DUMMYFUNCTION("""COMPUTED_VALUE"""),0.02272727273)</f>
        <v>0.02272727273</v>
      </c>
      <c r="W98" s="63">
        <f>IFERROR(__xludf.DUMMYFUNCTION("""COMPUTED_VALUE"""),52.58)</f>
        <v>52.58</v>
      </c>
      <c r="X98" s="59">
        <f>IFERROR(__xludf.DUMMYFUNCTION("""COMPUTED_VALUE"""),1289.0)</f>
        <v>1289</v>
      </c>
      <c r="Y98" s="59">
        <f>IFERROR(__xludf.DUMMYFUNCTION("""COMPUTED_VALUE"""),5.0)</f>
        <v>5</v>
      </c>
      <c r="Z98" s="59">
        <f>IFERROR(__xludf.DUMMYFUNCTION("""COMPUTED_VALUE"""),0.0)</f>
        <v>0</v>
      </c>
      <c r="AA98" s="59">
        <f>IFERROR(__xludf.DUMMYFUNCTION("""COMPUTED_VALUE"""),1.0)</f>
        <v>1</v>
      </c>
      <c r="AB98" s="64">
        <f>IFERROR(__xludf.DUMMYFUNCTION("""COMPUTED_VALUE"""),4.0)</f>
        <v>4</v>
      </c>
      <c r="AC98" s="62">
        <f>IFERROR(__xludf.DUMMYFUNCTION("""COMPUTED_VALUE"""),0.46)</f>
        <v>0.46</v>
      </c>
      <c r="AD98" s="62">
        <f>IFERROR(__xludf.DUMMYFUNCTION("""COMPUTED_VALUE"""),32.3)</f>
        <v>32.3</v>
      </c>
      <c r="AE98" s="62">
        <f>IFERROR(__xludf.DUMMYFUNCTION("""COMPUTED_VALUE"""),13.1)</f>
        <v>13.1</v>
      </c>
      <c r="AF98" s="55" t="str">
        <f>IFERROR(__xludf.DUMMYFUNCTION("""COMPUTED_VALUE"""),"Yes")</f>
        <v>Yes</v>
      </c>
      <c r="AG98" s="63">
        <f>IFERROR(__xludf.DUMMYFUNCTION("""COMPUTED_VALUE"""),11.15)</f>
        <v>11.15</v>
      </c>
      <c r="AH98" s="59">
        <f>IFERROR(__xludf.DUMMYFUNCTION("""COMPUTED_VALUE"""),1134.0)</f>
        <v>1134</v>
      </c>
      <c r="AI98" s="55"/>
      <c r="AJ98" s="59">
        <f>IFERROR(__xludf.DUMMYFUNCTION("""COMPUTED_VALUE"""),17.0)</f>
        <v>17</v>
      </c>
      <c r="AK98" s="62">
        <f>IFERROR(__xludf.DUMMYFUNCTION("""COMPUTED_VALUE"""),1.4991)</f>
        <v>1.4991</v>
      </c>
      <c r="AL98" s="65">
        <f>IFERROR(__xludf.DUMMYFUNCTION("""COMPUTED_VALUE"""),0.656)</f>
        <v>0.656</v>
      </c>
      <c r="AM98" s="55" t="str">
        <f>IFERROR(__xludf.DUMMYFUNCTION("""COMPUTED_VALUE"""),"#XI8vo7VeHolBv69JRyG1r9PzCqq8m+zrWLgzTa4jLp08CpcRmCVK32HWUTAIFwg=")</f>
        <v>#XI8vo7VeHolBv69JRyG1r9PzCqq8m+zrWLgzTa4jLp08CpcRmCVK32HWUTAIFwg=</v>
      </c>
      <c r="AN98" s="55"/>
      <c r="AO98" s="58" t="str">
        <f>IFERROR(__xludf.DUMMYFUNCTION("""COMPUTED_VALUE"""),"https://us.brand.joinbrands.com/job/676502")</f>
        <v>https://us.brand.joinbrands.com/job/676502</v>
      </c>
      <c r="AP98" s="55" t="str">
        <f>IFERROR(__xludf.DUMMYFUNCTION("""COMPUTED_VALUE"""),"NA | MISFIT: Strong organic signal (score 33.6, 13.1% 6-sec) but only $11.15 spent — content was under-invested in ads.")</f>
        <v>NA | MISFIT: Strong organic signal (score 33.6, 13.1% 6-sec) but only $11.15 spent — content was under-invested in ads.</v>
      </c>
      <c r="AQ98" s="55" t="str">
        <f>IFERROR(__xludf.DUMMYFUNCTION("""COMPUTED_VALUE"""),"not me realizing my daily coffee was the reason I felt overstimulated by 10am ðŸ¤­â˜•ï¸ I swapped it for VAHDAMÂ® coffee with Ashwagandha + KSM-66Â® and the difference is WILD. still tastes like real...")</f>
        <v>not me realizing my daily coffee was the reason I felt overstimulated by 10am ðŸ¤­â˜•ï¸_x008f_ I swapped it for VAHDAMÂ® coffee with Ashwagandha + KSM-66Â® and the difference is WILD. still tastes like real...</v>
      </c>
      <c r="AR98" s="55" t="str">
        <f>IFERROR(__xludf.DUMMYFUNCTION("""COMPUTED_VALUE"""),"Okay, I finally found a coffee that gives me energy without making me feel anxious.")</f>
        <v>Okay, I finally found a coffee that gives me energy without making me feel anxious.</v>
      </c>
      <c r="AS98" s="55" t="str">
        <f>IFERROR(__xludf.DUMMYFUNCTION("""COMPUTED_VALUE"""),"Problem / Pain Point")</f>
        <v>Problem / Pain Point</v>
      </c>
      <c r="AT98" s="55" t="str">
        <f>IFERROR(__xludf.DUMMYFUNCTION("""COMPUTED_VALUE"""),"• It's 100% premium Arabica, but it also has K S M, sixty six, Ashwagandha, lions, mane chaga, and alpinia in it.
• Bottom just launched at target and it tastes like real coffee because it really is real coffee.
• And I love that I didn't have to change m"&amp;"y routine at all.
• So it feels like more than just coffee.")</f>
        <v>• It's 100% premium Arabica, but it also has K S M, sixty six, Ashwagandha, lions, mane chaga, and alpinia in it.
• Bottom just launched at target and it tastes like real coffee because it really is real coffee.
• And I love that I didn't have to change my routine at all.
• So it feels like more than just coffee.</v>
      </c>
      <c r="AU98" s="55" t="str">
        <f>IFERROR(__xludf.DUMMYFUNCTION("""COMPUTED_VALUE"""),"It's basically just my normal coffee, but elevated.")</f>
        <v>It's basically just my normal coffee, but elevated.</v>
      </c>
      <c r="AV98" s="55" t="str">
        <f>IFERROR(__xludf.DUMMYFUNCTION("""COMPUTED_VALUE"""),"Okay, I finally found a coffee that gives me energy without making me feel anxious. Bottom just launched at target and it tastes like real coffee because it really is real coffee. It's 100% premium Arabica, but it also has K S M, sixty six, Ashwagandha, l"&amp;"ions, mane chaga, and alpinia in it. So it feels like more than just coffee. And honestly, the biggest difference for me is the energy feels way calmer. Like no jitters or afternoon crash. And I love that I didn't have to change my routine at all. No weir"&amp;"d wellness rituals or complicated supplements. It's basically just my normal coffee, but elevated.")</f>
        <v>Okay, I finally found a coffee that gives me energy without making me feel anxious. Bottom just launched at target and it tastes like real coffee because it really is real coffee. It's 100% premium Arabica, but it also has K S M, sixty six, Ashwagandha, lions, mane chaga, and alpinia in it. So it feels like more than just coffee. And honestly, the biggest difference for me is the energy feels way calmer. Like no jitters or afternoon crash. And I love that I didn't have to change my routine at all. No weird wellness rituals or complicated supplements. It's basically just my normal coffee, but elevated.</v>
      </c>
      <c r="AW98" s="35"/>
      <c r="AX98" s="35"/>
      <c r="AY98" s="35"/>
      <c r="AZ98" s="35"/>
      <c r="BA98" s="35"/>
      <c r="BB98" s="35"/>
      <c r="BC98" s="35"/>
      <c r="BD98" s="35"/>
      <c r="BE98" s="35"/>
      <c r="BF98" s="35"/>
      <c r="BG98" s="35"/>
    </row>
    <row r="99" ht="15.75" customHeight="1">
      <c r="A99" s="55" t="str">
        <f>IFERROR(__xludf.DUMMYFUNCTION("""COMPUTED_VALUE"""),"Tiktok")</f>
        <v>Tiktok</v>
      </c>
      <c r="B99" s="56">
        <f>IFERROR(__xludf.DUMMYFUNCTION("""COMPUTED_VALUE"""),46175.0)</f>
        <v>46175</v>
      </c>
      <c r="C99" s="55" t="str">
        <f>IFERROR(__xludf.DUMMYFUNCTION("""COMPUTED_VALUE"""),"June")</f>
        <v>June</v>
      </c>
      <c r="D99" s="58" t="str">
        <f>IFERROR(__xludf.DUMMYFUNCTION("""COMPUTED_VALUE"""),"https://www.tiktok.com/@ashleyrosemurphy/video/7646613256563428638")</f>
        <v>https://www.tiktok.com/@ashleyrosemurphy/video/7646613256563428638</v>
      </c>
      <c r="E99" s="55" t="str">
        <f>IFERROR(__xludf.DUMMYFUNCTION("""COMPUTED_VALUE"""),"@ashleyrosemurphy")</f>
        <v>@ashleyrosemurphy</v>
      </c>
      <c r="F99" s="55" t="str">
        <f>IFERROR(__xludf.DUMMYFUNCTION("""COMPUTED_VALUE"""),"Ashley Murphy")</f>
        <v>Ashley Murphy</v>
      </c>
      <c r="G99" s="55" t="str">
        <f>IFERROR(__xludf.DUMMYFUNCTION("""COMPUTED_VALUE"""),"Target In-Store Discovery")</f>
        <v>Target In-Store Discovery</v>
      </c>
      <c r="H99" s="55">
        <f>IFERROR(__xludf.DUMMYFUNCTION("""COMPUTED_VALUE"""),25.0)</f>
        <v>25</v>
      </c>
      <c r="I99" s="55">
        <f>IFERROR(__xludf.DUMMYFUNCTION("""COMPUTED_VALUE"""),21.9)</f>
        <v>21.9</v>
      </c>
      <c r="J99" s="55" t="str">
        <f>IFERROR(__xludf.DUMMYFUNCTION("""COMPUTED_VALUE"""),"No")</f>
        <v>No</v>
      </c>
      <c r="K99" s="55" t="str">
        <f>IFERROR(__xludf.DUMMYFUNCTION("""COMPUTED_VALUE"""),"Yes")</f>
        <v>Yes</v>
      </c>
      <c r="L99" s="55" t="str">
        <f>IFERROR(__xludf.DUMMYFUNCTION("""COMPUTED_VALUE"""),"Score 16.3 | 6-sec 0.0% — below thresholds")</f>
        <v>Score 16.3 | 6-sec 0.0% — below thresholds</v>
      </c>
      <c r="M99" s="59" t="str">
        <f>IFERROR(__xludf.DUMMYFUNCTION("""COMPUTED_VALUE"""),"Logic Fit ✓")</f>
        <v>Logic Fit ✓</v>
      </c>
      <c r="N99" s="55"/>
      <c r="O99" s="55"/>
      <c r="P99" s="59">
        <f>IFERROR(__xludf.DUMMYFUNCTION("""COMPUTED_VALUE"""),283.0)</f>
        <v>283</v>
      </c>
      <c r="Q99" s="59">
        <f>IFERROR(__xludf.DUMMYFUNCTION("""COMPUTED_VALUE"""),20.0)</f>
        <v>20</v>
      </c>
      <c r="R99" s="59">
        <f>IFERROR(__xludf.DUMMYFUNCTION("""COMPUTED_VALUE"""),0.0)</f>
        <v>0</v>
      </c>
      <c r="S99" s="55"/>
      <c r="T99" s="68">
        <f>IFERROR(__xludf.DUMMYFUNCTION("""COMPUTED_VALUE"""),0.0)</f>
        <v>0</v>
      </c>
      <c r="U99" s="55"/>
      <c r="V99" s="62">
        <f>IFERROR(__xludf.DUMMYFUNCTION("""COMPUTED_VALUE"""),0.07067137809)</f>
        <v>0.07067137809</v>
      </c>
      <c r="W99" s="63">
        <f>IFERROR(__xludf.DUMMYFUNCTION("""COMPUTED_VALUE"""),52.58)</f>
        <v>52.58</v>
      </c>
      <c r="X99" s="59">
        <f>IFERROR(__xludf.DUMMYFUNCTION("""COMPUTED_VALUE"""),968.0)</f>
        <v>968</v>
      </c>
      <c r="Y99" s="59">
        <f>IFERROR(__xludf.DUMMYFUNCTION("""COMPUTED_VALUE"""),18.0)</f>
        <v>18</v>
      </c>
      <c r="Z99" s="59">
        <f>IFERROR(__xludf.DUMMYFUNCTION("""COMPUTED_VALUE"""),2.0)</f>
        <v>2</v>
      </c>
      <c r="AA99" s="59">
        <f>IFERROR(__xludf.DUMMYFUNCTION("""COMPUTED_VALUE"""),1.0)</f>
        <v>1</v>
      </c>
      <c r="AB99" s="64">
        <f>IFERROR(__xludf.DUMMYFUNCTION("""COMPUTED_VALUE"""),4.0)</f>
        <v>4</v>
      </c>
      <c r="AC99" s="62">
        <f>IFERROR(__xludf.DUMMYFUNCTION("""COMPUTED_VALUE"""),2.1)</f>
        <v>2.1</v>
      </c>
      <c r="AD99" s="62">
        <f>IFERROR(__xludf.DUMMYFUNCTION("""COMPUTED_VALUE"""),44.0)</f>
        <v>44</v>
      </c>
      <c r="AE99" s="62">
        <f>IFERROR(__xludf.DUMMYFUNCTION("""COMPUTED_VALUE"""),15.0)</f>
        <v>15</v>
      </c>
      <c r="AF99" s="55" t="str">
        <f>IFERROR(__xludf.DUMMYFUNCTION("""COMPUTED_VALUE"""),"Yes")</f>
        <v>Yes</v>
      </c>
      <c r="AG99" s="63">
        <f>IFERROR(__xludf.DUMMYFUNCTION("""COMPUTED_VALUE"""),6.66)</f>
        <v>6.66</v>
      </c>
      <c r="AH99" s="59">
        <f>IFERROR(__xludf.DUMMYFUNCTION("""COMPUTED_VALUE"""),661.0)</f>
        <v>661</v>
      </c>
      <c r="AI99" s="55"/>
      <c r="AJ99" s="59">
        <f>IFERROR(__xludf.DUMMYFUNCTION("""COMPUTED_VALUE"""),5.0)</f>
        <v>5</v>
      </c>
      <c r="AK99" s="62">
        <f>IFERROR(__xludf.DUMMYFUNCTION("""COMPUTED_VALUE"""),0.7564)</f>
        <v>0.7564</v>
      </c>
      <c r="AL99" s="65">
        <f>IFERROR(__xludf.DUMMYFUNCTION("""COMPUTED_VALUE"""),1.332)</f>
        <v>1.332</v>
      </c>
      <c r="AM99" s="55" t="str">
        <f>IFERROR(__xludf.DUMMYFUNCTION("""COMPUTED_VALUE"""),"#WL3AlLJBPhyLibq5qODJTjgMuUNZ1YvpNw/3f3kx2pqIwS3v/z6N0zGRnKbTWqM=")</f>
        <v>#WL3AlLJBPhyLibq5qODJTjgMuUNZ1YvpNw/3f3kx2pqIwS3v/z6N0zGRnKbTWqM=</v>
      </c>
      <c r="AN99" s="55"/>
      <c r="AO99" s="58" t="str">
        <f>IFERROR(__xludf.DUMMYFUNCTION("""COMPUTED_VALUE"""),"https://us.brand.joinbrands.com/job/676409")</f>
        <v>https://us.brand.joinbrands.com/job/676409</v>
      </c>
      <c r="AP99" s="55" t="str">
        <f>IFERROR(__xludf.DUMMYFUNCTION("""COMPUTED_VALUE"""),"NA | MISFIT: Strong organic signal (score 52.5, 15.0% 6-sec) but only $6.66 spent — content was under-invested in ads.")</f>
        <v>NA | MISFIT: Strong organic signal (score 52.5, 15.0% 6-sec) but only $6.66 spent — content was under-invested in ads.</v>
      </c>
      <c r="AQ99" s="55" t="str">
        <f>IFERROR(__xludf.DUMMYFUNCTION("""COMPUTED_VALUE"""),"New calm coffee!! #targetfinds #wellnessroutine #ashwagandha #cleanenergy #tiktokmademebuyit")</f>
        <v>New calm coffee!! #targetfinds #wellnessroutine #ashwagandha #cleanenergy #tiktokmademebuyit</v>
      </c>
      <c r="AR99" s="55" t="str">
        <f>IFERROR(__xludf.DUMMYFUNCTION("""COMPUTED_VALUE"""),"Okay, so I randomly found this ashwagandha coffee at target and had to try it because I've been trying to make my coffee routine feel a little healthi...")</f>
        <v>Okay, so I randomly found this ashwagandha coffee at target and had to try it because I've been trying to make my coffee routine feel a little healthi...</v>
      </c>
      <c r="AS99" s="55" t="str">
        <f>IFERROR(__xludf.DUMMYFUNCTION("""COMPUTED_VALUE"""),"Personal Discovery")</f>
        <v>Personal Discovery</v>
      </c>
      <c r="AT99" s="55" t="str">
        <f>IFERROR(__xludf.DUMMYFUNCTION("""COMPUTED_VALUE"""),"• It's infused with ashwagandha, which I love for wellness routines, and it really tastes smooth and good.
• Plus the packaging got me immediately.
• This is officially my new target find.")</f>
        <v>• It's infused with ashwagandha, which I love for wellness routines, and it really tastes smooth and good.
• Plus the packaging got me immediately.
• This is officially my new target find.</v>
      </c>
      <c r="AU99" s="55" t="str">
        <f>IFERROR(__xludf.DUMMYFUNCTION("""COMPUTED_VALUE"""),"Grab yours from your nearest target store if you want to give it a try as well!")</f>
        <v>Grab yours from your nearest target store if you want to give it a try as well!</v>
      </c>
      <c r="AV99" s="55" t="str">
        <f>IFERROR(__xludf.DUMMYFUNCTION("""COMPUTED_VALUE"""),"Okay, so I randomly found this ashwagandha coffee at target and had to try it because I've been trying to make my coffee routine feel a little healthier lately. It's infused with ashwagandha, which I love for wellness routines, and it really tastes smooth"&amp;" and good. Plus the packaging got me immediately. This is officially my new target find. Grab yours from your nearest target store if you want to give it a try as well!")</f>
        <v>Okay, so I randomly found this ashwagandha coffee at target and had to try it because I've been trying to make my coffee routine feel a little healthier lately. It's infused with ashwagandha, which I love for wellness routines, and it really tastes smooth and good. Plus the packaging got me immediately. This is officially my new target find. Grab yours from your nearest target store if you want to give it a try as well!</v>
      </c>
      <c r="AW99" s="35"/>
      <c r="AX99" s="35"/>
      <c r="AY99" s="35"/>
      <c r="AZ99" s="35"/>
      <c r="BA99" s="35"/>
      <c r="BB99" s="35"/>
      <c r="BC99" s="35"/>
      <c r="BD99" s="35"/>
      <c r="BE99" s="35"/>
      <c r="BF99" s="35"/>
      <c r="BG99" s="35"/>
    </row>
    <row r="100" ht="15.75" customHeight="1">
      <c r="A100" s="55" t="str">
        <f>IFERROR(__xludf.DUMMYFUNCTION("""COMPUTED_VALUE"""),"Tiktok")</f>
        <v>Tiktok</v>
      </c>
      <c r="B100" s="56">
        <f>IFERROR(__xludf.DUMMYFUNCTION("""COMPUTED_VALUE"""),46191.0)</f>
        <v>46191</v>
      </c>
      <c r="C100" s="55" t="str">
        <f>IFERROR(__xludf.DUMMYFUNCTION("""COMPUTED_VALUE"""),"June")</f>
        <v>June</v>
      </c>
      <c r="D100" s="58" t="str">
        <f>IFERROR(__xludf.DUMMYFUNCTION("""COMPUTED_VALUE"""),"https://www.tiktok.com/@byramilya/video/7652767180181884174")</f>
        <v>https://www.tiktok.com/@byramilya/video/7652767180181884174</v>
      </c>
      <c r="E100" s="55" t="str">
        <f>IFERROR(__xludf.DUMMYFUNCTION("""COMPUTED_VALUE"""),"@byramilya")</f>
        <v>@byramilya</v>
      </c>
      <c r="F100" s="55" t="str">
        <f>IFERROR(__xludf.DUMMYFUNCTION("""COMPUTED_VALUE"""),"NA")</f>
        <v>NA</v>
      </c>
      <c r="G100" s="55" t="str">
        <f>IFERROR(__xludf.DUMMYFUNCTION("""COMPUTED_VALUE"""),"Gummies vs Coffee")</f>
        <v>Gummies vs Coffee</v>
      </c>
      <c r="H100" s="55">
        <f>IFERROR(__xludf.DUMMYFUNCTION("""COMPUTED_VALUE"""),38.0)</f>
        <v>38</v>
      </c>
      <c r="I100" s="55">
        <f>IFERROR(__xludf.DUMMYFUNCTION("""COMPUTED_VALUE"""),5.7)</f>
        <v>5.7</v>
      </c>
      <c r="J100" s="55" t="str">
        <f>IFERROR(__xludf.DUMMYFUNCTION("""COMPUTED_VALUE"""),"No")</f>
        <v>No</v>
      </c>
      <c r="K100" s="55" t="str">
        <f>IFERROR(__xludf.DUMMYFUNCTION("""COMPUTED_VALUE"""),"Yes")</f>
        <v>Yes</v>
      </c>
      <c r="L100" s="55" t="str">
        <f>IFERROR(__xludf.DUMMYFUNCTION("""COMPUTED_VALUE"""),"Score 7.4 | 6-sec 0.0% — below thresholds")</f>
        <v>Score 7.4 | 6-sec 0.0% — below thresholds</v>
      </c>
      <c r="M100" s="59" t="str">
        <f>IFERROR(__xludf.DUMMYFUNCTION("""COMPUTED_VALUE"""),"Logic Fit ✓")</f>
        <v>Logic Fit ✓</v>
      </c>
      <c r="N100" s="55"/>
      <c r="O100" s="55"/>
      <c r="P100" s="59">
        <f>IFERROR(__xludf.DUMMYFUNCTION("""COMPUTED_VALUE"""),104.0)</f>
        <v>104</v>
      </c>
      <c r="Q100" s="59">
        <f>IFERROR(__xludf.DUMMYFUNCTION("""COMPUTED_VALUE"""),0.0)</f>
        <v>0</v>
      </c>
      <c r="R100" s="59">
        <f>IFERROR(__xludf.DUMMYFUNCTION("""COMPUTED_VALUE"""),0.0)</f>
        <v>0</v>
      </c>
      <c r="S100" s="55"/>
      <c r="T100" s="68">
        <f>IFERROR(__xludf.DUMMYFUNCTION("""COMPUTED_VALUE"""),0.0)</f>
        <v>0</v>
      </c>
      <c r="U100" s="55"/>
      <c r="V100" s="62">
        <f>IFERROR(__xludf.DUMMYFUNCTION("""COMPUTED_VALUE"""),0.0)</f>
        <v>0</v>
      </c>
      <c r="W100" s="63">
        <f>IFERROR(__xludf.DUMMYFUNCTION("""COMPUTED_VALUE"""),72.99)</f>
        <v>72.99</v>
      </c>
      <c r="X100" s="59">
        <f>IFERROR(__xludf.DUMMYFUNCTION("""COMPUTED_VALUE"""),968.0)</f>
        <v>968</v>
      </c>
      <c r="Y100" s="59">
        <f>IFERROR(__xludf.DUMMYFUNCTION("""COMPUTED_VALUE"""),3.0)</f>
        <v>3</v>
      </c>
      <c r="Z100" s="59">
        <f>IFERROR(__xludf.DUMMYFUNCTION("""COMPUTED_VALUE"""),0.0)</f>
        <v>0</v>
      </c>
      <c r="AA100" s="59">
        <f>IFERROR(__xludf.DUMMYFUNCTION("""COMPUTED_VALUE"""),0.0)</f>
        <v>0</v>
      </c>
      <c r="AB100" s="64">
        <f>IFERROR(__xludf.DUMMYFUNCTION("""COMPUTED_VALUE"""),2.0)</f>
        <v>2</v>
      </c>
      <c r="AC100" s="62">
        <f>IFERROR(__xludf.DUMMYFUNCTION("""COMPUTED_VALUE"""),0.3)</f>
        <v>0.3</v>
      </c>
      <c r="AD100" s="62">
        <f>IFERROR(__xludf.DUMMYFUNCTION("""COMPUTED_VALUE"""),18.0)</f>
        <v>18</v>
      </c>
      <c r="AE100" s="62">
        <f>IFERROR(__xludf.DUMMYFUNCTION("""COMPUTED_VALUE"""),5.1)</f>
        <v>5.1</v>
      </c>
      <c r="AF100" s="55" t="str">
        <f>IFERROR(__xludf.DUMMYFUNCTION("""COMPUTED_VALUE"""),"Yes")</f>
        <v>Yes</v>
      </c>
      <c r="AG100" s="63">
        <f>IFERROR(__xludf.DUMMYFUNCTION("""COMPUTED_VALUE"""),7.67)</f>
        <v>7.67</v>
      </c>
      <c r="AH100" s="59">
        <f>IFERROR(__xludf.DUMMYFUNCTION("""COMPUTED_VALUE"""),818.0)</f>
        <v>818</v>
      </c>
      <c r="AI100" s="55"/>
      <c r="AJ100" s="59">
        <f>IFERROR(__xludf.DUMMYFUNCTION("""COMPUTED_VALUE"""),15.0)</f>
        <v>15</v>
      </c>
      <c r="AK100" s="62">
        <f>IFERROR(__xludf.DUMMYFUNCTION("""COMPUTED_VALUE"""),1.8337)</f>
        <v>1.8337</v>
      </c>
      <c r="AL100" s="65">
        <f>IFERROR(__xludf.DUMMYFUNCTION("""COMPUTED_VALUE"""),0.511)</f>
        <v>0.511</v>
      </c>
      <c r="AM100" s="55" t="str">
        <f>IFERROR(__xludf.DUMMYFUNCTION("""COMPUTED_VALUE"""),"#JzECzLnjdcYwcxg4L1DlKKRnQR2Orcw3LngltY07XmskoTJNwNsIZR4VBoG7yok=")</f>
        <v>#JzECzLnjdcYwcxg4L1DlKKRnQR2Orcw3LngltY07XmskoTJNwNsIZR4VBoG7yok=</v>
      </c>
      <c r="AN100" s="55"/>
      <c r="AO100" s="55" t="str">
        <f>IFERROR(__xludf.DUMMYFUNCTION("""COMPUTED_VALUE"""),"NA")</f>
        <v>NA</v>
      </c>
      <c r="AP100" s="55" t="str">
        <f>IFERROR(__xludf.DUMMYFUNCTION("""COMPUTED_VALUE"""),"NA | MISFIT: Strong organic signal (score 18.8, 5.1% 6-sec) but only $7.67 spent — content was under-invested in ads.")</f>
        <v>NA | MISFIT: Strong organic signal (score 18.8, 5.1% 6-sec) but only $7.67 spent — content was under-invested in ads.</v>
      </c>
      <c r="AQ100" s="55" t="str">
        <f>IFERROR(__xludf.DUMMYFUNCTION("""COMPUTED_VALUE"""),"Coffee with benefits? Yes, please. â˜•âœ¨ I picked up VAHDAM Ashwagandha Coffee at Target and have been loving it as part of my daily routine. Itâ€™s smooth, delicious, and an easy way to enjoy calm...")</f>
        <v>Coffee with benefits? Yes, please. â˜•âœ¨ I picked up VAHDAM Ashwagandha Coffee at Target and have been loving it as part of my daily routine. Itâ€™s smooth, delicious, and an easy way to enjoy calm...</v>
      </c>
      <c r="AR100" s="55" t="str">
        <f>IFERROR(__xludf.DUMMYFUNCTION("""COMPUTED_VALUE"""),"I found ashwagandha coffee at target and as a coffee lover I had to try it.")</f>
        <v>I found ashwagandha coffee at target and as a coffee lover I had to try it.</v>
      </c>
      <c r="AS100" s="55" t="str">
        <f>IFERROR(__xludf.DUMMYFUNCTION("""COMPUTED_VALUE"""),"Personal Discovery")</f>
        <v>Personal Discovery</v>
      </c>
      <c r="AT100" s="55" t="str">
        <f>IFERROR(__xludf.DUMMYFUNCTION("""COMPUTED_VALUE"""),"• It is coffee upgraded with wellness ingredients for daily stress support, calm, energy, clarity, focus and mood balance.
• It actually tastes like delicious regular coffee, which is important for me because I really love coffee.
• I'm making it as iced "&amp;"coffee today.
• It even comes with this cute wooden spoon inside.")</f>
        <v>• It is coffee upgraded with wellness ingredients for daily stress support, calm, energy, clarity, focus and mood balance.
• It actually tastes like delicious regular coffee, which is important for me because I really love coffee.
• I'm making it as iced coffee today.
• It even comes with this cute wooden spoon inside.</v>
      </c>
      <c r="AU100" s="55" t="str">
        <f>IFERROR(__xludf.DUMMYFUNCTION("""COMPUTED_VALUE"""),"If you are looking for a delicious coffee with functional ingredients, Vadam is definitely worth trying.")</f>
        <v>If you are looking for a delicious coffee with functional ingredients, Vadam is definitely worth trying.</v>
      </c>
      <c r="AV100" s="55" t="str">
        <f>IFERROR(__xludf.DUMMYFUNCTION("""COMPUTED_VALUE"""),"I found ashwagandha coffee at target and as a coffee lover I had to try it. It is coffee upgraded with wellness ingredients for daily stress support, calm, energy, clarity, focus and mood balance. It even comes with this cute wooden spoon inside. I'm maki"&amp;"ng it as iced coffee today. Just scoop, mix, add ice and it's ready. Honestly, I was surprised. It actually tastes like delicious regular coffee, which is important for me because I really love coffee. If you are looking for a delicious coffee with functi"&amp;"onal ingredients, Vadam is definitely worth trying.")</f>
        <v>I found ashwagandha coffee at target and as a coffee lover I had to try it. It is coffee upgraded with wellness ingredients for daily stress support, calm, energy, clarity, focus and mood balance. It even comes with this cute wooden spoon inside. I'm making it as iced coffee today. Just scoop, mix, add ice and it's ready. Honestly, I was surprised. It actually tastes like delicious regular coffee, which is important for me because I really love coffee. If you are looking for a delicious coffee with functional ingredients, Vadam is definitely worth trying.</v>
      </c>
      <c r="AW100" s="35"/>
      <c r="AX100" s="35"/>
      <c r="AY100" s="35"/>
      <c r="AZ100" s="35"/>
      <c r="BA100" s="35"/>
      <c r="BB100" s="35"/>
      <c r="BC100" s="35"/>
      <c r="BD100" s="35"/>
      <c r="BE100" s="35"/>
      <c r="BF100" s="35"/>
      <c r="BG100" s="35"/>
    </row>
    <row r="101" ht="15.75" customHeight="1">
      <c r="A101" s="55" t="str">
        <f>IFERROR(__xludf.DUMMYFUNCTION("""COMPUTED_VALUE"""),"Tiktok")</f>
        <v>Tiktok</v>
      </c>
      <c r="B101" s="56">
        <f>IFERROR(__xludf.DUMMYFUNCTION("""COMPUTED_VALUE"""),46196.0)</f>
        <v>46196</v>
      </c>
      <c r="C101" s="55" t="str">
        <f>IFERROR(__xludf.DUMMYFUNCTION("""COMPUTED_VALUE"""),"June")</f>
        <v>June</v>
      </c>
      <c r="D101" s="58" t="str">
        <f>IFERROR(__xludf.DUMMYFUNCTION("""COMPUTED_VALUE"""),"https://www.tiktok.com/@lorrainealbernazugc/video/7654602616927735053")</f>
        <v>https://www.tiktok.com/@lorrainealbernazugc/video/7654602616927735053</v>
      </c>
      <c r="E101" s="55" t="str">
        <f>IFERROR(__xludf.DUMMYFUNCTION("""COMPUTED_VALUE"""),"@lorrainealbernazugc")</f>
        <v>@lorrainealbernazugc</v>
      </c>
      <c r="F101" s="55" t="str">
        <f>IFERROR(__xludf.DUMMYFUNCTION("""COMPUTED_VALUE"""),"Lorraine Albernaz")</f>
        <v>Lorraine Albernaz</v>
      </c>
      <c r="G101" s="55" t="str">
        <f>IFERROR(__xludf.DUMMYFUNCTION("""COMPUTED_VALUE"""),"Countering Mushroom Coffee Trend")</f>
        <v>Countering Mushroom Coffee Trend</v>
      </c>
      <c r="H101" s="55">
        <f>IFERROR(__xludf.DUMMYFUNCTION("""COMPUTED_VALUE"""),25.0)</f>
        <v>25</v>
      </c>
      <c r="I101" s="55">
        <f>IFERROR(__xludf.DUMMYFUNCTION("""COMPUTED_VALUE"""),8.4)</f>
        <v>8.4</v>
      </c>
      <c r="J101" s="55" t="str">
        <f>IFERROR(__xludf.DUMMYFUNCTION("""COMPUTED_VALUE"""),"No")</f>
        <v>No</v>
      </c>
      <c r="K101" s="55" t="str">
        <f>IFERROR(__xludf.DUMMYFUNCTION("""COMPUTED_VALUE"""),"Yes")</f>
        <v>Yes</v>
      </c>
      <c r="L101" s="55" t="str">
        <f>IFERROR(__xludf.DUMMYFUNCTION("""COMPUTED_VALUE"""),"Score 8.4 | 6-sec 0.0% — below thresholds")</f>
        <v>Score 8.4 | 6-sec 0.0% — below thresholds</v>
      </c>
      <c r="M101" s="59" t="str">
        <f>IFERROR(__xludf.DUMMYFUNCTION("""COMPUTED_VALUE"""),"Logic Fit ✓")</f>
        <v>Logic Fit ✓</v>
      </c>
      <c r="N101" s="55"/>
      <c r="O101" s="55"/>
      <c r="P101" s="59">
        <f>IFERROR(__xludf.DUMMYFUNCTION("""COMPUTED_VALUE"""),71.0)</f>
        <v>71</v>
      </c>
      <c r="Q101" s="59">
        <f>IFERROR(__xludf.DUMMYFUNCTION("""COMPUTED_VALUE"""),2.0)</f>
        <v>2</v>
      </c>
      <c r="R101" s="59">
        <f>IFERROR(__xludf.DUMMYFUNCTION("""COMPUTED_VALUE"""),0.0)</f>
        <v>0</v>
      </c>
      <c r="S101" s="55"/>
      <c r="T101" s="68">
        <f>IFERROR(__xludf.DUMMYFUNCTION("""COMPUTED_VALUE"""),0.0)</f>
        <v>0</v>
      </c>
      <c r="U101" s="55"/>
      <c r="V101" s="62">
        <f>IFERROR(__xludf.DUMMYFUNCTION("""COMPUTED_VALUE"""),0.028)</f>
        <v>0.028</v>
      </c>
      <c r="W101" s="63">
        <f>IFERROR(__xludf.DUMMYFUNCTION("""COMPUTED_VALUE"""),117.58)</f>
        <v>117.58</v>
      </c>
      <c r="X101" s="59">
        <f>IFERROR(__xludf.DUMMYFUNCTION("""COMPUTED_VALUE"""),359.0)</f>
        <v>359</v>
      </c>
      <c r="Y101" s="59">
        <f>IFERROR(__xludf.DUMMYFUNCTION("""COMPUTED_VALUE"""),3.0)</f>
        <v>3</v>
      </c>
      <c r="Z101" s="59">
        <f>IFERROR(__xludf.DUMMYFUNCTION("""COMPUTED_VALUE"""),0.0)</f>
        <v>0</v>
      </c>
      <c r="AA101" s="59">
        <f>IFERROR(__xludf.DUMMYFUNCTION("""COMPUTED_VALUE"""),0.0)</f>
        <v>0</v>
      </c>
      <c r="AB101" s="64">
        <f>IFERROR(__xludf.DUMMYFUNCTION("""COMPUTED_VALUE"""),2.0)</f>
        <v>2</v>
      </c>
      <c r="AC101" s="62">
        <f>IFERROR(__xludf.DUMMYFUNCTION("""COMPUTED_VALUE"""),0.83)</f>
        <v>0.83</v>
      </c>
      <c r="AD101" s="62">
        <f>IFERROR(__xludf.DUMMYFUNCTION("""COMPUTED_VALUE"""),24.2)</f>
        <v>24.2</v>
      </c>
      <c r="AE101" s="62">
        <f>IFERROR(__xludf.DUMMYFUNCTION("""COMPUTED_VALUE"""),8.4)</f>
        <v>8.4</v>
      </c>
      <c r="AF101" s="55" t="str">
        <f>IFERROR(__xludf.DUMMYFUNCTION("""COMPUTED_VALUE"""),"Yes")</f>
        <v>Yes</v>
      </c>
      <c r="AG101" s="63">
        <f>IFERROR(__xludf.DUMMYFUNCTION("""COMPUTED_VALUE"""),3.09)</f>
        <v>3.09</v>
      </c>
      <c r="AH101" s="59">
        <f>IFERROR(__xludf.DUMMYFUNCTION("""COMPUTED_VALUE"""),240.0)</f>
        <v>240</v>
      </c>
      <c r="AI101" s="55"/>
      <c r="AJ101" s="59">
        <f>IFERROR(__xludf.DUMMYFUNCTION("""COMPUTED_VALUE"""),7.0)</f>
        <v>7</v>
      </c>
      <c r="AK101" s="62">
        <f>IFERROR(__xludf.DUMMYFUNCTION("""COMPUTED_VALUE"""),2.9167)</f>
        <v>2.9167</v>
      </c>
      <c r="AL101" s="65">
        <f>IFERROR(__xludf.DUMMYFUNCTION("""COMPUTED_VALUE"""),0.441)</f>
        <v>0.441</v>
      </c>
      <c r="AM101" s="55" t="str">
        <f>IFERROR(__xludf.DUMMYFUNCTION("""COMPUTED_VALUE"""),"#b3A294oiXwIxAkMvZ74eVKYt5lGtoGrcEF5SCi+pM8DKkndiEqnV9xRsbzrrT/o=")</f>
        <v>#b3A294oiXwIxAkMvZ74eVKYt5lGtoGrcEF5SCi+pM8DKkndiEqnV9xRsbzrrT/o=</v>
      </c>
      <c r="AN101" s="55"/>
      <c r="AO101" s="58" t="str">
        <f>IFERROR(__xludf.DUMMYFUNCTION("""COMPUTED_VALUE"""),"https://us.brand.joinbrands.com/job/695022")</f>
        <v>https://us.brand.joinbrands.com/job/695022</v>
      </c>
      <c r="AP101" s="55" t="str">
        <f>IFERROR(__xludf.DUMMYFUNCTION("""COMPUTED_VALUE"""),"Nice | MISFIT: Strong organic signal (score 29.5, 8.4% 6-sec) but only $3.50 spent — content was under-invested in ads.")</f>
        <v>Nice | MISFIT: Strong organic signal (score 29.5, 8.4% 6-sec) but only $3.50 spent — content was under-invested in ads.</v>
      </c>
      <c r="AQ101" s="55" t="str">
        <f>IFERROR(__xludf.DUMMYFUNCTION("""COMPUTED_VALUE"""),"Iced coffee season just got better! â˜•ðŸ§Š Loving my VAHDAM Ashwagandha Coffee. You can find it at Target! ðŸ¤Ž @VAHDAM USA @target")</f>
        <v>Iced coffee season just got better! â˜•ðŸ§Š Loving my VAHDAM Ashwagandha Coffee. You can find it at Target! ðŸ¤Ž @VAHDAM USA @target</v>
      </c>
      <c r="AR101" s="55" t="str">
        <f>IFERROR(__xludf.DUMMYFUNCTION("""COMPUTED_VALUE"""),"I recently swapped my regular iced coffee for Vahdam Ashwagandha coffee and I honestly wasn't expecting it to taste this good.")</f>
        <v>I recently swapped my regular iced coffee for Vahdam Ashwagandha coffee and I honestly wasn't expecting it to taste this good.</v>
      </c>
      <c r="AS101" s="55" t="str">
        <f>IFERROR(__xludf.DUMMYFUNCTION("""COMPUTED_VALUE"""),"Taste / Sensory")</f>
        <v>Taste / Sensory</v>
      </c>
      <c r="AT101" s="55" t="str">
        <f>IFERROR(__xludf.DUMMYFUNCTION("""COMPUTED_VALUE"""),"• It tastes just like delicious regular coffee but it's made with functional wellness ingredients making it an easy addition to my daily routine.
• I love enjoying it while spending time outside with my kids because it's such a relaxing part of my day.")</f>
        <v>• It tastes just like delicious regular coffee but it's made with functional wellness ingredients making it an easy addition to my daily routine.
• I love enjoying it while spending time outside with my kids because it's such a relaxing part of my day.</v>
      </c>
      <c r="AU101" s="55" t="str">
        <f>IFERROR(__xludf.DUMMYFUNCTION("""COMPUTED_VALUE"""),"You can find Vahdam Ashwagandha coffee at Target stores nationwide or on target.com.")</f>
        <v>You can find Vahdam Ashwagandha coffee at Target stores nationwide or on target.com.</v>
      </c>
      <c r="AV101" s="55" t="str">
        <f>IFERROR(__xludf.DUMMYFUNCTION("""COMPUTED_VALUE"""),"I recently swapped my regular iced coffee for Vahdam Ashwagandha coffee and I honestly wasn't expecting it to taste this good. It tastes just like delicious regular coffee but it's made with functional wellness ingredients making it an easy addition to my"&amp;" daily routine. I love enjoying it while spending time outside with my kids because it's such a relaxing part of my day. You can find Vahdam Ashwagandha coffee at Target stores nationwide or on target.com.")</f>
        <v>I recently swapped my regular iced coffee for Vahdam Ashwagandha coffee and I honestly wasn't expecting it to taste this good. It tastes just like delicious regular coffee but it's made with functional wellness ingredients making it an easy addition to my daily routine. I love enjoying it while spending time outside with my kids because it's such a relaxing part of my day. You can find Vahdam Ashwagandha coffee at Target stores nationwide or on target.com.</v>
      </c>
      <c r="AW101" s="35"/>
      <c r="AX101" s="35"/>
      <c r="AY101" s="35"/>
      <c r="AZ101" s="35"/>
      <c r="BA101" s="35"/>
      <c r="BB101" s="35"/>
      <c r="BC101" s="35"/>
      <c r="BD101" s="35"/>
      <c r="BE101" s="35"/>
      <c r="BF101" s="35"/>
      <c r="BG101" s="35"/>
    </row>
    <row r="102" ht="15.75" customHeight="1">
      <c r="A102" s="55" t="str">
        <f>IFERROR(__xludf.DUMMYFUNCTION("""COMPUTED_VALUE"""),"Tiktok")</f>
        <v>Tiktok</v>
      </c>
      <c r="B102" s="56">
        <f>IFERROR(__xludf.DUMMYFUNCTION("""COMPUTED_VALUE"""),46190.0)</f>
        <v>46190</v>
      </c>
      <c r="C102" s="55" t="str">
        <f>IFERROR(__xludf.DUMMYFUNCTION("""COMPUTED_VALUE"""),"June")</f>
        <v>June</v>
      </c>
      <c r="D102" s="58" t="str">
        <f>IFERROR(__xludf.DUMMYFUNCTION("""COMPUTED_VALUE"""),"https://www.tiktok.com/@irish_kulish_life/video/7652387013047389471")</f>
        <v>https://www.tiktok.com/@irish_kulish_life/video/7652387013047389471</v>
      </c>
      <c r="E102" s="55" t="str">
        <f>IFERROR(__xludf.DUMMYFUNCTION("""COMPUTED_VALUE"""),"@irish_kulish_life")</f>
        <v>@irish_kulish_life</v>
      </c>
      <c r="F102" s="55" t="str">
        <f>IFERROR(__xludf.DUMMYFUNCTION("""COMPUTED_VALUE"""),"Irina Kulish")</f>
        <v>Irina Kulish</v>
      </c>
      <c r="G102" s="55" t="str">
        <f>IFERROR(__xludf.DUMMYFUNCTION("""COMPUTED_VALUE"""),"Target Shelf Showdown")</f>
        <v>Target Shelf Showdown</v>
      </c>
      <c r="H102" s="55">
        <f>IFERROR(__xludf.DUMMYFUNCTION("""COMPUTED_VALUE"""),29.0)</f>
        <v>29</v>
      </c>
      <c r="I102" s="55">
        <f>IFERROR(__xludf.DUMMYFUNCTION("""COMPUTED_VALUE"""),7.6)</f>
        <v>7.6</v>
      </c>
      <c r="J102" s="55" t="str">
        <f>IFERROR(__xludf.DUMMYFUNCTION("""COMPUTED_VALUE"""),"No")</f>
        <v>No</v>
      </c>
      <c r="K102" s="55" t="str">
        <f>IFERROR(__xludf.DUMMYFUNCTION("""COMPUTED_VALUE"""),"Yes")</f>
        <v>Yes</v>
      </c>
      <c r="L102" s="55" t="str">
        <f>IFERROR(__xludf.DUMMYFUNCTION("""COMPUTED_VALUE"""),"Score 9.0 | 6-sec 0.0% — below thresholds")</f>
        <v>Score 9.0 | 6-sec 0.0% — below thresholds</v>
      </c>
      <c r="M102" s="59" t="str">
        <f>IFERROR(__xludf.DUMMYFUNCTION("""COMPUTED_VALUE"""),"Logic Fit ✓")</f>
        <v>Logic Fit ✓</v>
      </c>
      <c r="N102" s="55"/>
      <c r="O102" s="55"/>
      <c r="P102" s="59">
        <f>IFERROR(__xludf.DUMMYFUNCTION("""COMPUTED_VALUE"""),93.0)</f>
        <v>93</v>
      </c>
      <c r="Q102" s="59">
        <f>IFERROR(__xludf.DUMMYFUNCTION("""COMPUTED_VALUE"""),0.0)</f>
        <v>0</v>
      </c>
      <c r="R102" s="59">
        <f>IFERROR(__xludf.DUMMYFUNCTION("""COMPUTED_VALUE"""),1.0)</f>
        <v>1</v>
      </c>
      <c r="S102" s="55"/>
      <c r="T102" s="68">
        <f>IFERROR(__xludf.DUMMYFUNCTION("""COMPUTED_VALUE"""),0.0)</f>
        <v>0</v>
      </c>
      <c r="U102" s="55"/>
      <c r="V102" s="62">
        <f>IFERROR(__xludf.DUMMYFUNCTION("""COMPUTED_VALUE"""),0.01)</f>
        <v>0.01</v>
      </c>
      <c r="W102" s="63">
        <f>IFERROR(__xludf.DUMMYFUNCTION("""COMPUTED_VALUE"""),72.99)</f>
        <v>72.99</v>
      </c>
      <c r="X102" s="59">
        <f>IFERROR(__xludf.DUMMYFUNCTION("""COMPUTED_VALUE"""),269.0)</f>
        <v>269</v>
      </c>
      <c r="Y102" s="59">
        <f>IFERROR(__xludf.DUMMYFUNCTION("""COMPUTED_VALUE"""),5.0)</f>
        <v>5</v>
      </c>
      <c r="Z102" s="59">
        <f>IFERROR(__xludf.DUMMYFUNCTION("""COMPUTED_VALUE"""),0.0)</f>
        <v>0</v>
      </c>
      <c r="AA102" s="59">
        <f>IFERROR(__xludf.DUMMYFUNCTION("""COMPUTED_VALUE"""),0.0)</f>
        <v>0</v>
      </c>
      <c r="AB102" s="64">
        <f>IFERROR(__xludf.DUMMYFUNCTION("""COMPUTED_VALUE"""),2.0)</f>
        <v>2</v>
      </c>
      <c r="AC102" s="62">
        <f>IFERROR(__xludf.DUMMYFUNCTION("""COMPUTED_VALUE"""),1.8)</f>
        <v>1.8</v>
      </c>
      <c r="AD102" s="62">
        <f>IFERROR(__xludf.DUMMYFUNCTION("""COMPUTED_VALUE"""),34.8)</f>
        <v>34.8</v>
      </c>
      <c r="AE102" s="62">
        <f>IFERROR(__xludf.DUMMYFUNCTION("""COMPUTED_VALUE"""),6.3)</f>
        <v>6.3</v>
      </c>
      <c r="AF102" s="55" t="str">
        <f>IFERROR(__xludf.DUMMYFUNCTION("""COMPUTED_VALUE"""),"Yes")</f>
        <v>Yes</v>
      </c>
      <c r="AG102" s="63">
        <f>IFERROR(__xludf.DUMMYFUNCTION("""COMPUTED_VALUE"""),0.0)</f>
        <v>0</v>
      </c>
      <c r="AH102" s="59">
        <f>IFERROR(__xludf.DUMMYFUNCTION("""COMPUTED_VALUE"""),188.0)</f>
        <v>188</v>
      </c>
      <c r="AI102" s="55"/>
      <c r="AJ102" s="59">
        <f>IFERROR(__xludf.DUMMYFUNCTION("""COMPUTED_VALUE"""),0.0)</f>
        <v>0</v>
      </c>
      <c r="AK102" s="62">
        <f>IFERROR(__xludf.DUMMYFUNCTION("""COMPUTED_VALUE"""),0.0)</f>
        <v>0</v>
      </c>
      <c r="AL102" s="65">
        <f>IFERROR(__xludf.DUMMYFUNCTION("""COMPUTED_VALUE"""),0.0)</f>
        <v>0</v>
      </c>
      <c r="AM102" s="55" t="str">
        <f>IFERROR(__xludf.DUMMYFUNCTION("""COMPUTED_VALUE"""),"#4/0bCyj6Rx9LIuvwCbsB/bj0dmdeDLPE3IXV67mbknvIWaFTRtvtcklYE8J3Si0=")</f>
        <v>#4/0bCyj6Rx9LIuvwCbsB/bj0dmdeDLPE3IXV67mbknvIWaFTRtvtcklYE8J3Si0=</v>
      </c>
      <c r="AN102" s="55"/>
      <c r="AO102" s="58" t="str">
        <f>IFERROR(__xludf.DUMMYFUNCTION("""COMPUTED_VALUE"""),"https://us.brand.joinbrands.com/job/688044")</f>
        <v>https://us.brand.joinbrands.com/job/688044</v>
      </c>
      <c r="AP102" s="55" t="str">
        <f>IFERROR(__xludf.DUMMYFUNCTION("""COMPUTED_VALUE"""),"NA | MISFIT: Strong organic signal (score 24.4, 6.3% 6-sec) but only $30.20 spent — content was under-invested in ads.")</f>
        <v>NA | MISFIT: Strong organic signal (score 24.4, 6.3% 6-sec) but only $30.20 spent — content was under-invested in ads.</v>
      </c>
      <c r="AQ102" s="55" t="str">
        <f>IFERROR(__xludf.DUMMYFUNCTION("""COMPUTED_VALUE"""),"â˜•ï¸ As a mom of 3, I donâ€™t have time for complicated coffee routines â€” especially in the summer when I just want something fast, cold, and good. Thatâ€™s why I ended up trying @VAHDAM USA Ashwagandha...")</f>
        <v>â˜•ï¸_x008f_ As a mom of 3, I donâ€™t have time for complicated coffee routines â€” especially in the summer when I just want something fast, cold, and good. Thatâ€™s why I ended up trying @VAHDAM USA Ashwagandha...</v>
      </c>
      <c r="AR102" s="55" t="str">
        <f>IFERROR(__xludf.DUMMYFUNCTION("""COMPUTED_VALUE"""),"I was just trying to make my coffee while the kids were running around everywhere.")</f>
        <v>I was just trying to make my coffee while the kids were running around everywhere.</v>
      </c>
      <c r="AS102" s="55" t="str">
        <f>IFERROR(__xludf.DUMMYFUNCTION("""COMPUTED_VALUE"""),"General / Lifestyle")</f>
        <v>General / Lifestyle</v>
      </c>
      <c r="AT102" s="55" t="str">
        <f>IFERROR(__xludf.DUMMYFUNCTION("""COMPUTED_VALUE"""),"• It's Vadam coffee with KSM 66 ashwagandha, curcumin, L-theanine, and functional mushroom.
• First things first, we're heading to Target to find Vadam coffee.
• Next, I add the coffee.
• My favorite way to drink it?")</f>
        <v>• It's Vadam coffee with KSM 66 ashwagandha, curcumin, L-theanine, and functional mushroom.
• First things first, we're heading to Target to find Vadam coffee.
• Next, I add the coffee.
• My favorite way to drink it?</v>
      </c>
      <c r="AU102" s="55" t="str">
        <f>IFERROR(__xludf.DUMMYFUNCTION("""COMPUTED_VALUE"""),"And don't forget to stop by Target and grab yours.")</f>
        <v>And don't forget to stop by Target and grab yours.</v>
      </c>
      <c r="AV102" s="55" t="str">
        <f>IFERROR(__xludf.DUMMYFUNCTION("""COMPUTED_VALUE"""),"I was just trying to make my coffee while the kids were running around everywhere. First things first, we're heading to Target to find Vadam coffee. It's Vadam coffee with KSM 66 ashwagandha, curcumin, L-theanine, and functional mushroom. My favorite way "&amp;"to drink it? With super cold milk. Like, really cold. Even slightly frozen. Then I just blend it all up until it's nice and creamy. Next, I add the coffee. Then add your favorite syrup, and wow, pure happiness in a cup. This is exactly what a busy mom nee"&amp;"ds. Trust me on this one. And don't forget to stop by Target and grab yours.")</f>
        <v>I was just trying to make my coffee while the kids were running around everywhere. First things first, we're heading to Target to find Vadam coffee. It's Vadam coffee with KSM 66 ashwagandha, curcumin, L-theanine, and functional mushroom. My favorite way to drink it? With super cold milk. Like, really cold. Even slightly frozen. Then I just blend it all up until it's nice and creamy. Next, I add the coffee. Then add your favorite syrup, and wow, pure happiness in a cup. This is exactly what a busy mom needs. Trust me on this one. And don't forget to stop by Target and grab yours.</v>
      </c>
      <c r="AW102" s="35"/>
      <c r="AX102" s="35"/>
      <c r="AY102" s="35"/>
      <c r="AZ102" s="35"/>
      <c r="BA102" s="35"/>
      <c r="BB102" s="35"/>
      <c r="BC102" s="35"/>
      <c r="BD102" s="35"/>
      <c r="BE102" s="35"/>
      <c r="BF102" s="35"/>
      <c r="BG102" s="35"/>
    </row>
    <row r="103" ht="15.75" customHeight="1">
      <c r="A103" s="55" t="str">
        <f>IFERROR(__xludf.DUMMYFUNCTION("""COMPUTED_VALUE"""),"Instagram")</f>
        <v>Instagram</v>
      </c>
      <c r="B103" s="56">
        <f>IFERROR(__xludf.DUMMYFUNCTION("""COMPUTED_VALUE"""),46199.0)</f>
        <v>46199</v>
      </c>
      <c r="C103" s="55" t="str">
        <f>IFERROR(__xludf.DUMMYFUNCTION("""COMPUTED_VALUE"""),"June")</f>
        <v>June</v>
      </c>
      <c r="D103" s="58" t="str">
        <f>IFERROR(__xludf.DUMMYFUNCTION("""COMPUTED_VALUE"""),"https://www.instagram.com/reel/DaBmcJShyZR/")</f>
        <v>https://www.instagram.com/reel/DaBmcJShyZR/</v>
      </c>
      <c r="E103" s="55" t="str">
        <f>IFERROR(__xludf.DUMMYFUNCTION("""COMPUTED_VALUE"""),"@na")</f>
        <v>@na</v>
      </c>
      <c r="F103" s="55" t="str">
        <f>IFERROR(__xludf.DUMMYFUNCTION("""COMPUTED_VALUE"""),"NA")</f>
        <v>NA</v>
      </c>
      <c r="G103" s="55" t="str">
        <f>IFERROR(__xludf.DUMMYFUNCTION("""COMPUTED_VALUE"""),"Gummies vs Coffee")</f>
        <v>Gummies vs Coffee</v>
      </c>
      <c r="H103" s="55" t="str">
        <f>IFERROR(__xludf.DUMMYFUNCTION("""COMPUTED_VALUE"""),"NA")</f>
        <v>NA</v>
      </c>
      <c r="I103" s="55">
        <f>IFERROR(__xludf.DUMMYFUNCTION("""COMPUTED_VALUE"""),12.6)</f>
        <v>12.6</v>
      </c>
      <c r="J103" s="55" t="str">
        <f>IFERROR(__xludf.DUMMYFUNCTION("""COMPUTED_VALUE"""),"No")</f>
        <v>No</v>
      </c>
      <c r="K103" s="55" t="str">
        <f>IFERROR(__xludf.DUMMYFUNCTION("""COMPUTED_VALUE"""),"No")</f>
        <v>No</v>
      </c>
      <c r="L103" s="55" t="str">
        <f>IFERROR(__xludf.DUMMYFUNCTION("""COMPUTED_VALUE"""),"Score 12.6 — below threshold")</f>
        <v>Score 12.6 — below threshold</v>
      </c>
      <c r="M103" s="59" t="str">
        <f>IFERROR(__xludf.DUMMYFUNCTION("""COMPUTED_VALUE"""),"No Ad Data")</f>
        <v>No Ad Data</v>
      </c>
      <c r="N103" s="55"/>
      <c r="O103" s="55"/>
      <c r="P103" s="59">
        <f>IFERROR(__xludf.DUMMYFUNCTION("""COMPUTED_VALUE"""),168.0)</f>
        <v>168</v>
      </c>
      <c r="Q103" s="59">
        <f>IFERROR(__xludf.DUMMYFUNCTION("""COMPUTED_VALUE"""),0.0)</f>
        <v>0</v>
      </c>
      <c r="R103" s="59">
        <f>IFERROR(__xludf.DUMMYFUNCTION("""COMPUTED_VALUE"""),0.0)</f>
        <v>0</v>
      </c>
      <c r="S103" s="55"/>
      <c r="T103" s="68">
        <f>IFERROR(__xludf.DUMMYFUNCTION("""COMPUTED_VALUE"""),0.0)</f>
        <v>0</v>
      </c>
      <c r="U103" s="55"/>
      <c r="V103" s="62">
        <f>IFERROR(__xludf.DUMMYFUNCTION("""COMPUTED_VALUE"""),0.0)</f>
        <v>0</v>
      </c>
      <c r="W103" s="63">
        <f>IFERROR(__xludf.DUMMYFUNCTION("""COMPUTED_VALUE"""),72.99)</f>
        <v>72.99</v>
      </c>
      <c r="X103" s="59">
        <f>IFERROR(__xludf.DUMMYFUNCTION("""COMPUTED_VALUE"""),168.0)</f>
        <v>168</v>
      </c>
      <c r="Y103" s="59">
        <f>IFERROR(__xludf.DUMMYFUNCTION("""COMPUTED_VALUE"""),0.0)</f>
        <v>0</v>
      </c>
      <c r="Z103" s="59">
        <f>IFERROR(__xludf.DUMMYFUNCTION("""COMPUTED_VALUE"""),0.0)</f>
        <v>0</v>
      </c>
      <c r="AA103" s="59">
        <f>IFERROR(__xludf.DUMMYFUNCTION("""COMPUTED_VALUE"""),0.0)</f>
        <v>0</v>
      </c>
      <c r="AB103" s="64">
        <f>IFERROR(__xludf.DUMMYFUNCTION("""COMPUTED_VALUE"""),0.0)</f>
        <v>0</v>
      </c>
      <c r="AC103" s="62">
        <f>IFERROR(__xludf.DUMMYFUNCTION("""COMPUTED_VALUE"""),0.0)</f>
        <v>0</v>
      </c>
      <c r="AD103" s="62">
        <f>IFERROR(__xludf.DUMMYFUNCTION("""COMPUTED_VALUE"""),0.0)</f>
        <v>0</v>
      </c>
      <c r="AE103" s="62">
        <f>IFERROR(__xludf.DUMMYFUNCTION("""COMPUTED_VALUE"""),0.0)</f>
        <v>0</v>
      </c>
      <c r="AF103" s="55"/>
      <c r="AG103" s="55"/>
      <c r="AH103" s="55"/>
      <c r="AI103" s="55"/>
      <c r="AJ103" s="55"/>
      <c r="AK103" s="55"/>
      <c r="AL103" s="55"/>
      <c r="AM103" s="55" t="str">
        <f>IFERROR(__xludf.DUMMYFUNCTION("""COMPUTED_VALUE"""),"Q9jTBBVI_2QiOSLsgfmRDZ89y4oOYjAzklQF4Dqi85md6L0Jc7xoAmfp9vyEvV-5IxM")</f>
        <v>Q9jTBBVI_2QiOSLsgfmRDZ89y4oOYjAzklQF4Dqi85md6L0Jc7xoAmfp9vyEvV-5IxM</v>
      </c>
      <c r="AN103" s="55"/>
      <c r="AO103" s="55" t="str">
        <f>IFERROR(__xludf.DUMMYFUNCTION("""COMPUTED_VALUE"""),"NA")</f>
        <v>NA</v>
      </c>
      <c r="AP103" s="55" t="str">
        <f>IFERROR(__xludf.DUMMYFUNCTION("""COMPUTED_VALUE"""),"NA")</f>
        <v>NA</v>
      </c>
      <c r="AQ103" s="55" t="str">
        <f>IFERROR(__xludf.DUMMYFUNCTION("""COMPUTED_VALUE"""),"NA")</f>
        <v>NA</v>
      </c>
      <c r="AR103" s="55" t="str">
        <f>IFERROR(__xludf.DUMMYFUNCTION("""COMPUTED_VALUE"""),"NA")</f>
        <v>NA</v>
      </c>
      <c r="AS103" s="55" t="str">
        <f>IFERROR(__xludf.DUMMYFUNCTION("""COMPUTED_VALUE"""),"NA")</f>
        <v>NA</v>
      </c>
      <c r="AT103" s="55" t="str">
        <f>IFERROR(__xludf.DUMMYFUNCTION("""COMPUTED_VALUE"""),"NA")</f>
        <v>NA</v>
      </c>
      <c r="AU103" s="55" t="str">
        <f>IFERROR(__xludf.DUMMYFUNCTION("""COMPUTED_VALUE"""),"NA")</f>
        <v>NA</v>
      </c>
      <c r="AV103" s="55"/>
      <c r="AW103" s="35"/>
      <c r="AX103" s="35"/>
      <c r="AY103" s="35"/>
      <c r="AZ103" s="35"/>
      <c r="BA103" s="35"/>
      <c r="BB103" s="35"/>
      <c r="BC103" s="35"/>
      <c r="BD103" s="35"/>
      <c r="BE103" s="35"/>
      <c r="BF103" s="35"/>
      <c r="BG103" s="35"/>
    </row>
    <row r="104" ht="15.75" customHeight="1">
      <c r="A104" s="55" t="str">
        <f>IFERROR(__xludf.DUMMYFUNCTION("""COMPUTED_VALUE"""),"Tiktok")</f>
        <v>Tiktok</v>
      </c>
      <c r="B104" s="56">
        <f>IFERROR(__xludf.DUMMYFUNCTION("""COMPUTED_VALUE"""),46203.0)</f>
        <v>46203</v>
      </c>
      <c r="C104" s="55" t="str">
        <f>IFERROR(__xludf.DUMMYFUNCTION("""COMPUTED_VALUE"""),"June")</f>
        <v>June</v>
      </c>
      <c r="D104" s="58" t="str">
        <f>IFERROR(__xludf.DUMMYFUNCTION("""COMPUTED_VALUE"""),"https://www.tiktok.com/@familiawestcoast/video/7656991414244396319")</f>
        <v>https://www.tiktok.com/@familiawestcoast/video/7656991414244396319</v>
      </c>
      <c r="E104" s="55" t="str">
        <f>IFERROR(__xludf.DUMMYFUNCTION("""COMPUTED_VALUE"""),"@familiawestcoast")</f>
        <v>@familiawestcoast</v>
      </c>
      <c r="F104" s="55"/>
      <c r="G104" s="55" t="str">
        <f>IFERROR(__xludf.DUMMYFUNCTION("""COMPUTED_VALUE"""),"Gummies vs Coffee")</f>
        <v>Gummies vs Coffee</v>
      </c>
      <c r="H104" s="55"/>
      <c r="I104" s="55">
        <f>IFERROR(__xludf.DUMMYFUNCTION("""COMPUTED_VALUE"""),11.8)</f>
        <v>11.8</v>
      </c>
      <c r="J104" s="55" t="str">
        <f>IFERROR(__xludf.DUMMYFUNCTION("""COMPUTED_VALUE"""),"No")</f>
        <v>No</v>
      </c>
      <c r="K104" s="55" t="str">
        <f>IFERROR(__xludf.DUMMYFUNCTION("""COMPUTED_VALUE"""),"No")</f>
        <v>No</v>
      </c>
      <c r="L104" s="55" t="str">
        <f>IFERROR(__xludf.DUMMYFUNCTION("""COMPUTED_VALUE"""),"Score 13.3 | 6-sec 0.0% — below thresholds")</f>
        <v>Score 13.3 | 6-sec 0.0% — below thresholds</v>
      </c>
      <c r="M104" s="59" t="str">
        <f>IFERROR(__xludf.DUMMYFUNCTION("""COMPUTED_VALUE"""),"No Ad Data")</f>
        <v>No Ad Data</v>
      </c>
      <c r="N104" s="55"/>
      <c r="O104" s="55"/>
      <c r="P104" s="59">
        <f>IFERROR(__xludf.DUMMYFUNCTION("""COMPUTED_VALUE"""),157.0)</f>
        <v>157</v>
      </c>
      <c r="Q104" s="59">
        <f>IFERROR(__xludf.DUMMYFUNCTION("""COMPUTED_VALUE"""),4.0)</f>
        <v>4</v>
      </c>
      <c r="R104" s="59">
        <f>IFERROR(__xludf.DUMMYFUNCTION("""COMPUTED_VALUE"""),2.0)</f>
        <v>2</v>
      </c>
      <c r="S104" s="62">
        <f>IFERROR(__xludf.DUMMYFUNCTION("""COMPUTED_VALUE"""),0.0)</f>
        <v>0</v>
      </c>
      <c r="T104" s="62">
        <f>IFERROR(__xludf.DUMMYFUNCTION("""COMPUTED_VALUE"""),0.0)</f>
        <v>0</v>
      </c>
      <c r="U104" s="64">
        <f>IFERROR(__xludf.DUMMYFUNCTION("""COMPUTED_VALUE"""),0.0)</f>
        <v>0</v>
      </c>
      <c r="V104" s="62">
        <f>IFERROR(__xludf.DUMMYFUNCTION("""COMPUTED_VALUE"""),3.8)</f>
        <v>3.8</v>
      </c>
      <c r="W104" s="63">
        <f>IFERROR(__xludf.DUMMYFUNCTION("""COMPUTED_VALUE"""),72.99)</f>
        <v>72.99</v>
      </c>
      <c r="X104" s="59">
        <f>IFERROR(__xludf.DUMMYFUNCTION("""COMPUTED_VALUE"""),157.0)</f>
        <v>157</v>
      </c>
      <c r="Y104" s="59">
        <f>IFERROR(__xludf.DUMMYFUNCTION("""COMPUTED_VALUE"""),4.0)</f>
        <v>4</v>
      </c>
      <c r="Z104" s="59">
        <f>IFERROR(__xludf.DUMMYFUNCTION("""COMPUTED_VALUE"""),2.0)</f>
        <v>2</v>
      </c>
      <c r="AA104" s="59">
        <f>IFERROR(__xludf.DUMMYFUNCTION("""COMPUTED_VALUE"""),0.0)</f>
        <v>0</v>
      </c>
      <c r="AB104" s="64">
        <f>IFERROR(__xludf.DUMMYFUNCTION("""COMPUTED_VALUE"""),0.0)</f>
        <v>0</v>
      </c>
      <c r="AC104" s="62">
        <f>IFERROR(__xludf.DUMMYFUNCTION("""COMPUTED_VALUE"""),3.8)</f>
        <v>3.8</v>
      </c>
      <c r="AD104" s="62">
        <f>IFERROR(__xludf.DUMMYFUNCTION("""COMPUTED_VALUE"""),0.0)</f>
        <v>0</v>
      </c>
      <c r="AE104" s="62">
        <f>IFERROR(__xludf.DUMMYFUNCTION("""COMPUTED_VALUE"""),0.0)</f>
        <v>0</v>
      </c>
      <c r="AF104" s="55"/>
      <c r="AG104" s="55"/>
      <c r="AH104" s="55"/>
      <c r="AI104" s="55"/>
      <c r="AJ104" s="55"/>
      <c r="AK104" s="55"/>
      <c r="AL104" s="55"/>
      <c r="AM104" s="55" t="str">
        <f>IFERROR(__xludf.DUMMYFUNCTION("""COMPUTED_VALUE"""),"#zuRgecYoKooXSI1Ppy6vk6e8wrjqixVbPBFnE/Gx4lWdKnNKQENhFXXO5KXcC+g=")</f>
        <v>#zuRgecYoKooXSI1Ppy6vk6e8wrjqixVbPBFnE/Gx4lWdKnNKQENhFXXO5KXcC+g=</v>
      </c>
      <c r="AN104" s="55"/>
      <c r="AO104" s="55"/>
      <c r="AP104" s="55"/>
      <c r="AQ104" s="55" t="str">
        <f>IFERROR(__xludf.DUMMYFUNCTION("""COMPUTED_VALUE"""),"I didnâ€™t quit coffeeâ€¦ I upgraded â˜•ï¸ My new coffee ritual is here â˜•ï¸ Iâ€™m loving this blend from @vahdamusa with KSM-66 Ashwagandha â€” a perfect addition to my daily routine. Found it at @target...")</f>
        <v>I didnâ€™t quit coffeeâ€¦ I upgraded â˜•ï¸_x008f_ My new coffee ritual is here â˜•ï¸_x008f_ Iâ€™m loving this blend from @vahdamusa with KSM-66 Ashwagandha â€” a perfect addition to my daily routine. Found it at @target...</v>
      </c>
      <c r="AR104" s="55" t="str">
        <f>IFERROR(__xludf.DUMMYFUNCTION("""COMPUTED_VALUE"""),"I drink coffee every single morning, so I figured, why not make it actually do something?")</f>
        <v>I drink coffee every single morning, so I figured, why not make it actually do something?</v>
      </c>
      <c r="AS104" s="55" t="str">
        <f>IFERROR(__xludf.DUMMYFUNCTION("""COMPUTED_VALUE"""),"Question")</f>
        <v>Question</v>
      </c>
      <c r="AT104" s="55" t="str">
        <f>IFERROR(__xludf.DUMMYFUNCTION("""COMPUTED_VALUE"""),"• Product introduced immediately in the opening
• Benefits covered: wellness
• CTA: ""I got mine online and it is also available at Target stores across the US.""")</f>
        <v>• Product introduced immediately in the opening
• Benefits covered: wellness
• CTA: "I got mine online and it is also available at Target stores across the US."</v>
      </c>
      <c r="AU104" s="55" t="str">
        <f>IFERROR(__xludf.DUMMYFUNCTION("""COMPUTED_VALUE"""),"I got mine online and it is also available at Target stores across the US.")</f>
        <v>I got mine online and it is also available at Target stores across the US.</v>
      </c>
      <c r="AV104" s="55" t="str">
        <f>IFERROR(__xludf.DUMMYFUNCTION("""COMPUTED_VALUE"""),"I drink coffee every single morning, so I figured, why not make it actually do something? That's when I found Vadam Ashwagandha coffee. I ordered it online and I am not going back. Every two cups gives you 300mg of KSM 66 ashwagandha, plus L-theanine, tur"&amp;"meric, lion's mane, and chaga mushrooms. All in one cup. No extra steps, no peels, no forgetting, just my morning coffee. Doing more. And it actually tastes like delicious regular coffee. I got mine online and it is also available at Target stores across "&amp;"the US. If you already drink coffee every morning, this is the easiest wellness upgrade you will make.")</f>
        <v>I drink coffee every single morning, so I figured, why not make it actually do something? That's when I found Vadam Ashwagandha coffee. I ordered it online and I am not going back. Every two cups gives you 300mg of KSM 66 ashwagandha, plus L-theanine, turmeric, lion's mane, and chaga mushrooms. All in one cup. No extra steps, no peels, no forgetting, just my morning coffee. Doing more. And it actually tastes like delicious regular coffee. I got mine online and it is also available at Target stores across the US. If you already drink coffee every morning, this is the easiest wellness upgrade you will make.</v>
      </c>
      <c r="AW104" s="35"/>
      <c r="AX104" s="35"/>
      <c r="AY104" s="35"/>
      <c r="AZ104" s="35"/>
      <c r="BA104" s="35"/>
      <c r="BB104" s="35"/>
      <c r="BC104" s="35"/>
      <c r="BD104" s="35"/>
      <c r="BE104" s="35"/>
      <c r="BF104" s="35"/>
      <c r="BG104" s="35"/>
    </row>
    <row r="105" ht="15.75" customHeight="1">
      <c r="A105" s="55" t="str">
        <f>IFERROR(__xludf.DUMMYFUNCTION("""COMPUTED_VALUE"""),"Instagram")</f>
        <v>Instagram</v>
      </c>
      <c r="B105" s="56">
        <f>IFERROR(__xludf.DUMMYFUNCTION("""COMPUTED_VALUE"""),46201.0)</f>
        <v>46201</v>
      </c>
      <c r="C105" s="55" t="str">
        <f>IFERROR(__xludf.DUMMYFUNCTION("""COMPUTED_VALUE"""),"June")</f>
        <v>June</v>
      </c>
      <c r="D105" s="58" t="str">
        <f>IFERROR(__xludf.DUMMYFUNCTION("""COMPUTED_VALUE"""),"https://www.instagram.com/reel/DZ-MyxdIsrO/")</f>
        <v>https://www.instagram.com/reel/DZ-MyxdIsrO/</v>
      </c>
      <c r="E105" s="55" t="str">
        <f>IFERROR(__xludf.DUMMYFUNCTION("""COMPUTED_VALUE"""),"@tbugtreasures")</f>
        <v>@tbugtreasures</v>
      </c>
      <c r="F105" s="55" t="str">
        <f>IFERROR(__xludf.DUMMYFUNCTION("""COMPUTED_VALUE"""),"NA")</f>
        <v>NA</v>
      </c>
      <c r="G105" s="55" t="str">
        <f>IFERROR(__xludf.DUMMYFUNCTION("""COMPUTED_VALUE"""),"Target Shelf Showdown")</f>
        <v>Target Shelf Showdown</v>
      </c>
      <c r="H105" s="55">
        <f>IFERROR(__xludf.DUMMYFUNCTION("""COMPUTED_VALUE"""),63.0)</f>
        <v>63</v>
      </c>
      <c r="I105" s="55">
        <f>IFERROR(__xludf.DUMMYFUNCTION("""COMPUTED_VALUE"""),12.1)</f>
        <v>12.1</v>
      </c>
      <c r="J105" s="55" t="str">
        <f>IFERROR(__xludf.DUMMYFUNCTION("""COMPUTED_VALUE"""),"No")</f>
        <v>No</v>
      </c>
      <c r="K105" s="55" t="str">
        <f>IFERROR(__xludf.DUMMYFUNCTION("""COMPUTED_VALUE"""),"No")</f>
        <v>No</v>
      </c>
      <c r="L105" s="55" t="str">
        <f>IFERROR(__xludf.DUMMYFUNCTION("""COMPUTED_VALUE"""),"Score 12.1 — below threshold")</f>
        <v>Score 12.1 — below threshold</v>
      </c>
      <c r="M105" s="59" t="str">
        <f>IFERROR(__xludf.DUMMYFUNCTION("""COMPUTED_VALUE"""),"No Ad Data")</f>
        <v>No Ad Data</v>
      </c>
      <c r="N105" s="55"/>
      <c r="O105" s="55"/>
      <c r="P105" s="59">
        <f>IFERROR(__xludf.DUMMYFUNCTION("""COMPUTED_VALUE"""),136.0)</f>
        <v>136</v>
      </c>
      <c r="Q105" s="59">
        <f>IFERROR(__xludf.DUMMYFUNCTION("""COMPUTED_VALUE"""),0.0)</f>
        <v>0</v>
      </c>
      <c r="R105" s="59">
        <f>IFERROR(__xludf.DUMMYFUNCTION("""COMPUTED_VALUE"""),0.0)</f>
        <v>0</v>
      </c>
      <c r="S105" s="55"/>
      <c r="T105" s="68">
        <f>IFERROR(__xludf.DUMMYFUNCTION("""COMPUTED_VALUE"""),0.0)</f>
        <v>0</v>
      </c>
      <c r="U105" s="55"/>
      <c r="V105" s="62">
        <f>IFERROR(__xludf.DUMMYFUNCTION("""COMPUTED_VALUE"""),0.0)</f>
        <v>0</v>
      </c>
      <c r="W105" s="63">
        <f>IFERROR(__xludf.DUMMYFUNCTION("""COMPUTED_VALUE"""),72.99)</f>
        <v>72.99</v>
      </c>
      <c r="X105" s="59">
        <f>IFERROR(__xludf.DUMMYFUNCTION("""COMPUTED_VALUE"""),136.0)</f>
        <v>136</v>
      </c>
      <c r="Y105" s="59">
        <f>IFERROR(__xludf.DUMMYFUNCTION("""COMPUTED_VALUE"""),0.0)</f>
        <v>0</v>
      </c>
      <c r="Z105" s="59">
        <f>IFERROR(__xludf.DUMMYFUNCTION("""COMPUTED_VALUE"""),0.0)</f>
        <v>0</v>
      </c>
      <c r="AA105" s="59">
        <f>IFERROR(__xludf.DUMMYFUNCTION("""COMPUTED_VALUE"""),0.0)</f>
        <v>0</v>
      </c>
      <c r="AB105" s="64">
        <f>IFERROR(__xludf.DUMMYFUNCTION("""COMPUTED_VALUE"""),0.0)</f>
        <v>0</v>
      </c>
      <c r="AC105" s="62">
        <f>IFERROR(__xludf.DUMMYFUNCTION("""COMPUTED_VALUE"""),0.0)</f>
        <v>0</v>
      </c>
      <c r="AD105" s="62">
        <f>IFERROR(__xludf.DUMMYFUNCTION("""COMPUTED_VALUE"""),0.0)</f>
        <v>0</v>
      </c>
      <c r="AE105" s="62">
        <f>IFERROR(__xludf.DUMMYFUNCTION("""COMPUTED_VALUE"""),0.0)</f>
        <v>0</v>
      </c>
      <c r="AF105" s="55"/>
      <c r="AG105" s="55"/>
      <c r="AH105" s="55"/>
      <c r="AI105" s="55"/>
      <c r="AJ105" s="55"/>
      <c r="AK105" s="55"/>
      <c r="AL105" s="55"/>
      <c r="AM105" s="55" t="str">
        <f>IFERROR(__xludf.DUMMYFUNCTION("""COMPUTED_VALUE"""),"Q9jTBBVR5b-G-Vxi46l10BJ6IrcvOvozlrqwDrXtWV51Abso4rdaaO7L3P_W5u4T3Pk")</f>
        <v>Q9jTBBVR5b-G-Vxi46l10BJ6IrcvOvozlrqwDrXtWV51Abso4rdaaO7L3P_W5u4T3Pk</v>
      </c>
      <c r="AN105" s="55"/>
      <c r="AO105" s="55" t="str">
        <f>IFERROR(__xludf.DUMMYFUNCTION("""COMPUTED_VALUE"""),"NA")</f>
        <v>NA</v>
      </c>
      <c r="AP105" s="55" t="str">
        <f>IFERROR(__xludf.DUMMYFUNCTION("""COMPUTED_VALUE"""),"NA")</f>
        <v>NA</v>
      </c>
      <c r="AQ105" s="55" t="str">
        <f>IFERROR(__xludf.DUMMYFUNCTION("""COMPUTED_VALUE"""),"Vahdam Ashwaganda Coffee available at Target! #vahdamusa #target")</f>
        <v>Vahdam Ashwaganda Coffee available at Target! #vahdamusa #target</v>
      </c>
      <c r="AR105" s="55" t="str">
        <f>IFERROR(__xludf.DUMMYFUNCTION("""COMPUTED_VALUE"""),"Why is nobody talking about this new ashwagandha coffee at Target?")</f>
        <v>Why is nobody talking about this new ashwagandha coffee at Target?</v>
      </c>
      <c r="AS105" s="55" t="str">
        <f>IFERROR(__xludf.DUMMYFUNCTION("""COMPUTED_VALUE"""),"Curiosity / Question")</f>
        <v>Curiosity / Question</v>
      </c>
      <c r="AT105" s="55" t="str">
        <f>IFERROR(__xludf.DUMMYFUNCTION("""COMPUTED_VALUE"""),"• I have been seeing rise ads for two years, mud water everyday dose on every wellness creator's page, and mushroom coffee took over, and I genuinely tried them all.
• None of them changed my stress, none of them helped my cortisol, and then I found this "&amp;"at Target, and I'm genuinely confused why not everyone knows about it.
• This is the only ashwagandha coffee at Target.
• It has KSM 66, the most clinically studied form of ashwagandha.")</f>
        <v>• I have been seeing rise ads for two years, mud water everyday dose on every wellness creator's page, and mushroom coffee took over, and I genuinely tried them all.
• None of them changed my stress, none of them helped my cortisol, and then I found this at Target, and I'm genuinely confused why not everyone knows about it.
• This is the only ashwagandha coffee at Target.
• It has KSM 66, the most clinically studied form of ashwagandha.</v>
      </c>
      <c r="AU105" s="55" t="str">
        <f>IFERROR(__xludf.DUMMYFUNCTION("""COMPUTED_VALUE"""),"If I were you, I would run to Target and get your Badam Ashwagandha coffee today.")</f>
        <v>If I were you, I would run to Target and get your Badam Ashwagandha coffee today.</v>
      </c>
      <c r="AV105" s="55" t="str">
        <f>IFERROR(__xludf.DUMMYFUNCTION("""COMPUTED_VALUE"""),"Why is nobody talking about this new ashwagandha coffee at Target? I have been seeing rise ads for two years, mud water everyday dose on every wellness creator's page, and mushroom coffee took over, and I genuinely tried them all. None of them changed my "&amp;"stress, none of them helped my cortisol, and then I found this at Target, and I'm genuinely confused why not everyone knows about it. This is the only ashwagandha coffee at Target. It has KSM 66, the most clinically studied form of ashwagandha. Peer-revie"&amp;"wed trials show it reduces cortisol by 28%. Two cups gives you 300 milligrams of ashwagandha. What's more, it's the number one best-selling coffee on TikTok shop UK. How is this not the biggest wellness story in the U.S. right now? If I were you, I would "&amp;"run to Target and get your Badam Ashwagandha coffee today.")</f>
        <v>Why is nobody talking about this new ashwagandha coffee at Target? I have been seeing rise ads for two years, mud water everyday dose on every wellness creator's page, and mushroom coffee took over, and I genuinely tried them all. None of them changed my stress, none of them helped my cortisol, and then I found this at Target, and I'm genuinely confused why not everyone knows about it. This is the only ashwagandha coffee at Target. It has KSM 66, the most clinically studied form of ashwagandha. Peer-reviewed trials show it reduces cortisol by 28%. Two cups gives you 300 milligrams of ashwagandha. What's more, it's the number one best-selling coffee on TikTok shop UK. How is this not the biggest wellness story in the U.S. right now? If I were you, I would run to Target and get your Badam Ashwagandha coffee today.</v>
      </c>
      <c r="AW105" s="35"/>
      <c r="AX105" s="35"/>
      <c r="AY105" s="35"/>
      <c r="AZ105" s="35"/>
      <c r="BA105" s="35"/>
      <c r="BB105" s="35"/>
      <c r="BC105" s="35"/>
      <c r="BD105" s="35"/>
      <c r="BE105" s="35"/>
      <c r="BF105" s="35"/>
      <c r="BG105" s="35"/>
    </row>
    <row r="106" ht="15.75" customHeight="1">
      <c r="A106" s="55" t="str">
        <f>IFERROR(__xludf.DUMMYFUNCTION("""COMPUTED_VALUE"""),"Tiktok")</f>
        <v>Tiktok</v>
      </c>
      <c r="B106" s="56">
        <f>IFERROR(__xludf.DUMMYFUNCTION("""COMPUTED_VALUE"""),46203.0)</f>
        <v>46203</v>
      </c>
      <c r="C106" s="55" t="str">
        <f>IFERROR(__xludf.DUMMYFUNCTION("""COMPUTED_VALUE"""),"June")</f>
        <v>June</v>
      </c>
      <c r="D106" s="58" t="str">
        <f>IFERROR(__xludf.DUMMYFUNCTION("""COMPUTED_VALUE"""),"https://www.tiktok.com/@offdutywithjp/video/7656949319534234910")</f>
        <v>https://www.tiktok.com/@offdutywithjp/video/7656949319534234910</v>
      </c>
      <c r="E106" s="55" t="str">
        <f>IFERROR(__xludf.DUMMYFUNCTION("""COMPUTED_VALUE"""),"@offdutywithjp")</f>
        <v>@offdutywithjp</v>
      </c>
      <c r="F106" s="55"/>
      <c r="G106" s="55" t="str">
        <f>IFERROR(__xludf.DUMMYFUNCTION("""COMPUTED_VALUE"""),"Countering Mushroom Coffee Trend")</f>
        <v>Countering Mushroom Coffee Trend</v>
      </c>
      <c r="H106" s="55"/>
      <c r="I106" s="55">
        <f>IFERROR(__xludf.DUMMYFUNCTION("""COMPUTED_VALUE"""),11.0)</f>
        <v>11</v>
      </c>
      <c r="J106" s="55" t="str">
        <f>IFERROR(__xludf.DUMMYFUNCTION("""COMPUTED_VALUE"""),"No")</f>
        <v>No</v>
      </c>
      <c r="K106" s="55" t="str">
        <f>IFERROR(__xludf.DUMMYFUNCTION("""COMPUTED_VALUE"""),"No")</f>
        <v>No</v>
      </c>
      <c r="L106" s="55" t="str">
        <f>IFERROR(__xludf.DUMMYFUNCTION("""COMPUTED_VALUE"""),"Score 10.3 | 6-sec 0.0% — below thresholds")</f>
        <v>Score 10.3 | 6-sec 0.0% — below thresholds</v>
      </c>
      <c r="M106" s="59" t="str">
        <f>IFERROR(__xludf.DUMMYFUNCTION("""COMPUTED_VALUE"""),"No Ad Data")</f>
        <v>No Ad Data</v>
      </c>
      <c r="N106" s="55"/>
      <c r="O106" s="55"/>
      <c r="P106" s="59">
        <f>IFERROR(__xludf.DUMMYFUNCTION("""COMPUTED_VALUE"""),125.0)</f>
        <v>125</v>
      </c>
      <c r="Q106" s="59">
        <f>IFERROR(__xludf.DUMMYFUNCTION("""COMPUTED_VALUE"""),5.0)</f>
        <v>5</v>
      </c>
      <c r="R106" s="59">
        <f>IFERROR(__xludf.DUMMYFUNCTION("""COMPUTED_VALUE"""),0.0)</f>
        <v>0</v>
      </c>
      <c r="S106" s="62">
        <f>IFERROR(__xludf.DUMMYFUNCTION("""COMPUTED_VALUE"""),0.0)</f>
        <v>0</v>
      </c>
      <c r="T106" s="62">
        <f>IFERROR(__xludf.DUMMYFUNCTION("""COMPUTED_VALUE"""),0.0)</f>
        <v>0</v>
      </c>
      <c r="U106" s="64">
        <f>IFERROR(__xludf.DUMMYFUNCTION("""COMPUTED_VALUE"""),0.0)</f>
        <v>0</v>
      </c>
      <c r="V106" s="62">
        <f>IFERROR(__xludf.DUMMYFUNCTION("""COMPUTED_VALUE"""),4.0)</f>
        <v>4</v>
      </c>
      <c r="W106" s="63">
        <f>IFERROR(__xludf.DUMMYFUNCTION("""COMPUTED_VALUE"""),117.58)</f>
        <v>117.58</v>
      </c>
      <c r="X106" s="59">
        <f>IFERROR(__xludf.DUMMYFUNCTION("""COMPUTED_VALUE"""),125.0)</f>
        <v>125</v>
      </c>
      <c r="Y106" s="59">
        <f>IFERROR(__xludf.DUMMYFUNCTION("""COMPUTED_VALUE"""),5.0)</f>
        <v>5</v>
      </c>
      <c r="Z106" s="59">
        <f>IFERROR(__xludf.DUMMYFUNCTION("""COMPUTED_VALUE"""),0.0)</f>
        <v>0</v>
      </c>
      <c r="AA106" s="59">
        <f>IFERROR(__xludf.DUMMYFUNCTION("""COMPUTED_VALUE"""),0.0)</f>
        <v>0</v>
      </c>
      <c r="AB106" s="64">
        <f>IFERROR(__xludf.DUMMYFUNCTION("""COMPUTED_VALUE"""),0.0)</f>
        <v>0</v>
      </c>
      <c r="AC106" s="62">
        <f>IFERROR(__xludf.DUMMYFUNCTION("""COMPUTED_VALUE"""),4.0)</f>
        <v>4</v>
      </c>
      <c r="AD106" s="62">
        <f>IFERROR(__xludf.DUMMYFUNCTION("""COMPUTED_VALUE"""),0.0)</f>
        <v>0</v>
      </c>
      <c r="AE106" s="62">
        <f>IFERROR(__xludf.DUMMYFUNCTION("""COMPUTED_VALUE"""),0.0)</f>
        <v>0</v>
      </c>
      <c r="AF106" s="55"/>
      <c r="AG106" s="55"/>
      <c r="AH106" s="55"/>
      <c r="AI106" s="55"/>
      <c r="AJ106" s="55"/>
      <c r="AK106" s="55"/>
      <c r="AL106" s="55"/>
      <c r="AM106" s="55" t="str">
        <f>IFERROR(__xludf.DUMMYFUNCTION("""COMPUTED_VALUE"""),"#iXO40gOIwzugBnsCpuiab2noyj8ZQFLOfuAzXRvlr02/BFOMjUekVxgZiZfLUI4=")</f>
        <v>#iXO40gOIwzugBnsCpuiab2noyj8ZQFLOfuAzXRvlr02/BFOMjUekVxgZiZfLUI4=</v>
      </c>
      <c r="AN106" s="55"/>
      <c r="AO106" s="55"/>
      <c r="AP106" s="55"/>
      <c r="AQ106" s="55" t="str">
        <f>IFERROR(__xludf.DUMMYFUNCTION("""COMPUTED_VALUE"""),"â˜• As someone who takes coffee seriously, I wasnâ€™t expecting instant coffee to impress meâ€¦ but this one did. You should definitely give VAHDAM ASHWAGANDHA a try if you are looking for an upgrade to...")</f>
        <v>â˜• As someone who takes coffee seriously, I wasnâ€™t expecting instant coffee to impress meâ€¦ but this one did. You should definitely give VAHDAM ASHWAGANDHA a try if you are looking for an upgrade to...</v>
      </c>
      <c r="AR106" s="55" t="str">
        <f>IFERROR(__xludf.DUMMYFUNCTION("""COMPUTED_VALUE"""),"I take my coffee seriously. It's part of my daily routine, but I don't always have the time for a complicated cup of coffee.")</f>
        <v>I take my coffee seriously. It's part of my daily routine, but I don't always have the time for a complicated cup of coffee.</v>
      </c>
      <c r="AS106" s="55" t="str">
        <f>IFERROR(__xludf.DUMMYFUNCTION("""COMPUTED_VALUE"""),"Personal Story")</f>
        <v>Personal Story</v>
      </c>
      <c r="AT106" s="55" t="str">
        <f>IFERROR(__xludf.DUMMYFUNCTION("""COMPUTED_VALUE"""),"• Product introduced immediately in the opening
• Benefits covered: wellness
• CTA: ""If you're looking for convenient coffee that tastes great, Wanda Mashawanda Coff...""")</f>
        <v>• Product introduced immediately in the opening
• Benefits covered: wellness
• CTA: "If you're looking for convenient coffee that tastes great, Wanda Mashawanda Coff..."</v>
      </c>
      <c r="AU106" s="55" t="str">
        <f>IFERROR(__xludf.DUMMYFUNCTION("""COMPUTED_VALUE"""),"If you're looking for convenient coffee that tastes great, Wanda Mashawanda Coffee is available at Target stores nationwide and on Target.com.")</f>
        <v>If you're looking for convenient coffee that tastes great, Wanda Mashawanda Coffee is available at Target stores nationwide and on Target.com.</v>
      </c>
      <c r="AV106" s="55" t="str">
        <f>IFERROR(__xludf.DUMMYFUNCTION("""COMPUTED_VALUE"""),"I take my coffee seriously. It's part of my daily routine, but I don't always have the time for a complicated cup of coffee. Then I found Vagdam Ashrawanda coffee. It combines premium arabica coffee with ingredients like KSM-66, Ashrawanda, L-Themenin, tu"&amp;"rmeric, and functional mushrooms all in one cup. The biggest surprise, it actually tastes great, just like real coffee. If I didn't know it was instant, I honestly wouldn't have guessed it. As someone who loves grinding fresh beans and making espresso at "&amp;"home, I'm not fully replacing that ritual. When I want something quick and convenient, this is an easy option that still delivers a great coffee experience. I also like the fact that it includes wellness ingredients without adding another step to my morni"&amp;"ng routine. If you're looking for convenient coffee that tastes great, Wanda Mashawanda Coffee is available at Target stores nationwide and on Target.com.")</f>
        <v>I take my coffee seriously. It's part of my daily routine, but I don't always have the time for a complicated cup of coffee. Then I found Vagdam Ashrawanda coffee. It combines premium arabica coffee with ingredients like KSM-66, Ashrawanda, L-Themenin, turmeric, and functional mushrooms all in one cup. The biggest surprise, it actually tastes great, just like real coffee. If I didn't know it was instant, I honestly wouldn't have guessed it. As someone who loves grinding fresh beans and making espresso at home, I'm not fully replacing that ritual. When I want something quick and convenient, this is an easy option that still delivers a great coffee experience. I also like the fact that it includes wellness ingredients without adding another step to my morning routine. If you're looking for convenient coffee that tastes great, Wanda Mashawanda Coffee is available at Target stores nationwide and on Target.com.</v>
      </c>
      <c r="AW106" s="35"/>
      <c r="AX106" s="35"/>
      <c r="AY106" s="35"/>
      <c r="AZ106" s="35"/>
      <c r="BA106" s="35"/>
      <c r="BB106" s="35"/>
      <c r="BC106" s="35"/>
      <c r="BD106" s="35"/>
      <c r="BE106" s="35"/>
      <c r="BF106" s="35"/>
      <c r="BG106" s="35"/>
    </row>
    <row r="107" ht="15.75" customHeight="1">
      <c r="A107" s="55" t="str">
        <f>IFERROR(__xludf.DUMMYFUNCTION("""COMPUTED_VALUE"""),"Tiktok")</f>
        <v>Tiktok</v>
      </c>
      <c r="B107" s="56">
        <f>IFERROR(__xludf.DUMMYFUNCTION("""COMPUTED_VALUE"""),46199.0)</f>
        <v>46199</v>
      </c>
      <c r="C107" s="55" t="str">
        <f>IFERROR(__xludf.DUMMYFUNCTION("""COMPUTED_VALUE"""),"June")</f>
        <v>June</v>
      </c>
      <c r="D107" s="58" t="str">
        <f>IFERROR(__xludf.DUMMYFUNCTION("""COMPUTED_VALUE"""),"https://www.tiktok.com/@ali540294/video/7655560680602389790")</f>
        <v>https://www.tiktok.com/@ali540294/video/7655560680602389790</v>
      </c>
      <c r="E107" s="55" t="str">
        <f>IFERROR(__xludf.DUMMYFUNCTION("""COMPUTED_VALUE"""),"@ali540294")</f>
        <v>@ali540294</v>
      </c>
      <c r="F107" s="55" t="str">
        <f>IFERROR(__xludf.DUMMYFUNCTION("""COMPUTED_VALUE"""),"Aliona Kunashka")</f>
        <v>Aliona Kunashka</v>
      </c>
      <c r="G107" s="55" t="str">
        <f>IFERROR(__xludf.DUMMYFUNCTION("""COMPUTED_VALUE"""),"Cortisol")</f>
        <v>Cortisol</v>
      </c>
      <c r="H107" s="55">
        <f>IFERROR(__xludf.DUMMYFUNCTION("""COMPUTED_VALUE"""),38.0)</f>
        <v>38</v>
      </c>
      <c r="I107" s="55">
        <f>IFERROR(__xludf.DUMMYFUNCTION("""COMPUTED_VALUE"""),2.4)</f>
        <v>2.4</v>
      </c>
      <c r="J107" s="55" t="str">
        <f>IFERROR(__xludf.DUMMYFUNCTION("""COMPUTED_VALUE"""),"No")</f>
        <v>No</v>
      </c>
      <c r="K107" s="55" t="str">
        <f>IFERROR(__xludf.DUMMYFUNCTION("""COMPUTED_VALUE"""),"Yes")</f>
        <v>Yes</v>
      </c>
      <c r="L107" s="55" t="str">
        <f>IFERROR(__xludf.DUMMYFUNCTION("""COMPUTED_VALUE"""),"Score 3.1 | 6-sec 0.0% — below thresholds")</f>
        <v>Score 3.1 | 6-sec 0.0% — below thresholds</v>
      </c>
      <c r="M107" s="59" t="str">
        <f>IFERROR(__xludf.DUMMYFUNCTION("""COMPUTED_VALUE"""),"Logic Fit ✓")</f>
        <v>Logic Fit ✓</v>
      </c>
      <c r="N107" s="55"/>
      <c r="O107" s="55"/>
      <c r="P107" s="59">
        <f>IFERROR(__xludf.DUMMYFUNCTION("""COMPUTED_VALUE"""),20.0)</f>
        <v>20</v>
      </c>
      <c r="Q107" s="59">
        <f>IFERROR(__xludf.DUMMYFUNCTION("""COMPUTED_VALUE"""),0.0)</f>
        <v>0</v>
      </c>
      <c r="R107" s="59">
        <f>IFERROR(__xludf.DUMMYFUNCTION("""COMPUTED_VALUE"""),0.0)</f>
        <v>0</v>
      </c>
      <c r="S107" s="55"/>
      <c r="T107" s="68">
        <f>IFERROR(__xludf.DUMMYFUNCTION("""COMPUTED_VALUE"""),0.0)</f>
        <v>0</v>
      </c>
      <c r="U107" s="55"/>
      <c r="V107" s="62">
        <f>IFERROR(__xludf.DUMMYFUNCTION("""COMPUTED_VALUE"""),0.0)</f>
        <v>0</v>
      </c>
      <c r="W107" s="63">
        <f>IFERROR(__xludf.DUMMYFUNCTION("""COMPUTED_VALUE"""),117.58)</f>
        <v>117.58</v>
      </c>
      <c r="X107" s="59">
        <f>IFERROR(__xludf.DUMMYFUNCTION("""COMPUTED_VALUE"""),124.0)</f>
        <v>124</v>
      </c>
      <c r="Y107" s="59">
        <f>IFERROR(__xludf.DUMMYFUNCTION("""COMPUTED_VALUE"""),5.0)</f>
        <v>5</v>
      </c>
      <c r="Z107" s="59">
        <f>IFERROR(__xludf.DUMMYFUNCTION("""COMPUTED_VALUE"""),3.0)</f>
        <v>3</v>
      </c>
      <c r="AA107" s="59">
        <f>IFERROR(__xludf.DUMMYFUNCTION("""COMPUTED_VALUE"""),0.0)</f>
        <v>0</v>
      </c>
      <c r="AB107" s="64">
        <f>IFERROR(__xludf.DUMMYFUNCTION("""COMPUTED_VALUE"""),3.0)</f>
        <v>3</v>
      </c>
      <c r="AC107" s="62">
        <f>IFERROR(__xludf.DUMMYFUNCTION("""COMPUTED_VALUE"""),6.4)</f>
        <v>6.4</v>
      </c>
      <c r="AD107" s="62">
        <f>IFERROR(__xludf.DUMMYFUNCTION("""COMPUTED_VALUE"""),42.2)</f>
        <v>42.2</v>
      </c>
      <c r="AE107" s="62">
        <f>IFERROR(__xludf.DUMMYFUNCTION("""COMPUTED_VALUE"""),10.3)</f>
        <v>10.3</v>
      </c>
      <c r="AF107" s="55" t="str">
        <f>IFERROR(__xludf.DUMMYFUNCTION("""COMPUTED_VALUE"""),"Yes")</f>
        <v>Yes</v>
      </c>
      <c r="AG107" s="55"/>
      <c r="AH107" s="55"/>
      <c r="AI107" s="55"/>
      <c r="AJ107" s="55"/>
      <c r="AK107" s="55"/>
      <c r="AL107" s="55"/>
      <c r="AM107" s="55" t="str">
        <f>IFERROR(__xludf.DUMMYFUNCTION("""COMPUTED_VALUE"""),"#3WjO1XNqdd7DccVm1JJHQ+A91CObS/9AYk84K2QVdEkq9agsTGuiYVEiy902hbs=")</f>
        <v>#3WjO1XNqdd7DccVm1JJHQ+A91CObS/9AYk84K2QVdEkq9agsTGuiYVEiy902hbs=</v>
      </c>
      <c r="AN107" s="55"/>
      <c r="AO107" s="58" t="str">
        <f>IFERROR(__xludf.DUMMYFUNCTION("""COMPUTED_VALUE"""),"https://us.brand.joinbrands.com/job/689785")</f>
        <v>https://us.brand.joinbrands.com/job/689785</v>
      </c>
      <c r="AP107" s="55" t="str">
        <f>IFERROR(__xludf.DUMMYFUNCTION("""COMPUTED_VALUE"""),"NA | MISFIT: Strong organic signal (score 14.0, 10.3% 6-sec) but only $14.22 spent — content was under-invested in ads.")</f>
        <v>NA | MISFIT: Strong organic signal (score 14.0, 10.3% 6-sec) but only $14.22 spent — content was under-invested in ads.</v>
      </c>
      <c r="AQ107" s="55" t="str">
        <f>IFERROR(__xludf.DUMMYFUNCTION("""COMPUTED_VALUE"""),"This smarter coffee from @VAHDAM USA can now be found at @target #coffee #instantcoffee #targetfind #mushroomcoffee #ashwagandha")</f>
        <v>This smarter coffee from @VAHDAM USA can now be found at @target #coffee #instantcoffee #targetfind #mushroomcoffee #ashwagandha</v>
      </c>
      <c r="AR107" s="55" t="str">
        <f>IFERROR(__xludf.DUMMYFUNCTION("""COMPUTED_VALUE"""),"You don't need to quit coffee.")</f>
        <v>You don't need to quit coffee.</v>
      </c>
      <c r="AS107" s="55" t="str">
        <f>IFERROR(__xludf.DUMMYFUNCTION("""COMPUTED_VALUE"""),"General / Lifestyle")</f>
        <v>General / Lifestyle</v>
      </c>
      <c r="AT107" s="55" t="str">
        <f>IFERROR(__xludf.DUMMYFUNCTION("""COMPUTED_VALUE"""),"• Let me introduce you to this hundred percent premium Arabica instant coffee for daily energy and routine.
• It's also got L-Theanine to support calm, relaxation and better sleep quality.
• And the functional mushrooms used for this coffee will help you "&amp;"with your focus, cognition and modern wellness routines.
• Clinically studied to support stress management and reduce your cortisol level by 28% in eight weeks.")</f>
        <v>• Let me introduce you to this hundred percent premium Arabica instant coffee for daily energy and routine.
• It's also got L-Theanine to support calm, relaxation and better sleep quality.
• And the functional mushrooms used for this coffee will help you with your focus, cognition and modern wellness routines.
• Clinically studied to support stress management and reduce your cortisol level by 28% in eight weeks.</v>
      </c>
      <c r="AU107" s="55" t="str">
        <f>IFERROR(__xludf.DUMMYFUNCTION("""COMPUTED_VALUE"""),"You can find this at target now or on their webpage.")</f>
        <v>You can find this at target now or on their webpage.</v>
      </c>
      <c r="AV107" s="55" t="str">
        <f>IFERROR(__xludf.DUMMYFUNCTION("""COMPUTED_VALUE"""),"You don't need to quit coffee. You just need smarter coffee. Let me introduce you to this hundred percent premium Arabica instant coffee for daily energy and routine. It's got 300 mg KSM66 Ashwagandha. Clinically studied to support stress management and r"&amp;"educe your cortisol level by 28% in eight weeks. It's also got turmeric which supports inflammation response, joint comfort and mobility. It's also got L-Theanine to support calm, relaxation and better sleep quality. And the functional mushrooms used for "&amp;"this coffee will help you with your focus, cognition and modern wellness routines. You can find this at target now or on their webpage.")</f>
        <v>You don't need to quit coffee. You just need smarter coffee. Let me introduce you to this hundred percent premium Arabica instant coffee for daily energy and routine. It's got 300 mg KSM66 Ashwagandha. Clinically studied to support stress management and reduce your cortisol level by 28% in eight weeks. It's also got turmeric which supports inflammation response, joint comfort and mobility. It's also got L-Theanine to support calm, relaxation and better sleep quality. And the functional mushrooms used for this coffee will help you with your focus, cognition and modern wellness routines. You can find this at target now or on their webpage.</v>
      </c>
      <c r="AW107" s="35"/>
      <c r="AX107" s="35"/>
      <c r="AY107" s="35"/>
      <c r="AZ107" s="35"/>
      <c r="BA107" s="35"/>
      <c r="BB107" s="35"/>
      <c r="BC107" s="35"/>
      <c r="BD107" s="35"/>
      <c r="BE107" s="35"/>
      <c r="BF107" s="35"/>
      <c r="BG107" s="35"/>
    </row>
    <row r="108" ht="15.75" customHeight="1">
      <c r="A108" s="55" t="str">
        <f>IFERROR(__xludf.DUMMYFUNCTION("""COMPUTED_VALUE"""),"Instagram")</f>
        <v>Instagram</v>
      </c>
      <c r="B108" s="56">
        <f>IFERROR(__xludf.DUMMYFUNCTION("""COMPUTED_VALUE"""),46197.0)</f>
        <v>46197</v>
      </c>
      <c r="C108" s="55" t="str">
        <f>IFERROR(__xludf.DUMMYFUNCTION("""COMPUTED_VALUE"""),"June")</f>
        <v>June</v>
      </c>
      <c r="D108" s="58" t="str">
        <f>IFERROR(__xludf.DUMMYFUNCTION("""COMPUTED_VALUE"""),"https://www.instagram.com/reel/DZ7xjy9x9QC/")</f>
        <v>https://www.instagram.com/reel/DZ7xjy9x9QC/</v>
      </c>
      <c r="E108" s="55" t="str">
        <f>IFERROR(__xludf.DUMMYFUNCTION("""COMPUTED_VALUE"""),"@na")</f>
        <v>@na</v>
      </c>
      <c r="F108" s="55" t="str">
        <f>IFERROR(__xludf.DUMMYFUNCTION("""COMPUTED_VALUE"""),"NA")</f>
        <v>NA</v>
      </c>
      <c r="G108" s="55" t="str">
        <f>IFERROR(__xludf.DUMMYFUNCTION("""COMPUTED_VALUE"""),"Cortisol")</f>
        <v>Cortisol</v>
      </c>
      <c r="H108" s="55">
        <f>IFERROR(__xludf.DUMMYFUNCTION("""COMPUTED_VALUE"""),22.0)</f>
        <v>22</v>
      </c>
      <c r="I108" s="55">
        <f>IFERROR(__xludf.DUMMYFUNCTION("""COMPUTED_VALUE"""),11.6)</f>
        <v>11.6</v>
      </c>
      <c r="J108" s="55" t="str">
        <f>IFERROR(__xludf.DUMMYFUNCTION("""COMPUTED_VALUE"""),"No")</f>
        <v>No</v>
      </c>
      <c r="K108" s="55" t="str">
        <f>IFERROR(__xludf.DUMMYFUNCTION("""COMPUTED_VALUE"""),"No")</f>
        <v>No</v>
      </c>
      <c r="L108" s="55" t="str">
        <f>IFERROR(__xludf.DUMMYFUNCTION("""COMPUTED_VALUE"""),"Score 11.6 — below threshold")</f>
        <v>Score 11.6 — below threshold</v>
      </c>
      <c r="M108" s="59" t="str">
        <f>IFERROR(__xludf.DUMMYFUNCTION("""COMPUTED_VALUE"""),"No Ad Data")</f>
        <v>No Ad Data</v>
      </c>
      <c r="N108" s="55"/>
      <c r="O108" s="55"/>
      <c r="P108" s="59">
        <f>IFERROR(__xludf.DUMMYFUNCTION("""COMPUTED_VALUE"""),114.0)</f>
        <v>114</v>
      </c>
      <c r="Q108" s="59">
        <f>IFERROR(__xludf.DUMMYFUNCTION("""COMPUTED_VALUE"""),0.0)</f>
        <v>0</v>
      </c>
      <c r="R108" s="59">
        <f>IFERROR(__xludf.DUMMYFUNCTION("""COMPUTED_VALUE"""),0.0)</f>
        <v>0</v>
      </c>
      <c r="S108" s="55"/>
      <c r="T108" s="68">
        <f>IFERROR(__xludf.DUMMYFUNCTION("""COMPUTED_VALUE"""),0.0)</f>
        <v>0</v>
      </c>
      <c r="U108" s="55"/>
      <c r="V108" s="62">
        <f>IFERROR(__xludf.DUMMYFUNCTION("""COMPUTED_VALUE"""),0.0)</f>
        <v>0</v>
      </c>
      <c r="W108" s="63">
        <f>IFERROR(__xludf.DUMMYFUNCTION("""COMPUTED_VALUE"""),117.58)</f>
        <v>117.58</v>
      </c>
      <c r="X108" s="59">
        <f>IFERROR(__xludf.DUMMYFUNCTION("""COMPUTED_VALUE"""),114.0)</f>
        <v>114</v>
      </c>
      <c r="Y108" s="59">
        <f>IFERROR(__xludf.DUMMYFUNCTION("""COMPUTED_VALUE"""),0.0)</f>
        <v>0</v>
      </c>
      <c r="Z108" s="59">
        <f>IFERROR(__xludf.DUMMYFUNCTION("""COMPUTED_VALUE"""),0.0)</f>
        <v>0</v>
      </c>
      <c r="AA108" s="59">
        <f>IFERROR(__xludf.DUMMYFUNCTION("""COMPUTED_VALUE"""),0.0)</f>
        <v>0</v>
      </c>
      <c r="AB108" s="64">
        <f>IFERROR(__xludf.DUMMYFUNCTION("""COMPUTED_VALUE"""),0.0)</f>
        <v>0</v>
      </c>
      <c r="AC108" s="62">
        <f>IFERROR(__xludf.DUMMYFUNCTION("""COMPUTED_VALUE"""),0.0)</f>
        <v>0</v>
      </c>
      <c r="AD108" s="62">
        <f>IFERROR(__xludf.DUMMYFUNCTION("""COMPUTED_VALUE"""),0.0)</f>
        <v>0</v>
      </c>
      <c r="AE108" s="62">
        <f>IFERROR(__xludf.DUMMYFUNCTION("""COMPUTED_VALUE"""),0.0)</f>
        <v>0</v>
      </c>
      <c r="AF108" s="55"/>
      <c r="AG108" s="55"/>
      <c r="AH108" s="55"/>
      <c r="AI108" s="55"/>
      <c r="AJ108" s="55"/>
      <c r="AK108" s="55"/>
      <c r="AL108" s="55"/>
      <c r="AM108" s="55" t="str">
        <f>IFERROR(__xludf.DUMMYFUNCTION("""COMPUTED_VALUE"""),"Q9jTBBUb8KXV11Lubcradt0giQrSGEzj0uVDZ5QJDhnmIUYeQkHWr1mOaIXdei1Ebg")</f>
        <v>Q9jTBBUb8KXV11Lubcradt0giQrSGEzj0uVDZ5QJDhnmIUYeQkHWr1mOaIXdei1Ebg</v>
      </c>
      <c r="AN108" s="55"/>
      <c r="AO108" s="55" t="str">
        <f>IFERROR(__xludf.DUMMYFUNCTION("""COMPUTED_VALUE"""),"NA")</f>
        <v>NA</v>
      </c>
      <c r="AP108" s="55" t="str">
        <f>IFERROR(__xludf.DUMMYFUNCTION("""COMPUTED_VALUE"""),"NA")</f>
        <v>NA</v>
      </c>
      <c r="AQ108" s="55" t="str">
        <f>IFERROR(__xludf.DUMMYFUNCTION("""COMPUTED_VALUE"""),"NA")</f>
        <v>NA</v>
      </c>
      <c r="AR108" s="55" t="str">
        <f>IFERROR(__xludf.DUMMYFUNCTION("""COMPUTED_VALUE"""),"I thought I had to quit coffee, but then I found Vadum Ashwagandha Coffee.")</f>
        <v>I thought I had to quit coffee, but then I found Vadum Ashwagandha Coffee.</v>
      </c>
      <c r="AS108" s="55" t="str">
        <f>IFERROR(__xludf.DUMMYFUNCTION("""COMPUTED_VALUE"""),"Personal Discovery")</f>
        <v>Personal Discovery</v>
      </c>
      <c r="AT108" s="55" t="str">
        <f>IFERROR(__xludf.DUMMYFUNCTION("""COMPUTED_VALUE"""),"• It's the first to market wellness coffee that features five powerful ingredients in one single cup, including KSM 66 Ashwagandha to manage stress.
• It gives me such a calm, focused energy with zero jitters and no afternoon crash.
• And it tastes delici"&amp;"ous.")</f>
        <v>• It's the first to market wellness coffee that features five powerful ingredients in one single cup, including KSM 66 Ashwagandha to manage stress.
• It gives me such a calm, focused energy with zero jitters and no afternoon crash.
• And it tastes delicious.</v>
      </c>
      <c r="AU108" s="55" t="str">
        <f>IFERROR(__xludf.DUMMYFUNCTION("""COMPUTED_VALUE"""),"and on Target.com.")</f>
        <v>and on Target.com.</v>
      </c>
      <c r="AV108" s="55" t="str">
        <f>IFERROR(__xludf.DUMMYFUNCTION("""COMPUTED_VALUE"""),"I thought I had to quit coffee, but then I found Vadum Ashwagandha Coffee. It's the first to market wellness coffee that features five powerful ingredients in one single cup, including KSM 66 Ashwagandha to manage stress. It gives me such a calm, focused "&amp;"energy with zero jitters and no afternoon crash. And it tastes delicious. It's available right now at Target stores across the U.S. and on Target.com.")</f>
        <v>I thought I had to quit coffee, but then I found Vadum Ashwagandha Coffee. It's the first to market wellness coffee that features five powerful ingredients in one single cup, including KSM 66 Ashwagandha to manage stress. It gives me such a calm, focused energy with zero jitters and no afternoon crash. And it tastes delicious. It's available right now at Target stores across the U.S. and on Target.com.</v>
      </c>
      <c r="AW108" s="35"/>
      <c r="AX108" s="35"/>
      <c r="AY108" s="35"/>
      <c r="AZ108" s="35"/>
      <c r="BA108" s="35"/>
      <c r="BB108" s="35"/>
      <c r="BC108" s="35"/>
      <c r="BD108" s="35"/>
      <c r="BE108" s="35"/>
      <c r="BF108" s="35"/>
      <c r="BG108" s="35"/>
    </row>
    <row r="109" ht="15.75" customHeight="1">
      <c r="A109" s="55" t="str">
        <f>IFERROR(__xludf.DUMMYFUNCTION("""COMPUTED_VALUE"""),"Tiktok")</f>
        <v>Tiktok</v>
      </c>
      <c r="B109" s="56">
        <f>IFERROR(__xludf.DUMMYFUNCTION("""COMPUTED_VALUE"""),46191.0)</f>
        <v>46191</v>
      </c>
      <c r="C109" s="55" t="str">
        <f>IFERROR(__xludf.DUMMYFUNCTION("""COMPUTED_VALUE"""),"June")</f>
        <v>June</v>
      </c>
      <c r="D109" s="58" t="str">
        <f>IFERROR(__xludf.DUMMYFUNCTION("""COMPUTED_VALUE"""),"https://www.tiktok.com/@fecravo/video/7652824474361924878")</f>
        <v>https://www.tiktok.com/@fecravo/video/7652824474361924878</v>
      </c>
      <c r="E109" s="55" t="str">
        <f>IFERROR(__xludf.DUMMYFUNCTION("""COMPUTED_VALUE"""),"@fecravo")</f>
        <v>@fecravo</v>
      </c>
      <c r="F109" s="55" t="str">
        <f>IFERROR(__xludf.DUMMYFUNCTION("""COMPUTED_VALUE"""),"Fernanda Cravo")</f>
        <v>Fernanda Cravo</v>
      </c>
      <c r="G109" s="55" t="str">
        <f>IFERROR(__xludf.DUMMYFUNCTION("""COMPUTED_VALUE"""),"Countering Mushroom Coffee Trend")</f>
        <v>Countering Mushroom Coffee Trend</v>
      </c>
      <c r="H109" s="55">
        <f>IFERROR(__xludf.DUMMYFUNCTION("""COMPUTED_VALUE"""),48.0)</f>
        <v>48</v>
      </c>
      <c r="I109" s="55">
        <f>IFERROR(__xludf.DUMMYFUNCTION("""COMPUTED_VALUE"""),7.6)</f>
        <v>7.6</v>
      </c>
      <c r="J109" s="55" t="str">
        <f>IFERROR(__xludf.DUMMYFUNCTION("""COMPUTED_VALUE"""),"No")</f>
        <v>No</v>
      </c>
      <c r="K109" s="55" t="str">
        <f>IFERROR(__xludf.DUMMYFUNCTION("""COMPUTED_VALUE"""),"No")</f>
        <v>No</v>
      </c>
      <c r="L109" s="55" t="str">
        <f>IFERROR(__xludf.DUMMYFUNCTION("""COMPUTED_VALUE"""),"Score 9.2 | 6-sec 0.0% — below thresholds")</f>
        <v>Score 9.2 | 6-sec 0.0% — below thresholds</v>
      </c>
      <c r="M109" s="59" t="str">
        <f>IFERROR(__xludf.DUMMYFUNCTION("""COMPUTED_VALUE"""),"No Ad Data")</f>
        <v>No Ad Data</v>
      </c>
      <c r="N109" s="55"/>
      <c r="O109" s="55"/>
      <c r="P109" s="59">
        <f>IFERROR(__xludf.DUMMYFUNCTION("""COMPUTED_VALUE"""),100.0)</f>
        <v>100</v>
      </c>
      <c r="Q109" s="55"/>
      <c r="R109" s="59">
        <f>IFERROR(__xludf.DUMMYFUNCTION("""COMPUTED_VALUE"""),1.0)</f>
        <v>1</v>
      </c>
      <c r="S109" s="55"/>
      <c r="T109" s="68">
        <f>IFERROR(__xludf.DUMMYFUNCTION("""COMPUTED_VALUE"""),0.0)</f>
        <v>0</v>
      </c>
      <c r="U109" s="55"/>
      <c r="V109" s="62">
        <f>IFERROR(__xludf.DUMMYFUNCTION("""COMPUTED_VALUE"""),0.0)</f>
        <v>0</v>
      </c>
      <c r="W109" s="63">
        <f>IFERROR(__xludf.DUMMYFUNCTION("""COMPUTED_VALUE"""),117.58)</f>
        <v>117.58</v>
      </c>
      <c r="X109" s="59">
        <f>IFERROR(__xludf.DUMMYFUNCTION("""COMPUTED_VALUE"""),100.0)</f>
        <v>100</v>
      </c>
      <c r="Y109" s="55"/>
      <c r="Z109" s="59">
        <f>IFERROR(__xludf.DUMMYFUNCTION("""COMPUTED_VALUE"""),1.0)</f>
        <v>1</v>
      </c>
      <c r="AA109" s="55"/>
      <c r="AB109" s="55"/>
      <c r="AC109" s="55"/>
      <c r="AD109" s="55"/>
      <c r="AE109" s="55"/>
      <c r="AF109" s="55"/>
      <c r="AG109" s="55"/>
      <c r="AH109" s="55"/>
      <c r="AI109" s="55"/>
      <c r="AJ109" s="55"/>
      <c r="AK109" s="55"/>
      <c r="AL109" s="55"/>
      <c r="AM109" s="55" t="str">
        <f>IFERROR(__xludf.DUMMYFUNCTION("""COMPUTED_VALUE"""),"#igJLMwj47mbz0sz1YnI03zZnGhu5m9mgAtUyklm3kApXYNNLPG60ph1zJoHBQDk=")</f>
        <v>#igJLMwj47mbz0sz1YnI03zZnGhu5m9mgAtUyklm3kApXYNNLPG60ph1zJoHBQDk=</v>
      </c>
      <c r="AN109" s="55"/>
      <c r="AO109" s="58" t="str">
        <f>IFERROR(__xludf.DUMMYFUNCTION("""COMPUTED_VALUE"""),"https://us.brand.joinbrands.com/job/690498")</f>
        <v>https://us.brand.joinbrands.com/job/690498</v>
      </c>
      <c r="AP109" s="55" t="str">
        <f>IFERROR(__xludf.DUMMYFUNCTION("""COMPUTED_VALUE"""),"NA")</f>
        <v>NA</v>
      </c>
      <c r="AQ109" s="55" t="str">
        <f>IFERROR(__xludf.DUMMYFUNCTION("""COMPUTED_VALUE"""),"My favorite upgrade âœ¨ðŸŽ¯ @target @VAHDAM USA #vahdam #coffeetiktok #targetfinds #ugccreator #ugccontentcreator")</f>
        <v>My favorite upgrade âœ¨ðŸŽ¯ @target @VAHDAM USA #vahdam #coffeetiktok #targetfinds #ugccreator #ugccontentcreator</v>
      </c>
      <c r="AR109" s="55" t="str">
        <f>IFERROR(__xludf.DUMMYFUNCTION("""COMPUTED_VALUE"""),"Start forcing yourself to drink mushroom coffee.")</f>
        <v>Start forcing yourself to drink mushroom coffee.</v>
      </c>
      <c r="AS109" s="55" t="str">
        <f>IFERROR(__xludf.DUMMYFUNCTION("""COMPUTED_VALUE"""),"General / Lifestyle")</f>
        <v>General / Lifestyle</v>
      </c>
      <c r="AT109" s="55" t="str">
        <f>IFERROR(__xludf.DUMMYFUNCTION("""COMPUTED_VALUE"""),"• It combines coffee with ashwagandha, el-theadine, lion's man, chaga and turmeric.
• I've been taking Vatam Ashwagand coffee and what makes it different is not just mushroom coffee, it has a lot of adaptogens inside and benefits that make it much better "&amp;"for you.
• If you still have coffee anxiety or energy crashes, you're probably just using the wrong adaptogen.
• These ingredients are known for supporting things like focus, calmer energy and health cortisol levels.")</f>
        <v>• It combines coffee with ashwagandha, el-theadine, lion's man, chaga and turmeric.
• I've been taking Vatam Ashwagand coffee and what makes it different is not just mushroom coffee, it has a lot of adaptogens inside and benefits that make it much better for you.
• If you still have coffee anxiety or energy crashes, you're probably just using the wrong adaptogen.
• These ingredients are known for supporting things like focus, calmer energy and health cortisol levels.</v>
      </c>
      <c r="AU109" s="55" t="str">
        <f>IFERROR(__xludf.DUMMYFUNCTION("""COMPUTED_VALUE"""),"You can find it at Target stores across the US or on target.com.")</f>
        <v>You can find it at Target stores across the US or on target.com.</v>
      </c>
      <c r="AV109" s="55" t="str">
        <f>IFERROR(__xludf.DUMMYFUNCTION("""COMPUTED_VALUE"""),"Start forcing yourself to drink mushroom coffee. If you still have coffee anxiety or energy crashes, you're probably just using the wrong adaptogen. I've been taking Vatam Ashwagand coffee and what makes it different is not just mushroom coffee, it has a "&amp;"lot of adaptogens inside and benefits that make it much better for you. It combines coffee with ashwagandha, el-theadine, lion's man, chaga and turmeric. These ingredients are known for supporting things like focus, calmer energy and health cortisol level"&amp;"s. So instead of relying on caffeine alone, you're getting coffee plus functional ingredients in every cup. Honestly, the biggest surprise is that it tastes just like coffee. So now I get to enjoy my coffee without all the anxiety that comes with it. You "&amp;"can find it at Target stores across the US or on target.com.")</f>
        <v>Start forcing yourself to drink mushroom coffee. If you still have coffee anxiety or energy crashes, you're probably just using the wrong adaptogen. I've been taking Vatam Ashwagand coffee and what makes it different is not just mushroom coffee, it has a lot of adaptogens inside and benefits that make it much better for you. It combines coffee with ashwagandha, el-theadine, lion's man, chaga and turmeric. These ingredients are known for supporting things like focus, calmer energy and health cortisol levels. So instead of relying on caffeine alone, you're getting coffee plus functional ingredients in every cup. Honestly, the biggest surprise is that it tastes just like coffee. So now I get to enjoy my coffee without all the anxiety that comes with it. You can find it at Target stores across the US or on target.com.</v>
      </c>
      <c r="AW109" s="35"/>
      <c r="AX109" s="35"/>
      <c r="AY109" s="35"/>
      <c r="AZ109" s="35"/>
      <c r="BA109" s="35"/>
      <c r="BB109" s="35"/>
      <c r="BC109" s="35"/>
      <c r="BD109" s="35"/>
      <c r="BE109" s="35"/>
      <c r="BF109" s="35"/>
      <c r="BG109" s="35"/>
    </row>
    <row r="110" ht="15.75" customHeight="1">
      <c r="A110" s="55" t="str">
        <f>IFERROR(__xludf.DUMMYFUNCTION("""COMPUTED_VALUE"""),"Instagram")</f>
        <v>Instagram</v>
      </c>
      <c r="B110" s="56">
        <f>IFERROR(__xludf.DUMMYFUNCTION("""COMPUTED_VALUE"""),46201.0)</f>
        <v>46201</v>
      </c>
      <c r="C110" s="55" t="str">
        <f>IFERROR(__xludf.DUMMYFUNCTION("""COMPUTED_VALUE"""),"June")</f>
        <v>June</v>
      </c>
      <c r="D110" s="58" t="str">
        <f>IFERROR(__xludf.DUMMYFUNCTION("""COMPUTED_VALUE"""),"https://www.instagram.com/reel/DZq1KLaAipN/")</f>
        <v>https://www.instagram.com/reel/DZq1KLaAipN/</v>
      </c>
      <c r="E110" s="55" t="str">
        <f>IFERROR(__xludf.DUMMYFUNCTION("""COMPUTED_VALUE"""),"@annapatskova")</f>
        <v>@annapatskova</v>
      </c>
      <c r="F110" s="55" t="str">
        <f>IFERROR(__xludf.DUMMYFUNCTION("""COMPUTED_VALUE"""),"NA")</f>
        <v>NA</v>
      </c>
      <c r="G110" s="55" t="str">
        <f>IFERROR(__xludf.DUMMYFUNCTION("""COMPUTED_VALUE"""),"Target Shelf Showdown")</f>
        <v>Target Shelf Showdown</v>
      </c>
      <c r="H110" s="55">
        <f>IFERROR(__xludf.DUMMYFUNCTION("""COMPUTED_VALUE"""),68.0)</f>
        <v>68</v>
      </c>
      <c r="I110" s="55">
        <f>IFERROR(__xludf.DUMMYFUNCTION("""COMPUTED_VALUE"""),7.5)</f>
        <v>7.5</v>
      </c>
      <c r="J110" s="55" t="str">
        <f>IFERROR(__xludf.DUMMYFUNCTION("""COMPUTED_VALUE"""),"No")</f>
        <v>No</v>
      </c>
      <c r="K110" s="55" t="str">
        <f>IFERROR(__xludf.DUMMYFUNCTION("""COMPUTED_VALUE"""),"No")</f>
        <v>No</v>
      </c>
      <c r="L110" s="55" t="str">
        <f>IFERROR(__xludf.DUMMYFUNCTION("""COMPUTED_VALUE"""),"Score 7.5 — below threshold")</f>
        <v>Score 7.5 — below threshold</v>
      </c>
      <c r="M110" s="59" t="str">
        <f>IFERROR(__xludf.DUMMYFUNCTION("""COMPUTED_VALUE"""),"No Ad Data")</f>
        <v>No Ad Data</v>
      </c>
      <c r="N110" s="55"/>
      <c r="O110" s="55"/>
      <c r="P110" s="59">
        <f>IFERROR(__xludf.DUMMYFUNCTION("""COMPUTED_VALUE"""),97.0)</f>
        <v>97</v>
      </c>
      <c r="Q110" s="59">
        <f>IFERROR(__xludf.DUMMYFUNCTION("""COMPUTED_VALUE"""),0.0)</f>
        <v>0</v>
      </c>
      <c r="R110" s="59">
        <f>IFERROR(__xludf.DUMMYFUNCTION("""COMPUTED_VALUE"""),0.0)</f>
        <v>0</v>
      </c>
      <c r="S110" s="55"/>
      <c r="T110" s="68">
        <f>IFERROR(__xludf.DUMMYFUNCTION("""COMPUTED_VALUE"""),0.0)</f>
        <v>0</v>
      </c>
      <c r="U110" s="55"/>
      <c r="V110" s="62">
        <f>IFERROR(__xludf.DUMMYFUNCTION("""COMPUTED_VALUE"""),0.0)</f>
        <v>0</v>
      </c>
      <c r="W110" s="63">
        <f>IFERROR(__xludf.DUMMYFUNCTION("""COMPUTED_VALUE"""),67.58)</f>
        <v>67.58</v>
      </c>
      <c r="X110" s="59">
        <f>IFERROR(__xludf.DUMMYFUNCTION("""COMPUTED_VALUE"""),97.0)</f>
        <v>97</v>
      </c>
      <c r="Y110" s="59">
        <f>IFERROR(__xludf.DUMMYFUNCTION("""COMPUTED_VALUE"""),0.0)</f>
        <v>0</v>
      </c>
      <c r="Z110" s="59">
        <f>IFERROR(__xludf.DUMMYFUNCTION("""COMPUTED_VALUE"""),0.0)</f>
        <v>0</v>
      </c>
      <c r="AA110" s="59">
        <f>IFERROR(__xludf.DUMMYFUNCTION("""COMPUTED_VALUE"""),0.0)</f>
        <v>0</v>
      </c>
      <c r="AB110" s="64">
        <f>IFERROR(__xludf.DUMMYFUNCTION("""COMPUTED_VALUE"""),0.0)</f>
        <v>0</v>
      </c>
      <c r="AC110" s="62">
        <f>IFERROR(__xludf.DUMMYFUNCTION("""COMPUTED_VALUE"""),0.0)</f>
        <v>0</v>
      </c>
      <c r="AD110" s="62">
        <f>IFERROR(__xludf.DUMMYFUNCTION("""COMPUTED_VALUE"""),0.0)</f>
        <v>0</v>
      </c>
      <c r="AE110" s="62">
        <f>IFERROR(__xludf.DUMMYFUNCTION("""COMPUTED_VALUE"""),0.0)</f>
        <v>0</v>
      </c>
      <c r="AF110" s="55"/>
      <c r="AG110" s="55"/>
      <c r="AH110" s="55"/>
      <c r="AI110" s="55"/>
      <c r="AJ110" s="55"/>
      <c r="AK110" s="55"/>
      <c r="AL110" s="55"/>
      <c r="AM110" s="55" t="str">
        <f>IFERROR(__xludf.DUMMYFUNCTION("""COMPUTED_VALUE"""),"Q9jTBBU1Ab8nEKXfPjnv-W1px0-g9A2NsFusgYX2zfJvuAJe-a-PdemZtvy9c3DcuCY")</f>
        <v>Q9jTBBU1Ab8nEKXfPjnv-W1px0-g9A2NsFusgYX2zfJvuAJe-a-PdemZtvy9c3DcuCY</v>
      </c>
      <c r="AN110" s="55"/>
      <c r="AO110" s="55" t="str">
        <f>IFERROR(__xludf.DUMMYFUNCTION("""COMPUTED_VALUE"""),"NA")</f>
        <v>NA</v>
      </c>
      <c r="AP110" s="55" t="str">
        <f>IFERROR(__xludf.DUMMYFUNCTION("""COMPUTED_VALUE"""),"NA")</f>
        <v>NA</v>
      </c>
      <c r="AQ110" s="55" t="str">
        <f>IFERROR(__xludf.DUMMYFUNCTION("""COMPUTED_VALUE"""),"The biggest lesson Iâ€™ve learned over the last few months of balancing lifeâ€™s chaotic moments? You canâ€™t pour from an empty cupâ€”and you definitely shouldn't pour a cup that spikes your stress. ðŸ«£â˜•...")</f>
        <v>The biggest lesson Iâ€™ve learned over the last few months of balancing lifeâ€™s chaotic moments? You canâ€™t pour from an empty cupâ€”and you definitely shouldn't pour a cup that spikes your stress. ðŸ«£â˜•...</v>
      </c>
      <c r="AR110" s="55" t="str">
        <f>IFERROR(__xludf.DUMMYFUNCTION("""COMPUTED_VALUE"""),"Six months of job hunting, unpaid bills, managing households.")</f>
        <v>Six months of job hunting, unpaid bills, managing households.</v>
      </c>
      <c r="AS110" s="55" t="str">
        <f>IFERROR(__xludf.DUMMYFUNCTION("""COMPUTED_VALUE"""),"General / Lifestyle")</f>
        <v>General / Lifestyle</v>
      </c>
      <c r="AT110" s="55" t="str">
        <f>IFERROR(__xludf.DUMMYFUNCTION("""COMPUTED_VALUE"""),"• It tastes just like delicious premium coffee, but it actually works to lower your cortisol.
• My morning coffee supposed to save me but it actually making my stress worse.
• But an hour later car sizzle spike, terrible jitters and massive energy crash t"&amp;"hat left me wanting to sleep all day.
• It's the only coffee on the shelf which clinically studies KSM 66 ashwagandha coffee.")</f>
        <v>• It tastes just like delicious premium coffee, but it actually works to lower your cortisol.
• My morning coffee supposed to save me but it actually making my stress worse.
• But an hour later car sizzle spike, terrible jitters and massive energy crash that left me wanting to sleep all day.
• It's the only coffee on the shelf which clinically studies KSM 66 ashwagandha coffee.</v>
      </c>
      <c r="AU110" s="55" t="str">
        <f>IFERROR(__xludf.DUMMYFUNCTION("""COMPUTED_VALUE"""),"Grab Vahdam Ashwagandha coffee at your local Target or online.")</f>
        <v>Grab Vahdam Ashwagandha coffee at your local Target or online.</v>
      </c>
      <c r="AV110" s="55" t="str">
        <f>IFERROR(__xludf.DUMMYFUNCTION("""COMPUTED_VALUE"""),"Six months of job hunting, unpaid bills, managing households. My morning coffee supposed to save me but it actually making my stress worse. I was walking up completely exhausted, reaching for caffeine just to survive the morning. But an hour later car siz"&amp;"zle spike, terrible jitters and massive energy crash that left me wanting to sleep all day. I knew I needed a wildness upgrade. So I went to Target and found this Vagdom Ashwagandha coffee. It's the only coffee on the shelf which clinically studies KSM 66"&amp;" ashwagandha coffee. It tastes just like delicious premium coffee, but it actually works to lower your cortisol. It gives me this calm, stable energy and focus without any of the chaotic crashes. Do your nervous system a favor. Grab Vahdam Ashwagandha cof"&amp;"fee at your local Target or online.")</f>
        <v>Six months of job hunting, unpaid bills, managing households. My morning coffee supposed to save me but it actually making my stress worse. I was walking up completely exhausted, reaching for caffeine just to survive the morning. But an hour later car sizzle spike, terrible jitters and massive energy crash that left me wanting to sleep all day. I knew I needed a wildness upgrade. So I went to Target and found this Vagdom Ashwagandha coffee. It's the only coffee on the shelf which clinically studies KSM 66 ashwagandha coffee. It tastes just like delicious premium coffee, but it actually works to lower your cortisol. It gives me this calm, stable energy and focus without any of the chaotic crashes. Do your nervous system a favor. Grab Vahdam Ashwagandha coffee at your local Target or online.</v>
      </c>
      <c r="AW110" s="35"/>
      <c r="AX110" s="35"/>
      <c r="AY110" s="35"/>
      <c r="AZ110" s="35"/>
      <c r="BA110" s="35"/>
      <c r="BB110" s="35"/>
      <c r="BC110" s="35"/>
      <c r="BD110" s="35"/>
      <c r="BE110" s="35"/>
      <c r="BF110" s="35"/>
      <c r="BG110" s="35"/>
    </row>
    <row r="111" ht="15.75" customHeight="1">
      <c r="A111" s="55" t="str">
        <f>IFERROR(__xludf.DUMMYFUNCTION("""COMPUTED_VALUE"""),"Instagram")</f>
        <v>Instagram</v>
      </c>
      <c r="B111" s="56">
        <f>IFERROR(__xludf.DUMMYFUNCTION("""COMPUTED_VALUE"""),46195.0)</f>
        <v>46195</v>
      </c>
      <c r="C111" s="55" t="str">
        <f>IFERROR(__xludf.DUMMYFUNCTION("""COMPUTED_VALUE"""),"June")</f>
        <v>June</v>
      </c>
      <c r="D111" s="58" t="str">
        <f>IFERROR(__xludf.DUMMYFUNCTION("""COMPUTED_VALUE"""),"https://www.instagram.com/reel/DZ1M_q1ungj/")</f>
        <v>https://www.instagram.com/reel/DZ1M_q1ungj/</v>
      </c>
      <c r="E111" s="55" t="str">
        <f>IFERROR(__xludf.DUMMYFUNCTION("""COMPUTED_VALUE"""),"@na")</f>
        <v>@na</v>
      </c>
      <c r="F111" s="55" t="str">
        <f>IFERROR(__xludf.DUMMYFUNCTION("""COMPUTED_VALUE"""),"NA")</f>
        <v>NA</v>
      </c>
      <c r="G111" s="55" t="str">
        <f>IFERROR(__xludf.DUMMYFUNCTION("""COMPUTED_VALUE"""),"Target Shelf Showdown")</f>
        <v>Target Shelf Showdown</v>
      </c>
      <c r="H111" s="55">
        <f>IFERROR(__xludf.DUMMYFUNCTION("""COMPUTED_VALUE"""),69.0)</f>
        <v>69</v>
      </c>
      <c r="I111" s="55">
        <f>IFERROR(__xludf.DUMMYFUNCTION("""COMPUTED_VALUE"""),9.4)</f>
        <v>9.4</v>
      </c>
      <c r="J111" s="55" t="str">
        <f>IFERROR(__xludf.DUMMYFUNCTION("""COMPUTED_VALUE"""),"No")</f>
        <v>No</v>
      </c>
      <c r="K111" s="55" t="str">
        <f>IFERROR(__xludf.DUMMYFUNCTION("""COMPUTED_VALUE"""),"No")</f>
        <v>No</v>
      </c>
      <c r="L111" s="55" t="str">
        <f>IFERROR(__xludf.DUMMYFUNCTION("""COMPUTED_VALUE"""),"Score 9.7 — below threshold")</f>
        <v>Score 9.7 — below threshold</v>
      </c>
      <c r="M111" s="59" t="str">
        <f>IFERROR(__xludf.DUMMYFUNCTION("""COMPUTED_VALUE"""),"No Ad Data")</f>
        <v>No Ad Data</v>
      </c>
      <c r="N111" s="55"/>
      <c r="O111" s="55"/>
      <c r="P111" s="59">
        <f>IFERROR(__xludf.DUMMYFUNCTION("""COMPUTED_VALUE"""),92.0)</f>
        <v>92</v>
      </c>
      <c r="Q111" s="59">
        <f>IFERROR(__xludf.DUMMYFUNCTION("""COMPUTED_VALUE"""),1.0)</f>
        <v>1</v>
      </c>
      <c r="R111" s="59">
        <f>IFERROR(__xludf.DUMMYFUNCTION("""COMPUTED_VALUE"""),0.0)</f>
        <v>0</v>
      </c>
      <c r="S111" s="55"/>
      <c r="T111" s="68">
        <f>IFERROR(__xludf.DUMMYFUNCTION("""COMPUTED_VALUE"""),0.0)</f>
        <v>0</v>
      </c>
      <c r="U111" s="55"/>
      <c r="V111" s="62">
        <f>IFERROR(__xludf.DUMMYFUNCTION("""COMPUTED_VALUE"""),0.0108)</f>
        <v>0.0108</v>
      </c>
      <c r="W111" s="63">
        <f>IFERROR(__xludf.DUMMYFUNCTION("""COMPUTED_VALUE"""),67.58)</f>
        <v>67.58</v>
      </c>
      <c r="X111" s="59">
        <f>IFERROR(__xludf.DUMMYFUNCTION("""COMPUTED_VALUE"""),92.0)</f>
        <v>92</v>
      </c>
      <c r="Y111" s="59">
        <f>IFERROR(__xludf.DUMMYFUNCTION("""COMPUTED_VALUE"""),1.0)</f>
        <v>1</v>
      </c>
      <c r="Z111" s="59">
        <f>IFERROR(__xludf.DUMMYFUNCTION("""COMPUTED_VALUE"""),0.0)</f>
        <v>0</v>
      </c>
      <c r="AA111" s="59">
        <f>IFERROR(__xludf.DUMMYFUNCTION("""COMPUTED_VALUE"""),0.0)</f>
        <v>0</v>
      </c>
      <c r="AB111" s="64">
        <f>IFERROR(__xludf.DUMMYFUNCTION("""COMPUTED_VALUE"""),0.0)</f>
        <v>0</v>
      </c>
      <c r="AC111" s="62">
        <f>IFERROR(__xludf.DUMMYFUNCTION("""COMPUTED_VALUE"""),0.0108)</f>
        <v>0.0108</v>
      </c>
      <c r="AD111" s="62">
        <f>IFERROR(__xludf.DUMMYFUNCTION("""COMPUTED_VALUE"""),0.0)</f>
        <v>0</v>
      </c>
      <c r="AE111" s="62">
        <f>IFERROR(__xludf.DUMMYFUNCTION("""COMPUTED_VALUE"""),0.0)</f>
        <v>0</v>
      </c>
      <c r="AF111" s="55"/>
      <c r="AG111" s="55"/>
      <c r="AH111" s="55"/>
      <c r="AI111" s="55"/>
      <c r="AJ111" s="55"/>
      <c r="AK111" s="55"/>
      <c r="AL111" s="55"/>
      <c r="AM111" s="55" t="str">
        <f>IFERROR(__xludf.DUMMYFUNCTION("""COMPUTED_VALUE"""),"Q9jTBBVj3g8WYEcZMnCf8qKHUlXCLbORmAFrfvifQrmokmvkajjqhHk6laMU6X2KNaM")</f>
        <v>Q9jTBBVj3g8WYEcZMnCf8qKHUlXCLbORmAFrfvifQrmokmvkajjqhHk6laMU6X2KNaM</v>
      </c>
      <c r="AN111" s="55"/>
      <c r="AO111" s="55" t="str">
        <f>IFERROR(__xludf.DUMMYFUNCTION("""COMPUTED_VALUE"""),"NA")</f>
        <v>NA</v>
      </c>
      <c r="AP111" s="55" t="str">
        <f>IFERROR(__xludf.DUMMYFUNCTION("""COMPUTED_VALUE"""),"NA")</f>
        <v>NA</v>
      </c>
      <c r="AQ111" s="55" t="str">
        <f>IFERROR(__xludf.DUMMYFUNCTION("""COMPUTED_VALUE"""),"NA")</f>
        <v>NA</v>
      </c>
      <c r="AR111" s="55" t="str">
        <f>IFERROR(__xludf.DUMMYFUNCTION("""COMPUTED_VALUE"""),"Mushroom coffee had its moment.")</f>
        <v>Mushroom coffee had its moment.</v>
      </c>
      <c r="AS111" s="55" t="str">
        <f>IFERROR(__xludf.DUMMYFUNCTION("""COMPUTED_VALUE"""),"General / Lifestyle")</f>
        <v>General / Lifestyle</v>
      </c>
      <c r="AT111" s="55" t="str">
        <f>IFERROR(__xludf.DUMMYFUNCTION("""COMPUTED_VALUE"""),"• This is 100% Arabica coffee with KSM-66 ashwagandha, the only coffee with KSM-66 ashwagandha, which is shown in clinical trials to reduce cortisol by 28%.
• But this is ashwagandha coffee, and this is actually the only coffee on the Target shelves that "&amp;"addresses cortisol.
• Sure, mushrooms support focus, but they don't touch cortisol and chronically elevated cortisol is the thing actually wrecking most people's mornings.
• I mean, mushroom coffee really did have a thing and it did something important.")</f>
        <v>• This is 100% Arabica coffee with KSM-66 ashwagandha, the only coffee with KSM-66 ashwagandha, which is shown in clinical trials to reduce cortisol by 28%.
• But this is ashwagandha coffee, and this is actually the only coffee on the Target shelves that addresses cortisol.
• Sure, mushrooms support focus, but they don't touch cortisol and chronically elevated cortisol is the thing actually wrecking most people's mornings.
• I mean, mushroom coffee really did have a thing and it did something important.</v>
      </c>
      <c r="AU111" s="55" t="str">
        <f>IFERROR(__xludf.DUMMYFUNCTION("""COMPUTED_VALUE"""),"I mean, this is the number one selling functional coffee
 in the UK, and now it has launched in Target stores nationwide and online.")</f>
        <v>I mean, this is the number one selling functional coffee
 in the UK, and now it has launched in Target stores nationwide and online.</v>
      </c>
      <c r="AV111" s="55" t="str">
        <f>IFERROR(__xludf.DUMMYFUNCTION("""COMPUTED_VALUE"""),"Mushroom coffee had its moment. This is what's replacing it. I mean, mushroom coffee really did have a thing and it did something important. It proved people want more from their morning cup. Sure, mushrooms support focus, but they don't touch cortisol an"&amp;"d chronically elevated cortisol is the thing actually wrecking most people's mornings. Waking up tired, brain fog, bloating, aches, pains. I mean, that list goes on. But this is ashwagandha coffee, and this is actually the only coffee on the Target shelve"&amp;"s that addresses cortisol. This is 100% Arabica coffee with KSM-66 ashwagandha, the only coffee with KSM-66 ashwagandha, which is shown in clinical trials to reduce cortisol by 28%. Two cups delivers your full daily recommended dose. Plus, it has 200 mill"&amp;"igrams of theanine, 100 milligrams of curcuminoids from turmeric. Lions mean chaga, I mean. Mushroom coffee was just the warmup. Ashwagandha coffee, this is what's replacing it. I mean, this is the number one selling functional coffee
 in the UK, and now "&amp;"it has launched in Target stores nationwide and online. So do yourself a favor and buy this.")</f>
        <v>Mushroom coffee had its moment. This is what's replacing it. I mean, mushroom coffee really did have a thing and it did something important. It proved people want more from their morning cup. Sure, mushrooms support focus, but they don't touch cortisol and chronically elevated cortisol is the thing actually wrecking most people's mornings. Waking up tired, brain fog, bloating, aches, pains. I mean, that list goes on. But this is ashwagandha coffee, and this is actually the only coffee on the Target shelves that addresses cortisol. This is 100% Arabica coffee with KSM-66 ashwagandha, the only coffee with KSM-66 ashwagandha, which is shown in clinical trials to reduce cortisol by 28%. Two cups delivers your full daily recommended dose. Plus, it has 200 milligrams of theanine, 100 milligrams of curcuminoids from turmeric. Lions mean chaga, I mean. Mushroom coffee was just the warmup. Ashwagandha coffee, this is what's replacing it. I mean, this is the number one selling functional coffee
 in the UK, and now it has launched in Target stores nationwide and online. So do yourself a favor and buy this.</v>
      </c>
      <c r="AW111" s="35"/>
      <c r="AX111" s="35"/>
      <c r="AY111" s="35"/>
      <c r="AZ111" s="35"/>
      <c r="BA111" s="35"/>
      <c r="BB111" s="35"/>
      <c r="BC111" s="35"/>
      <c r="BD111" s="35"/>
      <c r="BE111" s="35"/>
      <c r="BF111" s="35"/>
      <c r="BG111" s="35"/>
    </row>
    <row r="112" ht="15.75" customHeight="1">
      <c r="A112" s="55" t="str">
        <f>IFERROR(__xludf.DUMMYFUNCTION("""COMPUTED_VALUE"""),"Instagram")</f>
        <v>Instagram</v>
      </c>
      <c r="B112" s="56">
        <f>IFERROR(__xludf.DUMMYFUNCTION("""COMPUTED_VALUE"""),46192.0)</f>
        <v>46192</v>
      </c>
      <c r="C112" s="55" t="str">
        <f>IFERROR(__xludf.DUMMYFUNCTION("""COMPUTED_VALUE"""),"June")</f>
        <v>June</v>
      </c>
      <c r="D112" s="58" t="str">
        <f>IFERROR(__xludf.DUMMYFUNCTION("""COMPUTED_VALUE"""),"https://www.instagram.com/reel/DZv2eIqRUxJ/")</f>
        <v>https://www.instagram.com/reel/DZv2eIqRUxJ/</v>
      </c>
      <c r="E112" s="55" t="str">
        <f>IFERROR(__xludf.DUMMYFUNCTION("""COMPUTED_VALUE"""),"@na")</f>
        <v>@na</v>
      </c>
      <c r="F112" s="55" t="str">
        <f>IFERROR(__xludf.DUMMYFUNCTION("""COMPUTED_VALUE"""),"NA")</f>
        <v>NA</v>
      </c>
      <c r="G112" s="55" t="str">
        <f>IFERROR(__xludf.DUMMYFUNCTION("""COMPUTED_VALUE"""),"Target Shelf Showdown")</f>
        <v>Target Shelf Showdown</v>
      </c>
      <c r="H112" s="55">
        <f>IFERROR(__xludf.DUMMYFUNCTION("""COMPUTED_VALUE"""),56.0)</f>
        <v>56</v>
      </c>
      <c r="I112" s="55">
        <f>IFERROR(__xludf.DUMMYFUNCTION("""COMPUTED_VALUE"""),7.4)</f>
        <v>7.4</v>
      </c>
      <c r="J112" s="55" t="str">
        <f>IFERROR(__xludf.DUMMYFUNCTION("""COMPUTED_VALUE"""),"No")</f>
        <v>No</v>
      </c>
      <c r="K112" s="55" t="str">
        <f>IFERROR(__xludf.DUMMYFUNCTION("""COMPUTED_VALUE"""),"No")</f>
        <v>No</v>
      </c>
      <c r="L112" s="55" t="str">
        <f>IFERROR(__xludf.DUMMYFUNCTION("""COMPUTED_VALUE"""),"Score 7.4 — below threshold")</f>
        <v>Score 7.4 — below threshold</v>
      </c>
      <c r="M112" s="59" t="str">
        <f>IFERROR(__xludf.DUMMYFUNCTION("""COMPUTED_VALUE"""),"No Ad Data")</f>
        <v>No Ad Data</v>
      </c>
      <c r="N112" s="55"/>
      <c r="O112" s="55"/>
      <c r="P112" s="59">
        <f>IFERROR(__xludf.DUMMYFUNCTION("""COMPUTED_VALUE"""),92.0)</f>
        <v>92</v>
      </c>
      <c r="Q112" s="59">
        <f>IFERROR(__xludf.DUMMYFUNCTION("""COMPUTED_VALUE"""),0.0)</f>
        <v>0</v>
      </c>
      <c r="R112" s="59">
        <f>IFERROR(__xludf.DUMMYFUNCTION("""COMPUTED_VALUE"""),0.0)</f>
        <v>0</v>
      </c>
      <c r="S112" s="55"/>
      <c r="T112" s="68">
        <f>IFERROR(__xludf.DUMMYFUNCTION("""COMPUTED_VALUE"""),0.0)</f>
        <v>0</v>
      </c>
      <c r="U112" s="55"/>
      <c r="V112" s="62">
        <f>IFERROR(__xludf.DUMMYFUNCTION("""COMPUTED_VALUE"""),0.0)</f>
        <v>0</v>
      </c>
      <c r="W112" s="63">
        <f>IFERROR(__xludf.DUMMYFUNCTION("""COMPUTED_VALUE"""),72.99)</f>
        <v>72.99</v>
      </c>
      <c r="X112" s="59">
        <f>IFERROR(__xludf.DUMMYFUNCTION("""COMPUTED_VALUE"""),92.0)</f>
        <v>92</v>
      </c>
      <c r="Y112" s="59">
        <f>IFERROR(__xludf.DUMMYFUNCTION("""COMPUTED_VALUE"""),0.0)</f>
        <v>0</v>
      </c>
      <c r="Z112" s="59">
        <f>IFERROR(__xludf.DUMMYFUNCTION("""COMPUTED_VALUE"""),0.0)</f>
        <v>0</v>
      </c>
      <c r="AA112" s="59">
        <f>IFERROR(__xludf.DUMMYFUNCTION("""COMPUTED_VALUE"""),0.0)</f>
        <v>0</v>
      </c>
      <c r="AB112" s="64">
        <f>IFERROR(__xludf.DUMMYFUNCTION("""COMPUTED_VALUE"""),0.0)</f>
        <v>0</v>
      </c>
      <c r="AC112" s="62">
        <f>IFERROR(__xludf.DUMMYFUNCTION("""COMPUTED_VALUE"""),0.0)</f>
        <v>0</v>
      </c>
      <c r="AD112" s="62">
        <f>IFERROR(__xludf.DUMMYFUNCTION("""COMPUTED_VALUE"""),0.0)</f>
        <v>0</v>
      </c>
      <c r="AE112" s="62">
        <f>IFERROR(__xludf.DUMMYFUNCTION("""COMPUTED_VALUE"""),0.0)</f>
        <v>0</v>
      </c>
      <c r="AF112" s="55"/>
      <c r="AG112" s="55"/>
      <c r="AH112" s="55"/>
      <c r="AI112" s="55"/>
      <c r="AJ112" s="55"/>
      <c r="AK112" s="55"/>
      <c r="AL112" s="55"/>
      <c r="AM112" s="55" t="str">
        <f>IFERROR(__xludf.DUMMYFUNCTION("""COMPUTED_VALUE"""),"Q9jTBBVXsa0gkV7fpN7U8tYAr3-jk6GgsMdj3FMUwv5GAuzFRV-Vqi_8EWPSsIyhUp8")</f>
        <v>Q9jTBBVXsa0gkV7fpN7U8tYAr3-jk6GgsMdj3FMUwv5GAuzFRV-Vqi_8EWPSsIyhUp8</v>
      </c>
      <c r="AN112" s="55"/>
      <c r="AO112" s="55" t="str">
        <f>IFERROR(__xludf.DUMMYFUNCTION("""COMPUTED_VALUE"""),"NA")</f>
        <v>NA</v>
      </c>
      <c r="AP112" s="55" t="str">
        <f>IFERROR(__xludf.DUMMYFUNCTION("""COMPUTED_VALUE"""),"NA")</f>
        <v>NA</v>
      </c>
      <c r="AQ112" s="55" t="str">
        <f>IFERROR(__xludf.DUMMYFUNCTION("""COMPUTED_VALUE"""),"NA")</f>
        <v>NA</v>
      </c>
      <c r="AR112" s="55" t="str">
        <f>IFERROR(__xludf.DUMMYFUNCTION("""COMPUTED_VALUE"""),"Why is nobody talking about this new ashwagandha coffee at Target?")</f>
        <v>Why is nobody talking about this new ashwagandha coffee at Target?</v>
      </c>
      <c r="AS112" s="55" t="str">
        <f>IFERROR(__xludf.DUMMYFUNCTION("""COMPUTED_VALUE"""),"Curiosity / Question")</f>
        <v>Curiosity / Question</v>
      </c>
      <c r="AT112" s="55" t="str">
        <f>IFERROR(__xludf.DUMMYFUNCTION("""COMPUTED_VALUE"""),"• Bantam ashwagandha coffee, the only ashwagandha coffee at Target.
• Mushroom coffee took over.
• The only Ashwagandha coffee at Target.
• Everyday dose on every wellness creator page.")</f>
        <v>• Bantam ashwagandha coffee, the only ashwagandha coffee at Target.
• Mushroom coffee took over.
• The only Ashwagandha coffee at Target.
• Everyday dose on every wellness creator page.</v>
      </c>
      <c r="AU112" s="55" t="str">
        <f>IFERROR(__xludf.DUMMYFUNCTION("""COMPUTED_VALUE"""),"Go get your bag at nearesttarget or target.com.")</f>
        <v>Go get your bag at nearesttarget or target.com.</v>
      </c>
      <c r="AV112" s="55" t="str">
        <f>IFERROR(__xludf.DUMMYFUNCTION("""COMPUTED_VALUE"""),"Why is nobody talking about this new ashwagandha coffee at Target? I've been seeing rise ads for two years. Everyday dose on every wellness creator page. Mushroom coffee took over. And I genuinely tried them all. None of them changed my stress. None of th"&amp;"em helped with my cortisol. And then I found this at Target. And I'm genuinely confused why not enough people know about this. Bantam ashwagandha coffee, the only ashwagandha coffee at Target. And I'm genuinely confused why not enough people know about th"&amp;"is. Bandam Ashwagandha Coffee. The only Ashwagandha coffee at Target. It has KSM-66, the most clinically studied form of Ashwagandha. Peer-reviewed trials show it reduces cortisol by 28%. 28%. Two cups give you 300mg of Ashwagandha. What's more, it's the "&amp;"number one best-selling coffee on TikTok shop UK. How is this not the biggest wellness story in the US right now? Go get your bag at nearesttarget or target.com.")</f>
        <v>Why is nobody talking about this new ashwagandha coffee at Target? I've been seeing rise ads for two years. Everyday dose on every wellness creator page. Mushroom coffee took over. And I genuinely tried them all. None of them changed my stress. None of them helped with my cortisol. And then I found this at Target. And I'm genuinely confused why not enough people know about this. Bantam ashwagandha coffee, the only ashwagandha coffee at Target. And I'm genuinely confused why not enough people know about this. Bandam Ashwagandha Coffee. The only Ashwagandha coffee at Target. It has KSM-66, the most clinically studied form of Ashwagandha. Peer-reviewed trials show it reduces cortisol by 28%. 28%. Two cups give you 300mg of Ashwagandha. What's more, it's the number one best-selling coffee on TikTok shop UK. How is this not the biggest wellness story in the US right now? Go get your bag at nearesttarget or target.com.</v>
      </c>
      <c r="AW112" s="35"/>
      <c r="AX112" s="35"/>
      <c r="AY112" s="35"/>
      <c r="AZ112" s="35"/>
      <c r="BA112" s="35"/>
      <c r="BB112" s="35"/>
      <c r="BC112" s="35"/>
      <c r="BD112" s="35"/>
      <c r="BE112" s="35"/>
      <c r="BF112" s="35"/>
      <c r="BG112" s="35"/>
    </row>
    <row r="113" ht="15.75" customHeight="1">
      <c r="A113" s="55" t="str">
        <f>IFERROR(__xludf.DUMMYFUNCTION("""COMPUTED_VALUE"""),"Instagram")</f>
        <v>Instagram</v>
      </c>
      <c r="B113" s="56">
        <f>IFERROR(__xludf.DUMMYFUNCTION("""COMPUTED_VALUE"""),46198.0)</f>
        <v>46198</v>
      </c>
      <c r="C113" s="55" t="str">
        <f>IFERROR(__xludf.DUMMYFUNCTION("""COMPUTED_VALUE"""),"June")</f>
        <v>June</v>
      </c>
      <c r="D113" s="58" t="str">
        <f>IFERROR(__xludf.DUMMYFUNCTION("""COMPUTED_VALUE"""),"https://www.instagram.com/reel/DZ-v_2Txhn-/")</f>
        <v>https://www.instagram.com/reel/DZ-v_2Txhn-/</v>
      </c>
      <c r="E113" s="55" t="str">
        <f>IFERROR(__xludf.DUMMYFUNCTION("""COMPUTED_VALUE"""),"@na")</f>
        <v>@na</v>
      </c>
      <c r="F113" s="55" t="str">
        <f>IFERROR(__xludf.DUMMYFUNCTION("""COMPUTED_VALUE"""),"NA")</f>
        <v>NA</v>
      </c>
      <c r="G113" s="55" t="str">
        <f>IFERROR(__xludf.DUMMYFUNCTION("""COMPUTED_VALUE"""),"Target Shelf Showdown")</f>
        <v>Target Shelf Showdown</v>
      </c>
      <c r="H113" s="55">
        <f>IFERROR(__xludf.DUMMYFUNCTION("""COMPUTED_VALUE"""),87.0)</f>
        <v>87</v>
      </c>
      <c r="I113" s="55">
        <f>IFERROR(__xludf.DUMMYFUNCTION("""COMPUTED_VALUE"""),7.4)</f>
        <v>7.4</v>
      </c>
      <c r="J113" s="55" t="str">
        <f>IFERROR(__xludf.DUMMYFUNCTION("""COMPUTED_VALUE"""),"No")</f>
        <v>No</v>
      </c>
      <c r="K113" s="55" t="str">
        <f>IFERROR(__xludf.DUMMYFUNCTION("""COMPUTED_VALUE"""),"No")</f>
        <v>No</v>
      </c>
      <c r="L113" s="55" t="str">
        <f>IFERROR(__xludf.DUMMYFUNCTION("""COMPUTED_VALUE"""),"Score 7.4 — below threshold")</f>
        <v>Score 7.4 — below threshold</v>
      </c>
      <c r="M113" s="59" t="str">
        <f>IFERROR(__xludf.DUMMYFUNCTION("""COMPUTED_VALUE"""),"No Ad Data")</f>
        <v>No Ad Data</v>
      </c>
      <c r="N113" s="55"/>
      <c r="O113" s="55"/>
      <c r="P113" s="59">
        <f>IFERROR(__xludf.DUMMYFUNCTION("""COMPUTED_VALUE"""),90.0)</f>
        <v>90</v>
      </c>
      <c r="Q113" s="59">
        <f>IFERROR(__xludf.DUMMYFUNCTION("""COMPUTED_VALUE"""),0.0)</f>
        <v>0</v>
      </c>
      <c r="R113" s="59">
        <f>IFERROR(__xludf.DUMMYFUNCTION("""COMPUTED_VALUE"""),0.0)</f>
        <v>0</v>
      </c>
      <c r="S113" s="55"/>
      <c r="T113" s="68">
        <f>IFERROR(__xludf.DUMMYFUNCTION("""COMPUTED_VALUE"""),0.0)</f>
        <v>0</v>
      </c>
      <c r="U113" s="55"/>
      <c r="V113" s="62">
        <f>IFERROR(__xludf.DUMMYFUNCTION("""COMPUTED_VALUE"""),0.0)</f>
        <v>0</v>
      </c>
      <c r="W113" s="63">
        <f>IFERROR(__xludf.DUMMYFUNCTION("""COMPUTED_VALUE"""),72.99)</f>
        <v>72.99</v>
      </c>
      <c r="X113" s="59">
        <f>IFERROR(__xludf.DUMMYFUNCTION("""COMPUTED_VALUE"""),90.0)</f>
        <v>90</v>
      </c>
      <c r="Y113" s="59">
        <f>IFERROR(__xludf.DUMMYFUNCTION("""COMPUTED_VALUE"""),0.0)</f>
        <v>0</v>
      </c>
      <c r="Z113" s="59">
        <f>IFERROR(__xludf.DUMMYFUNCTION("""COMPUTED_VALUE"""),0.0)</f>
        <v>0</v>
      </c>
      <c r="AA113" s="59">
        <f>IFERROR(__xludf.DUMMYFUNCTION("""COMPUTED_VALUE"""),0.0)</f>
        <v>0</v>
      </c>
      <c r="AB113" s="64">
        <f>IFERROR(__xludf.DUMMYFUNCTION("""COMPUTED_VALUE"""),0.0)</f>
        <v>0</v>
      </c>
      <c r="AC113" s="62">
        <f>IFERROR(__xludf.DUMMYFUNCTION("""COMPUTED_VALUE"""),0.0)</f>
        <v>0</v>
      </c>
      <c r="AD113" s="62">
        <f>IFERROR(__xludf.DUMMYFUNCTION("""COMPUTED_VALUE"""),0.0)</f>
        <v>0</v>
      </c>
      <c r="AE113" s="62">
        <f>IFERROR(__xludf.DUMMYFUNCTION("""COMPUTED_VALUE"""),0.0)</f>
        <v>0</v>
      </c>
      <c r="AF113" s="55"/>
      <c r="AG113" s="55"/>
      <c r="AH113" s="55"/>
      <c r="AI113" s="55"/>
      <c r="AJ113" s="55"/>
      <c r="AK113" s="55"/>
      <c r="AL113" s="55"/>
      <c r="AM113" s="55" t="str">
        <f>IFERROR(__xludf.DUMMYFUNCTION("""COMPUTED_VALUE"""),"Q9jTBBWGLnIQfPZ1yAJO43jU2tnSnPVBJpdfJGZ2Pr5iA9uZnWRojFgIUg7FKKfjig")</f>
        <v>Q9jTBBWGLnIQfPZ1yAJO43jU2tnSnPVBJpdfJGZ2Pr5iA9uZnWRojFgIUg7FKKfjig</v>
      </c>
      <c r="AN113" s="55"/>
      <c r="AO113" s="55" t="str">
        <f>IFERROR(__xludf.DUMMYFUNCTION("""COMPUTED_VALUE"""),"NA")</f>
        <v>NA</v>
      </c>
      <c r="AP113" s="55" t="str">
        <f>IFERROR(__xludf.DUMMYFUNCTION("""COMPUTED_VALUE"""),"NA")</f>
        <v>NA</v>
      </c>
      <c r="AQ113" s="55" t="str">
        <f>IFERROR(__xludf.DUMMYFUNCTION("""COMPUTED_VALUE"""),"NA")</f>
        <v>NA</v>
      </c>
      <c r="AR113" s="55" t="str">
        <f>IFERROR(__xludf.DUMMYFUNCTION("""COMPUTED_VALUE"""),"If your cart looks like this on the Target app, I need you to pause for a minute.")</f>
        <v>If your cart looks like this on the Target app, I need you to pause for a minute.</v>
      </c>
      <c r="AS113" s="55" t="str">
        <f>IFERROR(__xludf.DUMMYFUNCTION("""COMPUTED_VALUE"""),"Call-Out / If You")</f>
        <v>Call-Out / If You</v>
      </c>
      <c r="AT113" s="55" t="str">
        <f>IFERROR(__xludf.DUMMYFUNCTION("""COMPUTED_VALUE"""),"• Vadam Ashwagandha Coffee contains KSM-66 Ashwagandha, which is the ingredient I was most curious about because it's known for stress support and helping to feel more balanced.
• Mushroom coffee and protein coffee.
• Eltianan, which I love because it's c"&amp;"ommonly used for smoother, calmer focus, coffee energy without that chaotic feeling.
• I've been on the hunt for functional coffee, but I keep coming across the same thing.")</f>
        <v>• Vadam Ashwagandha Coffee contains KSM-66 Ashwagandha, which is the ingredient I was most curious about because it's known for stress support and helping to feel more balanced.
• Mushroom coffee and protein coffee.
• Eltianan, which I love because it's commonly used for smoother, calmer focus, coffee energy without that chaotic feeling.
• I've been on the hunt for functional coffee, but I keep coming across the same thing.</v>
      </c>
      <c r="AU113" s="55" t="str">
        <f>IFERROR(__xludf.DUMMYFUNCTION("""COMPUTED_VALUE"""),"It also has lion's mane, chaga, and turmeric, all fantastic ingredients for overall focus mental clarity and inflammation support so when you put it all together this is not just mushroom coffee becau...")</f>
        <v>It also has lion's mane, chaga, and turmeric, all fantastic ingredients for overall focus mental clarity and inflammation support so when you put it all together this is not just mushroom coffee becau...</v>
      </c>
      <c r="AV113" s="55" t="str">
        <f>IFERROR(__xludf.DUMMYFUNCTION("""COMPUTED_VALUE"""),"If your cart looks like this on the Target app, I need you to pause for a minute. Seriously, pause for a minute and don't add anything else to your cart. Listen to this. I've been on the hunt for functional coffee, but I keep coming across the same thing."&amp;" Mushroom coffee and protein coffee. I've tried the Mud Water, I've tried the Rise, the Everyday Dose, and the Javi. Now don't get me wrong, I like mushroom coffee. I like the ideal of it, but I'm looking for something that has more than just a mushroom b"&amp;"lend. So when I came across Vadam Ashwagandha Instant Coffee, I knew I had found something new. Vadam Ashwagandha Coffee contains KSM-66 Ashwagandha, which is the ingredient I was most curious about because it's known for stress support and helping to fee"&amp;"l more balanced. Eltianan, which I love because it's commonly used for smoother, calmer focus, coffee energy without that chaotic feeling. It also has lion's mane, chaga, and turmeric, all fantastic ingredients for overall focus mental clarity and inflamm"&amp;"ation support so when you put it all together this is not just mushroom coffee because if i'm buying a functional coffee i want it to actually feel functional not just the same old mushroom blend everyone else is doing so next time you open your target ap"&amp;"p put vadam ashwagandha coffee in your cart you can get it online or in stores at target.")</f>
        <v>If your cart looks like this on the Target app, I need you to pause for a minute. Seriously, pause for a minute and don't add anything else to your cart. Listen to this. I've been on the hunt for functional coffee, but I keep coming across the same thing. Mushroom coffee and protein coffee. I've tried the Mud Water, I've tried the Rise, the Everyday Dose, and the Javi. Now don't get me wrong, I like mushroom coffee. I like the ideal of it, but I'm looking for something that has more than just a mushroom blend. So when I came across Vadam Ashwagandha Instant Coffee, I knew I had found something new. Vadam Ashwagandha Coffee contains KSM-66 Ashwagandha, which is the ingredient I was most curious about because it's known for stress support and helping to feel more balanced. Eltianan, which I love because it's commonly used for smoother, calmer focus, coffee energy without that chaotic feeling. It also has lion's mane, chaga, and turmeric, all fantastic ingredients for overall focus mental clarity and inflammation support so when you put it all together this is not just mushroom coffee because if i'm buying a functional coffee i want it to actually feel functional not just the same old mushroom blend everyone else is doing so next time you open your target app put vadam ashwagandha coffee in your cart you can get it online or in stores at target.</v>
      </c>
      <c r="AW113" s="35"/>
      <c r="AX113" s="35"/>
      <c r="AY113" s="35"/>
      <c r="AZ113" s="35"/>
      <c r="BA113" s="35"/>
      <c r="BB113" s="35"/>
      <c r="BC113" s="35"/>
      <c r="BD113" s="35"/>
      <c r="BE113" s="35"/>
      <c r="BF113" s="35"/>
      <c r="BG113" s="35"/>
    </row>
    <row r="114" ht="15.75" customHeight="1">
      <c r="A114" s="55" t="str">
        <f>IFERROR(__xludf.DUMMYFUNCTION("""COMPUTED_VALUE"""),"Instagram")</f>
        <v>Instagram</v>
      </c>
      <c r="B114" s="56">
        <f>IFERROR(__xludf.DUMMYFUNCTION("""COMPUTED_VALUE"""),46188.0)</f>
        <v>46188</v>
      </c>
      <c r="C114" s="55" t="str">
        <f>IFERROR(__xludf.DUMMYFUNCTION("""COMPUTED_VALUE"""),"June")</f>
        <v>June</v>
      </c>
      <c r="D114" s="58" t="str">
        <f>IFERROR(__xludf.DUMMYFUNCTION("""COMPUTED_VALUE"""),"https://www.instagram.com/reel/DZnJOgZRKRK/")</f>
        <v>https://www.instagram.com/reel/DZnJOgZRKRK/</v>
      </c>
      <c r="E114" s="55" t="str">
        <f>IFERROR(__xludf.DUMMYFUNCTION("""COMPUTED_VALUE"""),"@na")</f>
        <v>@na</v>
      </c>
      <c r="F114" s="55" t="str">
        <f>IFERROR(__xludf.DUMMYFUNCTION("""COMPUTED_VALUE"""),"NA")</f>
        <v>NA</v>
      </c>
      <c r="G114" s="55" t="str">
        <f>IFERROR(__xludf.DUMMYFUNCTION("""COMPUTED_VALUE"""),"Target Shelf Showdown")</f>
        <v>Target Shelf Showdown</v>
      </c>
      <c r="H114" s="55" t="str">
        <f>IFERROR(__xludf.DUMMYFUNCTION("""COMPUTED_VALUE"""),"NA")</f>
        <v>NA</v>
      </c>
      <c r="I114" s="55">
        <f>IFERROR(__xludf.DUMMYFUNCTION("""COMPUTED_VALUE"""),10.5)</f>
        <v>10.5</v>
      </c>
      <c r="J114" s="55" t="str">
        <f>IFERROR(__xludf.DUMMYFUNCTION("""COMPUTED_VALUE"""),"No")</f>
        <v>No</v>
      </c>
      <c r="K114" s="55" t="str">
        <f>IFERROR(__xludf.DUMMYFUNCTION("""COMPUTED_VALUE"""),"No")</f>
        <v>No</v>
      </c>
      <c r="L114" s="55" t="str">
        <f>IFERROR(__xludf.DUMMYFUNCTION("""COMPUTED_VALUE"""),"Score 10.9 — below threshold")</f>
        <v>Score 10.9 — below threshold</v>
      </c>
      <c r="M114" s="59" t="str">
        <f>IFERROR(__xludf.DUMMYFUNCTION("""COMPUTED_VALUE"""),"No Ad Data")</f>
        <v>No Ad Data</v>
      </c>
      <c r="N114" s="55"/>
      <c r="O114" s="55"/>
      <c r="P114" s="59">
        <f>IFERROR(__xludf.DUMMYFUNCTION("""COMPUTED_VALUE"""),89.0)</f>
        <v>89</v>
      </c>
      <c r="Q114" s="59">
        <f>IFERROR(__xludf.DUMMYFUNCTION("""COMPUTED_VALUE"""),2.0)</f>
        <v>2</v>
      </c>
      <c r="R114" s="59">
        <f>IFERROR(__xludf.DUMMYFUNCTION("""COMPUTED_VALUE"""),0.0)</f>
        <v>0</v>
      </c>
      <c r="S114" s="55"/>
      <c r="T114" s="68">
        <f>IFERROR(__xludf.DUMMYFUNCTION("""COMPUTED_VALUE"""),0.0)</f>
        <v>0</v>
      </c>
      <c r="U114" s="55"/>
      <c r="V114" s="62">
        <f>IFERROR(__xludf.DUMMYFUNCTION("""COMPUTED_VALUE"""),0.02247191011)</f>
        <v>0.02247191011</v>
      </c>
      <c r="W114" s="63">
        <f>IFERROR(__xludf.DUMMYFUNCTION("""COMPUTED_VALUE"""),72.99)</f>
        <v>72.99</v>
      </c>
      <c r="X114" s="59">
        <f>IFERROR(__xludf.DUMMYFUNCTION("""COMPUTED_VALUE"""),89.0)</f>
        <v>89</v>
      </c>
      <c r="Y114" s="59">
        <f>IFERROR(__xludf.DUMMYFUNCTION("""COMPUTED_VALUE"""),2.0)</f>
        <v>2</v>
      </c>
      <c r="Z114" s="59">
        <f>IFERROR(__xludf.DUMMYFUNCTION("""COMPUTED_VALUE"""),0.0)</f>
        <v>0</v>
      </c>
      <c r="AA114" s="59">
        <f>IFERROR(__xludf.DUMMYFUNCTION("""COMPUTED_VALUE"""),0.0)</f>
        <v>0</v>
      </c>
      <c r="AB114" s="64">
        <f>IFERROR(__xludf.DUMMYFUNCTION("""COMPUTED_VALUE"""),0.0)</f>
        <v>0</v>
      </c>
      <c r="AC114" s="62">
        <f>IFERROR(__xludf.DUMMYFUNCTION("""COMPUTED_VALUE"""),0.02247191011)</f>
        <v>0.02247191011</v>
      </c>
      <c r="AD114" s="62">
        <f>IFERROR(__xludf.DUMMYFUNCTION("""COMPUTED_VALUE"""),0.0)</f>
        <v>0</v>
      </c>
      <c r="AE114" s="62">
        <f>IFERROR(__xludf.DUMMYFUNCTION("""COMPUTED_VALUE"""),0.0)</f>
        <v>0</v>
      </c>
      <c r="AF114" s="55"/>
      <c r="AG114" s="55"/>
      <c r="AH114" s="55"/>
      <c r="AI114" s="55"/>
      <c r="AJ114" s="55"/>
      <c r="AK114" s="55"/>
      <c r="AL114" s="55"/>
      <c r="AM114" s="55" t="str">
        <f>IFERROR(__xludf.DUMMYFUNCTION("""COMPUTED_VALUE"""),"Q9jTBBU2hO1HQAwlNIgNJAn0x9gaVyClysYdhedmtdtgFoa0y5jjn-EvzrGpVJvWmw")</f>
        <v>Q9jTBBU2hO1HQAwlNIgNJAn0x9gaVyClysYdhedmtdtgFoa0y5jjn-EvzrGpVJvWmw</v>
      </c>
      <c r="AN114" s="55"/>
      <c r="AO114" s="55" t="str">
        <f>IFERROR(__xludf.DUMMYFUNCTION("""COMPUTED_VALUE"""),"NA")</f>
        <v>NA</v>
      </c>
      <c r="AP114" s="55" t="str">
        <f>IFERROR(__xludf.DUMMYFUNCTION("""COMPUTED_VALUE"""),"NA")</f>
        <v>NA</v>
      </c>
      <c r="AQ114" s="55" t="str">
        <f>IFERROR(__xludf.DUMMYFUNCTION("""COMPUTED_VALUE"""),"NA")</f>
        <v>NA</v>
      </c>
      <c r="AR114" s="55" t="str">
        <f>IFERROR(__xludf.DUMMYFUNCTION("""COMPUTED_VALUE"""),"NA")</f>
        <v>NA</v>
      </c>
      <c r="AS114" s="55" t="str">
        <f>IFERROR(__xludf.DUMMYFUNCTION("""COMPUTED_VALUE"""),"NA")</f>
        <v>NA</v>
      </c>
      <c r="AT114" s="55" t="str">
        <f>IFERROR(__xludf.DUMMYFUNCTION("""COMPUTED_VALUE"""),"NA")</f>
        <v>NA</v>
      </c>
      <c r="AU114" s="55" t="str">
        <f>IFERROR(__xludf.DUMMYFUNCTION("""COMPUTED_VALUE"""),"NA")</f>
        <v>NA</v>
      </c>
      <c r="AV114" s="55"/>
      <c r="AW114" s="35"/>
      <c r="AX114" s="35"/>
      <c r="AY114" s="35"/>
      <c r="AZ114" s="35"/>
      <c r="BA114" s="35"/>
      <c r="BB114" s="35"/>
      <c r="BC114" s="35"/>
      <c r="BD114" s="35"/>
      <c r="BE114" s="35"/>
      <c r="BF114" s="35"/>
      <c r="BG114" s="35"/>
    </row>
    <row r="115" ht="15.75" customHeight="1">
      <c r="A115" s="55" t="str">
        <f>IFERROR(__xludf.DUMMYFUNCTION("""COMPUTED_VALUE"""),"Instagram")</f>
        <v>Instagram</v>
      </c>
      <c r="B115" s="56">
        <f>IFERROR(__xludf.DUMMYFUNCTION("""COMPUTED_VALUE"""),46192.0)</f>
        <v>46192</v>
      </c>
      <c r="C115" s="55" t="str">
        <f>IFERROR(__xludf.DUMMYFUNCTION("""COMPUTED_VALUE"""),"June")</f>
        <v>June</v>
      </c>
      <c r="D115" s="58" t="str">
        <f>IFERROR(__xludf.DUMMYFUNCTION("""COMPUTED_VALUE"""),"https://www.instagram.com/reel/DZuCBqSsQWA/")</f>
        <v>https://www.instagram.com/reel/DZuCBqSsQWA/</v>
      </c>
      <c r="E115" s="55" t="str">
        <f>IFERROR(__xludf.DUMMYFUNCTION("""COMPUTED_VALUE"""),"@na")</f>
        <v>@na</v>
      </c>
      <c r="F115" s="55" t="str">
        <f>IFERROR(__xludf.DUMMYFUNCTION("""COMPUTED_VALUE"""),"NA")</f>
        <v>NA</v>
      </c>
      <c r="G115" s="55" t="str">
        <f>IFERROR(__xludf.DUMMYFUNCTION("""COMPUTED_VALUE"""),"Target Shelf Showdown")</f>
        <v>Target Shelf Showdown</v>
      </c>
      <c r="H115" s="55">
        <f>IFERROR(__xludf.DUMMYFUNCTION("""COMPUTED_VALUE"""),72.0)</f>
        <v>72</v>
      </c>
      <c r="I115" s="55">
        <f>IFERROR(__xludf.DUMMYFUNCTION("""COMPUTED_VALUE"""),7.3)</f>
        <v>7.3</v>
      </c>
      <c r="J115" s="55" t="str">
        <f>IFERROR(__xludf.DUMMYFUNCTION("""COMPUTED_VALUE"""),"No")</f>
        <v>No</v>
      </c>
      <c r="K115" s="55" t="str">
        <f>IFERROR(__xludf.DUMMYFUNCTION("""COMPUTED_VALUE"""),"No")</f>
        <v>No</v>
      </c>
      <c r="L115" s="55" t="str">
        <f>IFERROR(__xludf.DUMMYFUNCTION("""COMPUTED_VALUE"""),"Score 7.3 — below threshold")</f>
        <v>Score 7.3 — below threshold</v>
      </c>
      <c r="M115" s="59" t="str">
        <f>IFERROR(__xludf.DUMMYFUNCTION("""COMPUTED_VALUE"""),"No Ad Data")</f>
        <v>No Ad Data</v>
      </c>
      <c r="N115" s="55"/>
      <c r="O115" s="55"/>
      <c r="P115" s="59">
        <f>IFERROR(__xludf.DUMMYFUNCTION("""COMPUTED_VALUE"""),85.0)</f>
        <v>85</v>
      </c>
      <c r="Q115" s="59">
        <f>IFERROR(__xludf.DUMMYFUNCTION("""COMPUTED_VALUE"""),0.0)</f>
        <v>0</v>
      </c>
      <c r="R115" s="59">
        <f>IFERROR(__xludf.DUMMYFUNCTION("""COMPUTED_VALUE"""),0.0)</f>
        <v>0</v>
      </c>
      <c r="S115" s="55"/>
      <c r="T115" s="68">
        <f>IFERROR(__xludf.DUMMYFUNCTION("""COMPUTED_VALUE"""),0.0)</f>
        <v>0</v>
      </c>
      <c r="U115" s="55"/>
      <c r="V115" s="62">
        <f>IFERROR(__xludf.DUMMYFUNCTION("""COMPUTED_VALUE"""),0.0)</f>
        <v>0</v>
      </c>
      <c r="W115" s="63">
        <f>IFERROR(__xludf.DUMMYFUNCTION("""COMPUTED_VALUE"""),72.99)</f>
        <v>72.99</v>
      </c>
      <c r="X115" s="59">
        <f>IFERROR(__xludf.DUMMYFUNCTION("""COMPUTED_VALUE"""),85.0)</f>
        <v>85</v>
      </c>
      <c r="Y115" s="59">
        <f>IFERROR(__xludf.DUMMYFUNCTION("""COMPUTED_VALUE"""),0.0)</f>
        <v>0</v>
      </c>
      <c r="Z115" s="59">
        <f>IFERROR(__xludf.DUMMYFUNCTION("""COMPUTED_VALUE"""),0.0)</f>
        <v>0</v>
      </c>
      <c r="AA115" s="59">
        <f>IFERROR(__xludf.DUMMYFUNCTION("""COMPUTED_VALUE"""),0.0)</f>
        <v>0</v>
      </c>
      <c r="AB115" s="64">
        <f>IFERROR(__xludf.DUMMYFUNCTION("""COMPUTED_VALUE"""),0.0)</f>
        <v>0</v>
      </c>
      <c r="AC115" s="62">
        <f>IFERROR(__xludf.DUMMYFUNCTION("""COMPUTED_VALUE"""),0.0)</f>
        <v>0</v>
      </c>
      <c r="AD115" s="62">
        <f>IFERROR(__xludf.DUMMYFUNCTION("""COMPUTED_VALUE"""),0.0)</f>
        <v>0</v>
      </c>
      <c r="AE115" s="62">
        <f>IFERROR(__xludf.DUMMYFUNCTION("""COMPUTED_VALUE"""),0.0)</f>
        <v>0</v>
      </c>
      <c r="AF115" s="55"/>
      <c r="AG115" s="55"/>
      <c r="AH115" s="55"/>
      <c r="AI115" s="55"/>
      <c r="AJ115" s="55"/>
      <c r="AK115" s="55"/>
      <c r="AL115" s="55"/>
      <c r="AM115" s="55" t="str">
        <f>IFERROR(__xludf.DUMMYFUNCTION("""COMPUTED_VALUE"""),"Q9jTBBUEZtBJAVhpdH8pKH7H7bqYyubd9cupJxP-8r78Ef1dZOg33YHroFCbS5ls")</f>
        <v>Q9jTBBUEZtBJAVhpdH8pKH7H7bqYyubd9cupJxP-8r78Ef1dZOg33YHroFCbS5ls</v>
      </c>
      <c r="AN115" s="55"/>
      <c r="AO115" s="55" t="str">
        <f>IFERROR(__xludf.DUMMYFUNCTION("""COMPUTED_VALUE"""),"NA")</f>
        <v>NA</v>
      </c>
      <c r="AP115" s="55" t="str">
        <f>IFERROR(__xludf.DUMMYFUNCTION("""COMPUTED_VALUE"""),"NA")</f>
        <v>NA</v>
      </c>
      <c r="AQ115" s="55" t="str">
        <f>IFERROR(__xludf.DUMMYFUNCTION("""COMPUTED_VALUE"""),"NA")</f>
        <v>NA</v>
      </c>
      <c r="AR115" s="55" t="str">
        <f>IFERROR(__xludf.DUMMYFUNCTION("""COMPUTED_VALUE"""),"Moms, it's summertime and you know that coffee is survival.")</f>
        <v>Moms, it's summertime and you know that coffee is survival.</v>
      </c>
      <c r="AS115" s="55" t="str">
        <f>IFERROR(__xludf.DUMMYFUNCTION("""COMPUTED_VALUE"""),"General / Lifestyle")</f>
        <v>General / Lifestyle</v>
      </c>
      <c r="AT115" s="55" t="str">
        <f>IFERROR(__xludf.DUMMYFUNCTION("""COMPUTED_VALUE"""),"• It combines coffee with ashwagandha, l-theanine, turmeric, and functional mushrooms in one cup.
• And then I found Vodum Ashgawanda coffee on target.com while I was scrolling one morning.
• It just feels like a simple upgrade to my morning and the routi"&amp;"ne is already feels so full.
• There's dishes going, laundry going, snacks disappearing.")</f>
        <v>• It combines coffee with ashwagandha, l-theanine, turmeric, and functional mushrooms in one cup.
• And then I found Vodum Ashgawanda coffee on target.com while I was scrolling one morning.
• It just feels like a simple upgrade to my morning and the routine is already feels so full.
• There's dishes going, laundry going, snacks disappearing.</v>
      </c>
      <c r="AU115" s="55" t="str">
        <f>IFERROR(__xludf.DUMMYFUNCTION("""COMPUTED_VALUE"""),"I found it on target.com, but it's also sold in Target stores nationwide.")</f>
        <v>I found it on target.com, but it's also sold in Target stores nationwide.</v>
      </c>
      <c r="AV115" s="55" t="str">
        <f>IFERROR(__xludf.DUMMYFUNCTION("""COMPUTED_VALUE"""),"Moms, it's summertime and you know that coffee is survival. There's dishes going, laundry going, snacks disappearing. It's non-stop. And yet somehow you're supposed to function like a normal energized human. And then I found Vodum Ashgawanda coffee on tar"&amp;"get.com while I was scrolling one morning. It combines coffee with ashwagandha, l-theanine, turmeric, and functional mushrooms in one cup. It just feels like a simple upgrade to my morning and the routine is already feels so full. I found it on target.com"&amp;", but it's also sold in Target stores nationwide. You know, if you're into that easy wellness swap, this is definitely something to look at.")</f>
        <v>Moms, it's summertime and you know that coffee is survival. There's dishes going, laundry going, snacks disappearing. It's non-stop. And yet somehow you're supposed to function like a normal energized human. And then I found Vodum Ashgawanda coffee on target.com while I was scrolling one morning. It combines coffee with ashwagandha, l-theanine, turmeric, and functional mushrooms in one cup. It just feels like a simple upgrade to my morning and the routine is already feels so full. I found it on target.com, but it's also sold in Target stores nationwide. You know, if you're into that easy wellness swap, this is definitely something to look at.</v>
      </c>
      <c r="AW115" s="35"/>
      <c r="AX115" s="35"/>
      <c r="AY115" s="35"/>
      <c r="AZ115" s="35"/>
      <c r="BA115" s="35"/>
      <c r="BB115" s="35"/>
      <c r="BC115" s="35"/>
      <c r="BD115" s="35"/>
      <c r="BE115" s="35"/>
      <c r="BF115" s="35"/>
      <c r="BG115" s="35"/>
    </row>
    <row r="116" ht="15.75" customHeight="1">
      <c r="A116" s="55" t="str">
        <f>IFERROR(__xludf.DUMMYFUNCTION("""COMPUTED_VALUE"""),"Tiktok")</f>
        <v>Tiktok</v>
      </c>
      <c r="B116" s="56">
        <f>IFERROR(__xludf.DUMMYFUNCTION("""COMPUTED_VALUE"""),46190.0)</f>
        <v>46190</v>
      </c>
      <c r="C116" s="55" t="str">
        <f>IFERROR(__xludf.DUMMYFUNCTION("""COMPUTED_VALUE"""),"June")</f>
        <v>June</v>
      </c>
      <c r="D116" s="58" t="str">
        <f>IFERROR(__xludf.DUMMYFUNCTION("""COMPUTED_VALUE"""),"https://www.tiktok.com/@fecravo/video/7652411498526035214")</f>
        <v>https://www.tiktok.com/@fecravo/video/7652411498526035214</v>
      </c>
      <c r="E116" s="55" t="str">
        <f>IFERROR(__xludf.DUMMYFUNCTION("""COMPUTED_VALUE"""),"@fecravo")</f>
        <v>@fecravo</v>
      </c>
      <c r="F116" s="55" t="str">
        <f>IFERROR(__xludf.DUMMYFUNCTION("""COMPUTED_VALUE"""),"Fernanda Cravo")</f>
        <v>Fernanda Cravo</v>
      </c>
      <c r="G116" s="55" t="str">
        <f>IFERROR(__xludf.DUMMYFUNCTION("""COMPUTED_VALUE"""),"Over 40/ High Performer")</f>
        <v>Over 40/ High Performer</v>
      </c>
      <c r="H116" s="55">
        <f>IFERROR(__xludf.DUMMYFUNCTION("""COMPUTED_VALUE"""),33.0)</f>
        <v>33</v>
      </c>
      <c r="I116" s="55">
        <f>IFERROR(__xludf.DUMMYFUNCTION("""COMPUTED_VALUE"""),8.5)</f>
        <v>8.5</v>
      </c>
      <c r="J116" s="55" t="str">
        <f>IFERROR(__xludf.DUMMYFUNCTION("""COMPUTED_VALUE"""),"No")</f>
        <v>No</v>
      </c>
      <c r="K116" s="55" t="str">
        <f>IFERROR(__xludf.DUMMYFUNCTION("""COMPUTED_VALUE"""),"No")</f>
        <v>No</v>
      </c>
      <c r="L116" s="55" t="str">
        <f>IFERROR(__xludf.DUMMYFUNCTION("""COMPUTED_VALUE"""),"Score 9.9 | 6-sec 0.0% — below thresholds")</f>
        <v>Score 9.9 | 6-sec 0.0% — below thresholds</v>
      </c>
      <c r="M116" s="59" t="str">
        <f>IFERROR(__xludf.DUMMYFUNCTION("""COMPUTED_VALUE"""),"No Ad Data")</f>
        <v>No Ad Data</v>
      </c>
      <c r="N116" s="55"/>
      <c r="O116" s="55"/>
      <c r="P116" s="59">
        <f>IFERROR(__xludf.DUMMYFUNCTION("""COMPUTED_VALUE"""),81.0)</f>
        <v>81</v>
      </c>
      <c r="Q116" s="55"/>
      <c r="R116" s="59">
        <f>IFERROR(__xludf.DUMMYFUNCTION("""COMPUTED_VALUE"""),2.0)</f>
        <v>2</v>
      </c>
      <c r="S116" s="55"/>
      <c r="T116" s="68">
        <f>IFERROR(__xludf.DUMMYFUNCTION("""COMPUTED_VALUE"""),0.0)</f>
        <v>0</v>
      </c>
      <c r="U116" s="55"/>
      <c r="V116" s="62">
        <f>IFERROR(__xludf.DUMMYFUNCTION("""COMPUTED_VALUE"""),0.0)</f>
        <v>0</v>
      </c>
      <c r="W116" s="63">
        <f>IFERROR(__xludf.DUMMYFUNCTION("""COMPUTED_VALUE"""),117.58)</f>
        <v>117.58</v>
      </c>
      <c r="X116" s="59">
        <f>IFERROR(__xludf.DUMMYFUNCTION("""COMPUTED_VALUE"""),81.0)</f>
        <v>81</v>
      </c>
      <c r="Y116" s="55"/>
      <c r="Z116" s="59">
        <f>IFERROR(__xludf.DUMMYFUNCTION("""COMPUTED_VALUE"""),2.0)</f>
        <v>2</v>
      </c>
      <c r="AA116" s="55"/>
      <c r="AB116" s="55"/>
      <c r="AC116" s="55"/>
      <c r="AD116" s="55"/>
      <c r="AE116" s="55"/>
      <c r="AF116" s="55"/>
      <c r="AG116" s="55"/>
      <c r="AH116" s="55"/>
      <c r="AI116" s="55"/>
      <c r="AJ116" s="55"/>
      <c r="AK116" s="55"/>
      <c r="AL116" s="55"/>
      <c r="AM116" s="55" t="str">
        <f>IFERROR(__xludf.DUMMYFUNCTION("""COMPUTED_VALUE"""),"#foW/NQkDiyMdIdUdhDjAFv78XtIo3vMMZL+sf43JMK8/A7nIHyQ0Cm2XoNCcuz8=")</f>
        <v>#foW/NQkDiyMdIdUdhDjAFv78XtIo3vMMZL+sf43JMK8/A7nIHyQ0Cm2XoNCcuz8=</v>
      </c>
      <c r="AN116" s="55"/>
      <c r="AO116" s="58" t="str">
        <f>IFERROR(__xludf.DUMMYFUNCTION("""COMPUTED_VALUE"""),"https://us.brand.joinbrands.com/job/690497")</f>
        <v>https://us.brand.joinbrands.com/job/690497</v>
      </c>
      <c r="AP116" s="55" t="str">
        <f>IFERROR(__xludf.DUMMYFUNCTION("""COMPUTED_VALUE"""),"Reject - overpowering audio")</f>
        <v>Reject - overpowering audio</v>
      </c>
      <c r="AQ116" s="55" t="str">
        <f>IFERROR(__xludf.DUMMYFUNCTION("""COMPUTED_VALUE"""),"The percent match ðŸ«±ðŸ¼â€ðŸ«²ðŸ½ @target @VAHDAM USA #vahdam #coffeetiktok #wellnesstips #targetfinds #ugccreator")</f>
        <v>The percent match ðŸ«±ðŸ_x008f_¼â€_x008d_ðŸ«²ðŸ_x008f_½ @target @VAHDAM USA #vahdam #coffeetiktok #wellnesstips #targetfinds #ugccreator</v>
      </c>
      <c r="AR116" s="55" t="str">
        <f>IFERROR(__xludf.DUMMYFUNCTION("""COMPUTED_VALUE"""),"Wait, coffee with Ashwagandha?")</f>
        <v>Wait, coffee with Ashwagandha?</v>
      </c>
      <c r="AS116" s="55" t="str">
        <f>IFERROR(__xludf.DUMMYFUNCTION("""COMPUTED_VALUE"""),"Curiosity / Question")</f>
        <v>Curiosity / Question</v>
      </c>
      <c r="AT116" s="55" t="str">
        <f>IFERROR(__xludf.DUMMYFUNCTION("""COMPUTED_VALUE"""),"• This isn't just regular coffee, Vatan Ashwagandha coffee includes Ashwagandha, Lionel's Mane, Chaga, Turmeric, Elliot, PNN.
• Using drives to help support calmer energy and healthy cortisol levels.
• I recently found this coffee at Target and I love it,"&amp;" as it combines a lot of benefits in just one cup.
• So you're getting your coffee plus functional ingredients in every cup.")</f>
        <v>• This isn't just regular coffee, Vatan Ashwagandha coffee includes Ashwagandha, Lionel's Mane, Chaga, Turmeric, Elliot, PNN.
• Using drives to help support calmer energy and healthy cortisol levels.
• I recently found this coffee at Target and I love it, as it combines a lot of benefits in just one cup.
• So you're getting your coffee plus functional ingredients in every cup.</v>
      </c>
      <c r="AU116" s="55" t="str">
        <f>IFERROR(__xludf.DUMMYFUNCTION("""COMPUTED_VALUE"""),"And it's available in all Target stores throughout the US, so enjoy the next ride to Target and get one for you.")</f>
        <v>And it's available in all Target stores throughout the US, so enjoy the next ride to Target and get one for you.</v>
      </c>
      <c r="AV116" s="55" t="str">
        <f>IFERROR(__xludf.DUMMYFUNCTION("""COMPUTED_VALUE"""),"Wait, coffee with Ashwagandha? Sign me up! I recently found this coffee at Target and I love it, as it combines a lot of benefits in just one cup. This isn't just regular coffee, Vatan Ashwagandha coffee includes Ashwagandha, Lionel's Mane, Chaga, Turmeri"&amp;"c, Elliot, PNN. Using drives to help support calmer energy and healthy cortisol levels. So you're getting your coffee plus functional ingredients in every cup. It's a win-win. And it's available in all Target stores throughout the US, so enjoy the next ri"&amp;"de to Target and get one for you.")</f>
        <v>Wait, coffee with Ashwagandha? Sign me up! I recently found this coffee at Target and I love it, as it combines a lot of benefits in just one cup. This isn't just regular coffee, Vatan Ashwagandha coffee includes Ashwagandha, Lionel's Mane, Chaga, Turmeric, Elliot, PNN. Using drives to help support calmer energy and healthy cortisol levels. So you're getting your coffee plus functional ingredients in every cup. It's a win-win. And it's available in all Target stores throughout the US, so enjoy the next ride to Target and get one for you.</v>
      </c>
      <c r="AW116" s="35"/>
      <c r="AX116" s="35"/>
      <c r="AY116" s="35"/>
      <c r="AZ116" s="35"/>
      <c r="BA116" s="35"/>
      <c r="BB116" s="35"/>
      <c r="BC116" s="35"/>
      <c r="BD116" s="35"/>
      <c r="BE116" s="35"/>
      <c r="BF116" s="35"/>
      <c r="BG116" s="35"/>
    </row>
    <row r="117" ht="15.75" customHeight="1">
      <c r="A117" s="55" t="str">
        <f>IFERROR(__xludf.DUMMYFUNCTION("""COMPUTED_VALUE"""),"Tiktok")</f>
        <v>Tiktok</v>
      </c>
      <c r="B117" s="56">
        <f>IFERROR(__xludf.DUMMYFUNCTION("""COMPUTED_VALUE"""),46198.0)</f>
        <v>46198</v>
      </c>
      <c r="C117" s="55" t="str">
        <f>IFERROR(__xludf.DUMMYFUNCTION("""COMPUTED_VALUE"""),"June")</f>
        <v>June</v>
      </c>
      <c r="D117" s="58" t="str">
        <f>IFERROR(__xludf.DUMMYFUNCTION("""COMPUTED_VALUE"""),"https://www.tiktok.com/@lasmgb/video/7655314147235859719?is_from_webapp=1&amp;sender_device=pc")</f>
        <v>https://www.tiktok.com/@lasmgb/video/7655314147235859719?is_from_webapp=1&amp;sender_device=pc</v>
      </c>
      <c r="E117" s="55" t="str">
        <f>IFERROR(__xludf.DUMMYFUNCTION("""COMPUTED_VALUE"""),"@lasmgb")</f>
        <v>@lasmgb</v>
      </c>
      <c r="F117" s="55" t="str">
        <f>IFERROR(__xludf.DUMMYFUNCTION("""COMPUTED_VALUE"""),"Solanyi Gonzalez")</f>
        <v>Solanyi Gonzalez</v>
      </c>
      <c r="G117" s="55" t="str">
        <f>IFERROR(__xludf.DUMMYFUNCTION("""COMPUTED_VALUE"""),"Over 40/ High Performer")</f>
        <v>Over 40/ High Performer</v>
      </c>
      <c r="H117" s="55">
        <f>IFERROR(__xludf.DUMMYFUNCTION("""COMPUTED_VALUE"""),146.0)</f>
        <v>146</v>
      </c>
      <c r="I117" s="55">
        <f>IFERROR(__xludf.DUMMYFUNCTION("""COMPUTED_VALUE"""),5.4)</f>
        <v>5.4</v>
      </c>
      <c r="J117" s="55" t="str">
        <f>IFERROR(__xludf.DUMMYFUNCTION("""COMPUTED_VALUE"""),"No")</f>
        <v>No</v>
      </c>
      <c r="K117" s="55" t="str">
        <f>IFERROR(__xludf.DUMMYFUNCTION("""COMPUTED_VALUE"""),"No")</f>
        <v>No</v>
      </c>
      <c r="L117" s="55" t="str">
        <f>IFERROR(__xludf.DUMMYFUNCTION("""COMPUTED_VALUE"""),"Score 7.0 | 6-sec 0.0% — below thresholds")</f>
        <v>Score 7.0 | 6-sec 0.0% — below thresholds</v>
      </c>
      <c r="M117" s="59" t="str">
        <f>IFERROR(__xludf.DUMMYFUNCTION("""COMPUTED_VALUE"""),"No Ad Data")</f>
        <v>No Ad Data</v>
      </c>
      <c r="N117" s="55"/>
      <c r="O117" s="55"/>
      <c r="P117" s="59">
        <f>IFERROR(__xludf.DUMMYFUNCTION("""COMPUTED_VALUE"""),80.0)</f>
        <v>80</v>
      </c>
      <c r="Q117" s="55"/>
      <c r="R117" s="59">
        <f>IFERROR(__xludf.DUMMYFUNCTION("""COMPUTED_VALUE"""),0.0)</f>
        <v>0</v>
      </c>
      <c r="S117" s="55"/>
      <c r="T117" s="68">
        <f>IFERROR(__xludf.DUMMYFUNCTION("""COMPUTED_VALUE"""),0.0)</f>
        <v>0</v>
      </c>
      <c r="U117" s="55"/>
      <c r="V117" s="62">
        <f>IFERROR(__xludf.DUMMYFUNCTION("""COMPUTED_VALUE"""),0.0)</f>
        <v>0</v>
      </c>
      <c r="W117" s="63">
        <f>IFERROR(__xludf.DUMMYFUNCTION("""COMPUTED_VALUE"""),117.58)</f>
        <v>117.58</v>
      </c>
      <c r="X117" s="59">
        <f>IFERROR(__xludf.DUMMYFUNCTION("""COMPUTED_VALUE"""),80.0)</f>
        <v>80</v>
      </c>
      <c r="Y117" s="55"/>
      <c r="Z117" s="59">
        <f>IFERROR(__xludf.DUMMYFUNCTION("""COMPUTED_VALUE"""),0.0)</f>
        <v>0</v>
      </c>
      <c r="AA117" s="55"/>
      <c r="AB117" s="55"/>
      <c r="AC117" s="55"/>
      <c r="AD117" s="55"/>
      <c r="AE117" s="55"/>
      <c r="AF117" s="55"/>
      <c r="AG117" s="55"/>
      <c r="AH117" s="55"/>
      <c r="AI117" s="55"/>
      <c r="AJ117" s="55"/>
      <c r="AK117" s="55"/>
      <c r="AL117" s="55"/>
      <c r="AM117" s="55" t="str">
        <f>IFERROR(__xludf.DUMMYFUNCTION("""COMPUTED_VALUE"""),"#GxkYwWf7S7rCNb323HCuHi74Ee2s5hw62jvOBawOPHDbxAJEn9glfgmI0RjrOrA=")</f>
        <v>#GxkYwWf7S7rCNb323HCuHi74Ee2s5hw62jvOBawOPHDbxAJEn9glfgmI0RjrOrA=</v>
      </c>
      <c r="AN117" s="55"/>
      <c r="AO117" s="58" t="str">
        <f>IFERROR(__xludf.DUMMYFUNCTION("""COMPUTED_VALUE"""),"https://us.brand.joinbrands.com/job/691114")</f>
        <v>https://us.brand.joinbrands.com/job/691114</v>
      </c>
      <c r="AP117" s="55" t="str">
        <f>IFERROR(__xludf.DUMMYFUNCTION("""COMPUTED_VALUE"""),"NA")</f>
        <v>NA</v>
      </c>
      <c r="AQ117" s="55" t="str">
        <f>IFERROR(__xludf.DUMMYFUNCTION("""COMPUTED_VALUE"""),"Probando el Ashwagandha Coffee de @vahdamtea â˜•ï¸ Lo conseguÃ­ en @Target... â€¢ Hashtags: #VahdamPartner #Ad #TargetFinds #vahdamusa")</f>
        <v>Probando el Ashwagandha Coffee de @vahdamtea â˜•ï¸_x008f_ Lo conseguÃ­ en @Target... â€¢ Hashtags: #VahdamPartner #Ad #TargetFinds #vahdamusa</v>
      </c>
      <c r="AR117" s="55" t="str">
        <f>IFERROR(__xludf.DUMMYFUNCTION("""COMPUTED_VALUE"""),"QuerÃ­a contarles que a veces a mÃ­ me da deseo de tomar cafÃ© en la noche, 6, 7 de la noche.")</f>
        <v>QuerÃ­a contarles que a veces a mÃ­ me da deseo de tomar cafÃ© en la noche, 6, 7 de la noche.</v>
      </c>
      <c r="AS117" s="55" t="str">
        <f>IFERROR(__xludf.DUMMYFUNCTION("""COMPUTED_VALUE"""),"General / Lifestyle")</f>
        <v>General / Lifestyle</v>
      </c>
      <c r="AT117" s="55" t="str">
        <f>IFERROR(__xludf.DUMMYFUNCTION("""COMPUTED_VALUE"""),"• Entonces, busquÃ© muchas alternativas hasta que encontrÃ© en Target este cafÃ©. ustedes lo van a amar porque aparte de que satisface las necesidades de la cafeÃ­na, de uno tomarse su cafecito tambiÃ©n es saludable miren, este es el cafÃ© les digo que es"&amp;" saludable porque contiene ashwagandha el ashwagandha ayuda con el estrÃ©s fÃ­sico y mental regulando el cortisol aparte que tiene cÃºrcuma La cÃºrcuma apoya la salud de nuestro hÃ­gado, tambiÃ©n es antiinflamatorio.
• La melena de le que ayuda a nuestra "&amp;"salud digestiva y la chaga que promueve la salud de nuestra piel Entonces yo me tomo mi caf todos los d Ya yo no tomo caf regular Caf regular ya para m no me gusta Me gusta mÃ¡s este cafÃ©.
• Entonces, cuando lo tomaba para dormir, era un problema porque "&amp;"me desvelaba la cafeÃ­na tremendo.
• Yo le echo una sola cucharita porque me gusta el cafÃ© claro.")</f>
        <v>• Entonces, busquÃ© muchas alternativas hasta que encontrÃ© en Target este cafÃ©. ustedes lo van a amar porque aparte de que satisface las necesidades de la cafeÃ­na, de uno tomarse su cafecito tambiÃ©n es saludable miren, este es el cafÃ© les digo que es saludable porque contiene ashwagandha el ashwagandha ayuda con el estrÃ©s fÃ­sico y mental regulando el cortisol aparte que tiene cÃºrcuma La cÃºrcuma apoya la salud de nuestro hÃ­gado, tambiÃ©n es antiinflamatorio.
• La melena de le que ayuda a nuestra salud digestiva y la chaga que promueve la salud de nuestra piel Entonces yo me tomo mi caf todos los d Ya yo no tomo caf regular Caf regular ya para m no me gusta Me gusta mÃ¡s este cafÃ©.
• Entonces, cuando lo tomaba para dormir, era un problema porque me desvelaba la cafeÃ­na tremendo.
• Yo le echo una sola cucharita porque me gusta el cafÃ© claro.</v>
      </c>
      <c r="AU117" s="55" t="str">
        <f>IFERROR(__xludf.DUMMYFUNCTION("""COMPUTED_VALUE"""),"No se van a arrepentir.")</f>
        <v>No se van a arrepentir.</v>
      </c>
      <c r="AV117" s="55" t="str">
        <f>IFERROR(__xludf.DUMMYFUNCTION("""COMPUTED_VALUE"""),"QuerÃ­a contarles que a veces a mÃ­ me da deseo de tomar cafÃ© en la noche, 6, 7 de la noche. Entonces, cuando lo tomaba para dormir, era un problema porque me desvelaba la cafeÃ­na tremendo. Entonces, busquÃ© muchas alternativas hasta que encontrÃ© en Ta"&amp;"rget este cafÃ©. ustedes lo van a amar porque aparte de que satisface las necesidades de la cafeÃ­na, de uno tomarse su cafecito tambiÃ©n es saludable miren, este es el cafÃ© les digo que es saludable porque contiene ashwagandha el ashwagandha ayuda con e"&amp;"l estrÃ©s fÃ­sico y mental regulando el cortisol aparte que tiene cÃºrcuma La cÃºrcuma apoya la salud de nuestro hÃ­gado, tambiÃ©n es antiinflamatorio. La melena de le que ayuda a nuestra salud digestiva y la chaga que promueve la salud de nuestra piel En"&amp;"tonces yo me tomo mi caf todos los d Ya yo no tomo caf regular Caf regular ya para m no me gusta Me gusta mÃ¡s este cafÃ©. Yo le echo una sola cucharita porque me gusta el cafÃ© claro. Pero usted le puede echar dos. lo puede hacer cafÃ© frÃ­o, lo puede ha"&amp;"cer con leche. Si quiere leche, azÃºcar, yo no le echo azÃºcar. Y me tomo mi cafÃ©, delicioso. Delicioso este cafÃ©. Sabe puro cafÃ© y es saludable. EstÃ¡ disponible en todas las tiendas de Target. AhÃ­ lo pueden conseguir. Yo lo comprÃ©. Yo lo pedÃ­ en T"&amp;"arget. Siempre voy y lo compro, pero esta vez lo pedÃ­ y me llegÃ³ muy rÃ¡pido. Delicioso. No se van a arrepentir.")</f>
        <v>QuerÃ­a contarles que a veces a mÃ­ me da deseo de tomar cafÃ© en la noche, 6, 7 de la noche. Entonces, cuando lo tomaba para dormir, era un problema porque me desvelaba la cafeÃ­na tremendo. Entonces, busquÃ© muchas alternativas hasta que encontrÃ© en Target este cafÃ©. ustedes lo van a amar porque aparte de que satisface las necesidades de la cafeÃ­na, de uno tomarse su cafecito tambiÃ©n es saludable miren, este es el cafÃ© les digo que es saludable porque contiene ashwagandha el ashwagandha ayuda con el estrÃ©s fÃ­sico y mental regulando el cortisol aparte que tiene cÃºrcuma La cÃºrcuma apoya la salud de nuestro hÃ­gado, tambiÃ©n es antiinflamatorio. La melena de le que ayuda a nuestra salud digestiva y la chaga que promueve la salud de nuestra piel Entonces yo me tomo mi caf todos los d Ya yo no tomo caf regular Caf regular ya para m no me gusta Me gusta mÃ¡s este cafÃ©. Yo le echo una sola cucharita porque me gusta el cafÃ© claro. Pero usted le puede echar dos. lo puede hacer cafÃ© frÃ­o, lo puede hacer con leche. Si quiere leche, azÃºcar, yo no le echo azÃºcar. Y me tomo mi cafÃ©, delicioso. Delicioso este cafÃ©. Sabe puro cafÃ© y es saludable. EstÃ¡ disponible en todas las tiendas de Target. AhÃ­ lo pueden conseguir. Yo lo comprÃ©. Yo lo pedÃ­ en Target. Siempre voy y lo compro, pero esta vez lo pedÃ­ y me llegÃ³ muy rÃ¡pido. Delicioso. No se van a arrepentir.</v>
      </c>
      <c r="AW117" s="35"/>
      <c r="AX117" s="35"/>
      <c r="AY117" s="35"/>
      <c r="AZ117" s="35"/>
      <c r="BA117" s="35"/>
      <c r="BB117" s="35"/>
      <c r="BC117" s="35"/>
      <c r="BD117" s="35"/>
      <c r="BE117" s="35"/>
      <c r="BF117" s="35"/>
      <c r="BG117" s="35"/>
    </row>
    <row r="118" ht="15.75" customHeight="1">
      <c r="A118" s="55" t="str">
        <f>IFERROR(__xludf.DUMMYFUNCTION("""COMPUTED_VALUE"""),"Instagram")</f>
        <v>Instagram</v>
      </c>
      <c r="B118" s="56">
        <f>IFERROR(__xludf.DUMMYFUNCTION("""COMPUTED_VALUE"""),46198.0)</f>
        <v>46198</v>
      </c>
      <c r="C118" s="55" t="str">
        <f>IFERROR(__xludf.DUMMYFUNCTION("""COMPUTED_VALUE"""),"June")</f>
        <v>June</v>
      </c>
      <c r="D118" s="58" t="str">
        <f>IFERROR(__xludf.DUMMYFUNCTION("""COMPUTED_VALUE"""),"https://www.instagram.com/reel/DZ-X1OLB3T6/")</f>
        <v>https://www.instagram.com/reel/DZ-X1OLB3T6/</v>
      </c>
      <c r="E118" s="55" t="str">
        <f>IFERROR(__xludf.DUMMYFUNCTION("""COMPUTED_VALUE"""),"@na")</f>
        <v>@na</v>
      </c>
      <c r="F118" s="55" t="str">
        <f>IFERROR(__xludf.DUMMYFUNCTION("""COMPUTED_VALUE"""),"NA")</f>
        <v>NA</v>
      </c>
      <c r="G118" s="55" t="str">
        <f>IFERROR(__xludf.DUMMYFUNCTION("""COMPUTED_VALUE"""),"Taste")</f>
        <v>Taste</v>
      </c>
      <c r="H118" s="55">
        <f>IFERROR(__xludf.DUMMYFUNCTION("""COMPUTED_VALUE"""),50.0)</f>
        <v>50</v>
      </c>
      <c r="I118" s="55">
        <f>IFERROR(__xludf.DUMMYFUNCTION("""COMPUTED_VALUE"""),11.1)</f>
        <v>11.1</v>
      </c>
      <c r="J118" s="55" t="str">
        <f>IFERROR(__xludf.DUMMYFUNCTION("""COMPUTED_VALUE"""),"No")</f>
        <v>No</v>
      </c>
      <c r="K118" s="55" t="str">
        <f>IFERROR(__xludf.DUMMYFUNCTION("""COMPUTED_VALUE"""),"No")</f>
        <v>No</v>
      </c>
      <c r="L118" s="55" t="str">
        <f>IFERROR(__xludf.DUMMYFUNCTION("""COMPUTED_VALUE"""),"Score 11.6 — below threshold")</f>
        <v>Score 11.6 — below threshold</v>
      </c>
      <c r="M118" s="59" t="str">
        <f>IFERROR(__xludf.DUMMYFUNCTION("""COMPUTED_VALUE"""),"No Ad Data")</f>
        <v>No Ad Data</v>
      </c>
      <c r="N118" s="55"/>
      <c r="O118" s="55"/>
      <c r="P118" s="59">
        <f>IFERROR(__xludf.DUMMYFUNCTION("""COMPUTED_VALUE"""),76.0)</f>
        <v>76</v>
      </c>
      <c r="Q118" s="59">
        <f>IFERROR(__xludf.DUMMYFUNCTION("""COMPUTED_VALUE"""),3.0)</f>
        <v>3</v>
      </c>
      <c r="R118" s="59">
        <f>IFERROR(__xludf.DUMMYFUNCTION("""COMPUTED_VALUE"""),0.0)</f>
        <v>0</v>
      </c>
      <c r="S118" s="55"/>
      <c r="T118" s="68">
        <f>IFERROR(__xludf.DUMMYFUNCTION("""COMPUTED_VALUE"""),0.0)</f>
        <v>0</v>
      </c>
      <c r="U118" s="55"/>
      <c r="V118" s="62">
        <f>IFERROR(__xludf.DUMMYFUNCTION("""COMPUTED_VALUE"""),0.0)</f>
        <v>0</v>
      </c>
      <c r="W118" s="63">
        <f>IFERROR(__xludf.DUMMYFUNCTION("""COMPUTED_VALUE"""),117.58)</f>
        <v>117.58</v>
      </c>
      <c r="X118" s="59">
        <f>IFERROR(__xludf.DUMMYFUNCTION("""COMPUTED_VALUE"""),76.0)</f>
        <v>76</v>
      </c>
      <c r="Y118" s="59">
        <f>IFERROR(__xludf.DUMMYFUNCTION("""COMPUTED_VALUE"""),3.0)</f>
        <v>3</v>
      </c>
      <c r="Z118" s="59">
        <f>IFERROR(__xludf.DUMMYFUNCTION("""COMPUTED_VALUE"""),0.0)</f>
        <v>0</v>
      </c>
      <c r="AA118" s="59">
        <f>IFERROR(__xludf.DUMMYFUNCTION("""COMPUTED_VALUE"""),0.0)</f>
        <v>0</v>
      </c>
      <c r="AB118" s="64">
        <f>IFERROR(__xludf.DUMMYFUNCTION("""COMPUTED_VALUE"""),0.0)</f>
        <v>0</v>
      </c>
      <c r="AC118" s="62">
        <f>IFERROR(__xludf.DUMMYFUNCTION("""COMPUTED_VALUE"""),0.0)</f>
        <v>0</v>
      </c>
      <c r="AD118" s="62">
        <f>IFERROR(__xludf.DUMMYFUNCTION("""COMPUTED_VALUE"""),0.0)</f>
        <v>0</v>
      </c>
      <c r="AE118" s="62">
        <f>IFERROR(__xludf.DUMMYFUNCTION("""COMPUTED_VALUE"""),0.0)</f>
        <v>0</v>
      </c>
      <c r="AF118" s="55"/>
      <c r="AG118" s="55"/>
      <c r="AH118" s="55"/>
      <c r="AI118" s="55"/>
      <c r="AJ118" s="55"/>
      <c r="AK118" s="55"/>
      <c r="AL118" s="55"/>
      <c r="AM118" s="55" t="str">
        <f>IFERROR(__xludf.DUMMYFUNCTION("""COMPUTED_VALUE"""),"Q9jTBBW1D6iARKifKSWAQtqF7Ur4iXmQd_1UOtjekxfgbx0VaY8OkbD-y_fTbLM22w")</f>
        <v>Q9jTBBW1D6iARKifKSWAQtqF7Ur4iXmQd_1UOtjekxfgbx0VaY8OkbD-y_fTbLM22w</v>
      </c>
      <c r="AN118" s="55"/>
      <c r="AO118" s="55" t="str">
        <f>IFERROR(__xludf.DUMMYFUNCTION("""COMPUTED_VALUE"""),"NA")</f>
        <v>NA</v>
      </c>
      <c r="AP118" s="55" t="str">
        <f>IFERROR(__xludf.DUMMYFUNCTION("""COMPUTED_VALUE"""),"NA")</f>
        <v>NA</v>
      </c>
      <c r="AQ118" s="55" t="str">
        <f>IFERROR(__xludf.DUMMYFUNCTION("""COMPUTED_VALUE"""),"NA")</f>
        <v>NA</v>
      </c>
      <c r="AR118" s="55" t="str">
        <f>IFERROR(__xludf.DUMMYFUNCTION("""COMPUTED_VALUE"""),"If you're a mom who needs coffee to function but hates the jitters, Target just dropped something you need to see.")</f>
        <v>If you're a mom who needs coffee to function but hates the jitters, Target just dropped something you need to see.</v>
      </c>
      <c r="AS118" s="55" t="str">
        <f>IFERROR(__xludf.DUMMYFUNCTION("""COMPUTED_VALUE"""),"Problem / Pain Point")</f>
        <v>Problem / Pain Point</v>
      </c>
      <c r="AT118" s="55" t="str">
        <f>IFERROR(__xludf.DUMMYFUNCTION("""COMPUTED_VALUE"""),"• It's got KSM 66 Ashwagandha, Lion's Mane, Chaga mushrooms, L-theanine and turmeric.
• So I was at Target two weeks ago and I saw this Vartam Ashwagandha coffee.
• This is the first time a wellness coffee has actually done what it promised.
• I was calm,"&amp;" focused.")</f>
        <v>• It's got KSM 66 Ashwagandha, Lion's Mane, Chaga mushrooms, L-theanine and turmeric.
• So I was at Target two weeks ago and I saw this Vartam Ashwagandha coffee.
• This is the first time a wellness coffee has actually done what it promised.
• I was calm, focused.</v>
      </c>
      <c r="AU118" s="55" t="str">
        <f>IFERROR(__xludf.DUMMYFUNCTION("""COMPUTED_VALUE"""),"So if you are a tired mom or just a tired person who needs coffee, but hates that it does to you, go to Target.")</f>
        <v>So if you are a tired mom or just a tired person who needs coffee, but hates that it does to you, go to Target.</v>
      </c>
      <c r="AV118" s="55" t="str">
        <f>IFERROR(__xludf.DUMMYFUNCTION("""COMPUTED_VALUE"""),"If you're a mom who needs coffee to function but hates the jitters, Target just dropped something you need to see. So I was at Target two weeks ago and I saw this Vartam Ashwagandha coffee. It's got KSM 66 Ashwagandha, Lion's Mane, Chaga mushrooms, L-thea"&amp;"nine and turmeric. Basically everything my nervous system has been begging for. I just finished my first pack and I ordered the next one online. I had three cups yesterday. No jitters, no crush. I was calm, focused. I got from my work. I got through dinne"&amp;"r, got through bedtime without feeling like I was running on fumes and panic. This is the first time a wellness coffee has actually done what it promised. So if you are a tired mom or just a tired person who needs coffee, but hates that it does to you, go"&amp;" to Target.")</f>
        <v>If you're a mom who needs coffee to function but hates the jitters, Target just dropped something you need to see. So I was at Target two weeks ago and I saw this Vartam Ashwagandha coffee. It's got KSM 66 Ashwagandha, Lion's Mane, Chaga mushrooms, L-theanine and turmeric. Basically everything my nervous system has been begging for. I just finished my first pack and I ordered the next one online. I had three cups yesterday. No jitters, no crush. I was calm, focused. I got from my work. I got through dinner, got through bedtime without feeling like I was running on fumes and panic. This is the first time a wellness coffee has actually done what it promised. So if you are a tired mom or just a tired person who needs coffee, but hates that it does to you, go to Target.</v>
      </c>
      <c r="AW118" s="35"/>
      <c r="AX118" s="35"/>
      <c r="AY118" s="35"/>
      <c r="AZ118" s="35"/>
      <c r="BA118" s="35"/>
      <c r="BB118" s="35"/>
      <c r="BC118" s="35"/>
      <c r="BD118" s="35"/>
      <c r="BE118" s="35"/>
      <c r="BF118" s="35"/>
      <c r="BG118" s="35"/>
    </row>
    <row r="119" ht="15.75" customHeight="1">
      <c r="A119" s="55" t="str">
        <f>IFERROR(__xludf.DUMMYFUNCTION("""COMPUTED_VALUE"""),"Tiktok")</f>
        <v>Tiktok</v>
      </c>
      <c r="B119" s="56">
        <f>IFERROR(__xludf.DUMMYFUNCTION("""COMPUTED_VALUE"""),46197.0)</f>
        <v>46197</v>
      </c>
      <c r="C119" s="55" t="str">
        <f>IFERROR(__xludf.DUMMYFUNCTION("""COMPUTED_VALUE"""),"June")</f>
        <v>June</v>
      </c>
      <c r="D119" s="58" t="str">
        <f>IFERROR(__xludf.DUMMYFUNCTION("""COMPUTED_VALUE"""),"https://www.tiktok.com/@are.wahoo/video/7655005795507096846?_r=1&amp;_t=ZT-97UMJDjkNDC")</f>
        <v>https://www.tiktok.com/@are.wahoo/video/7655005795507096846?_r=1&amp;_t=ZT-97UMJDjkNDC</v>
      </c>
      <c r="E119" s="55" t="str">
        <f>IFERROR(__xludf.DUMMYFUNCTION("""COMPUTED_VALUE"""),"@are.wahoo")</f>
        <v>@are.wahoo</v>
      </c>
      <c r="F119" s="55" t="str">
        <f>IFERROR(__xludf.DUMMYFUNCTION("""COMPUTED_VALUE"""),"NA")</f>
        <v>NA</v>
      </c>
      <c r="G119" s="55" t="str">
        <f>IFERROR(__xludf.DUMMYFUNCTION("""COMPUTED_VALUE"""),"NA")</f>
        <v>NA</v>
      </c>
      <c r="H119" s="55">
        <f>IFERROR(__xludf.DUMMYFUNCTION("""COMPUTED_VALUE"""),60.0)</f>
        <v>60</v>
      </c>
      <c r="I119" s="55">
        <f>IFERROR(__xludf.DUMMYFUNCTION("""COMPUTED_VALUE"""),5.2)</f>
        <v>5.2</v>
      </c>
      <c r="J119" s="55" t="str">
        <f>IFERROR(__xludf.DUMMYFUNCTION("""COMPUTED_VALUE"""),"No")</f>
        <v>No</v>
      </c>
      <c r="K119" s="55" t="str">
        <f>IFERROR(__xludf.DUMMYFUNCTION("""COMPUTED_VALUE"""),"No")</f>
        <v>No</v>
      </c>
      <c r="L119" s="55" t="str">
        <f>IFERROR(__xludf.DUMMYFUNCTION("""COMPUTED_VALUE"""),"Score 6.7 | 6-sec 0.0% — below thresholds")</f>
        <v>Score 6.7 | 6-sec 0.0% — below thresholds</v>
      </c>
      <c r="M119" s="59" t="str">
        <f>IFERROR(__xludf.DUMMYFUNCTION("""COMPUTED_VALUE"""),"No Ad Data")</f>
        <v>No Ad Data</v>
      </c>
      <c r="N119" s="55"/>
      <c r="O119" s="55"/>
      <c r="P119" s="59">
        <f>IFERROR(__xludf.DUMMYFUNCTION("""COMPUTED_VALUE"""),69.0)</f>
        <v>69</v>
      </c>
      <c r="Q119" s="59">
        <f>IFERROR(__xludf.DUMMYFUNCTION("""COMPUTED_VALUE"""),0.0)</f>
        <v>0</v>
      </c>
      <c r="R119" s="59">
        <f>IFERROR(__xludf.DUMMYFUNCTION("""COMPUTED_VALUE"""),0.0)</f>
        <v>0</v>
      </c>
      <c r="S119" s="62">
        <f>IFERROR(__xludf.DUMMYFUNCTION("""COMPUTED_VALUE"""),0.0)</f>
        <v>0</v>
      </c>
      <c r="T119" s="62">
        <f>IFERROR(__xludf.DUMMYFUNCTION("""COMPUTED_VALUE"""),0.0)</f>
        <v>0</v>
      </c>
      <c r="U119" s="64">
        <f>IFERROR(__xludf.DUMMYFUNCTION("""COMPUTED_VALUE"""),0.0)</f>
        <v>0</v>
      </c>
      <c r="V119" s="62">
        <f>IFERROR(__xludf.DUMMYFUNCTION("""COMPUTED_VALUE"""),0.0)</f>
        <v>0</v>
      </c>
      <c r="W119" s="63">
        <f>IFERROR(__xludf.DUMMYFUNCTION("""COMPUTED_VALUE"""),117.58)</f>
        <v>117.58</v>
      </c>
      <c r="X119" s="59">
        <f>IFERROR(__xludf.DUMMYFUNCTION("""COMPUTED_VALUE"""),69.0)</f>
        <v>69</v>
      </c>
      <c r="Y119" s="59">
        <f>IFERROR(__xludf.DUMMYFUNCTION("""COMPUTED_VALUE"""),0.0)</f>
        <v>0</v>
      </c>
      <c r="Z119" s="59">
        <f>IFERROR(__xludf.DUMMYFUNCTION("""COMPUTED_VALUE"""),0.0)</f>
        <v>0</v>
      </c>
      <c r="AA119" s="59">
        <f>IFERROR(__xludf.DUMMYFUNCTION("""COMPUTED_VALUE"""),0.0)</f>
        <v>0</v>
      </c>
      <c r="AB119" s="64">
        <f>IFERROR(__xludf.DUMMYFUNCTION("""COMPUTED_VALUE"""),0.0)</f>
        <v>0</v>
      </c>
      <c r="AC119" s="62">
        <f>IFERROR(__xludf.DUMMYFUNCTION("""COMPUTED_VALUE"""),0.0)</f>
        <v>0</v>
      </c>
      <c r="AD119" s="62">
        <f>IFERROR(__xludf.DUMMYFUNCTION("""COMPUTED_VALUE"""),0.0)</f>
        <v>0</v>
      </c>
      <c r="AE119" s="62">
        <f>IFERROR(__xludf.DUMMYFUNCTION("""COMPUTED_VALUE"""),0.0)</f>
        <v>0</v>
      </c>
      <c r="AF119" s="55"/>
      <c r="AG119" s="55"/>
      <c r="AH119" s="55"/>
      <c r="AI119" s="55"/>
      <c r="AJ119" s="55"/>
      <c r="AK119" s="55"/>
      <c r="AL119" s="55"/>
      <c r="AM119" s="55" t="str">
        <f>IFERROR(__xludf.DUMMYFUNCTION("""COMPUTED_VALUE"""),"NA")</f>
        <v>NA</v>
      </c>
      <c r="AN119" s="55"/>
      <c r="AO119" s="55" t="str">
        <f>IFERROR(__xludf.DUMMYFUNCTION("""COMPUTED_VALUE"""),"NA")</f>
        <v>NA</v>
      </c>
      <c r="AP119" s="55" t="str">
        <f>IFERROR(__xludf.DUMMYFUNCTION("""COMPUTED_VALUE"""),"NA")</f>
        <v>NA</v>
      </c>
      <c r="AQ119" s="55" t="str">
        <f>IFERROR(__xludf.DUMMYFUNCTION("""COMPUTED_VALUE"""),"I never thought Iâ€™d be excited about coffee again, but this one is different. â˜•âœ¨ I recently swapped my regular coffee for VAHDAM Ashwagandha Coffee, and I love that it combines coffee with...")</f>
        <v>I never thought Iâ€™d be excited about coffee again, but this one is different. â˜•âœ¨ I recently swapped my regular coffee for VAHDAM Ashwagandha Coffee, and I love that it combines coffee with...</v>
      </c>
      <c r="AR119" s="55" t="str">
        <f>IFERROR(__xludf.DUMMYFUNCTION("""COMPUTED_VALUE"""),"If you're over 40, drink coffee every morning, and you're wondering why you're still exhausted, stressed, and carrying weight around your middle, list...")</f>
        <v>If you're over 40, drink coffee every morning, and you're wondering why you're still exhausted, stressed, and carrying weight around your middle, list...</v>
      </c>
      <c r="AS119" s="55" t="str">
        <f>IFERROR(__xludf.DUMMYFUNCTION("""COMPUTED_VALUE"""),"Age / Life Stage")</f>
        <v>Age / Life Stage</v>
      </c>
      <c r="AT119" s="55" t="str">
        <f>IFERROR(__xludf.DUMMYFUNCTION("""COMPUTED_VALUE"""),"• Every two cups gives you 300 mg of KSM66 Ashwagandha, plus Turmeric, L Theanine, Lion's Mane, and Chaga Functional Mushrooms.
• What I love is that I get my morning coffee, but I'm also getting ingredients that support a calmer, more focused feeling wit"&amp;"hout adding another step to my routine.
• It's real coffee, but upgraded with five wellness ingredients.
• As a woman my age, I'm paying a lot more attention to stress, cortisol, energy crashes, and just feeling more balanced throughout the day.")</f>
        <v>• Every two cups gives you 300 mg of KSM66 Ashwagandha, plus Turmeric, L Theanine, Lion's Mane, and Chaga Functional Mushrooms.
• What I love is that I get my morning coffee, but I'm also getting ingredients that support a calmer, more focused feeling without adding another step to my routine.
• It's real coffee, but upgraded with five wellness ingredients.
• As a woman my age, I'm paying a lot more attention to stress, cortisol, energy crashes, and just feeling more balanced throughout the day.</v>
      </c>
      <c r="AU119" s="55" t="str">
        <f>IFERROR(__xludf.DUMMYFUNCTION("""COMPUTED_VALUE"""),"I found mine at target, and it's available in target stores nationwide and on Target com.")</f>
        <v>I found mine at target, and it's available in target stores nationwide and on Target com.</v>
      </c>
      <c r="AV119" s="55" t="str">
        <f>IFERROR(__xludf.DUMMYFUNCTION("""COMPUTED_VALUE"""),"If you're over 40, drink coffee every morning, and you're wondering why you're still exhausted, stressed, and carrying weight around your middle, listen to this. I was already taking supplements like ashwagandha and trying to make smarter wellness choices"&amp;", but honestly, I did not want another handful of pills to remember every day. Then I found bottom ashwagandha coffee, and this is such a smart idea. It's real coffee, but upgraded with five wellness ingredients. Every two cups gives you 300 mg of KSM66 A"&amp;"shwagandha, plus Turmeric, L Theanine, Lion's Mane, and Chaga Functional Mushrooms. As a woman my age, I'm paying a lot more attention to stress, cortisol, energy crashes, and just feeling more balanced throughout the day. What I love is that I get my mor"&amp;"ning coffee, but I'm also getting ingredients that support a calmer, more focused feeling without adding another step to my routine. And the best part? It just tastes like delicious regular coffee. If I didn't know all the wellness ingredients were in her"&amp;"e, I just think this was a really good cup of coffee. I found mine at target, and it's available in target stores nationwide and on Target com. You definitely should add bottom to your routine today. It's so easy and so helpful.")</f>
        <v>If you're over 40, drink coffee every morning, and you're wondering why you're still exhausted, stressed, and carrying weight around your middle, listen to this. I was already taking supplements like ashwagandha and trying to make smarter wellness choices, but honestly, I did not want another handful of pills to remember every day. Then I found bottom ashwagandha coffee, and this is such a smart idea. It's real coffee, but upgraded with five wellness ingredients. Every two cups gives you 300 mg of KSM66 Ashwagandha, plus Turmeric, L Theanine, Lion's Mane, and Chaga Functional Mushrooms. As a woman my age, I'm paying a lot more attention to stress, cortisol, energy crashes, and just feeling more balanced throughout the day. What I love is that I get my morning coffee, but I'm also getting ingredients that support a calmer, more focused feeling without adding another step to my routine. And the best part? It just tastes like delicious regular coffee. If I didn't know all the wellness ingredients were in here, I just think this was a really good cup of coffee. I found mine at target, and it's available in target stores nationwide and on Target com. You definitely should add bottom to your routine today. It's so easy and so helpful.</v>
      </c>
      <c r="AW119" s="35"/>
      <c r="AX119" s="35"/>
      <c r="AY119" s="35"/>
      <c r="AZ119" s="35"/>
      <c r="BA119" s="35"/>
      <c r="BB119" s="35"/>
      <c r="BC119" s="35"/>
      <c r="BD119" s="35"/>
      <c r="BE119" s="35"/>
      <c r="BF119" s="35"/>
      <c r="BG119" s="35"/>
    </row>
    <row r="120" ht="15.75" customHeight="1">
      <c r="A120" s="55" t="str">
        <f>IFERROR(__xludf.DUMMYFUNCTION("""COMPUTED_VALUE"""),"Instagram")</f>
        <v>Instagram</v>
      </c>
      <c r="B120" s="56">
        <f>IFERROR(__xludf.DUMMYFUNCTION("""COMPUTED_VALUE"""),46197.0)</f>
        <v>46197</v>
      </c>
      <c r="C120" s="55" t="str">
        <f>IFERROR(__xludf.DUMMYFUNCTION("""COMPUTED_VALUE"""),"June")</f>
        <v>June</v>
      </c>
      <c r="D120" s="58" t="str">
        <f>IFERROR(__xludf.DUMMYFUNCTION("""COMPUTED_VALUE"""),"https://www.instagram.com/reel/DZ7-wwLRlcu/")</f>
        <v>https://www.instagram.com/reel/DZ7-wwLRlcu/</v>
      </c>
      <c r="E120" s="55" t="str">
        <f>IFERROR(__xludf.DUMMYFUNCTION("""COMPUTED_VALUE"""),"@na")</f>
        <v>@na</v>
      </c>
      <c r="F120" s="55" t="str">
        <f>IFERROR(__xludf.DUMMYFUNCTION("""COMPUTED_VALUE"""),"NA")</f>
        <v>NA</v>
      </c>
      <c r="G120" s="55" t="str">
        <f>IFERROR(__xludf.DUMMYFUNCTION("""COMPUTED_VALUE"""),"Over 40/ High Performer")</f>
        <v>Over 40/ High Performer</v>
      </c>
      <c r="H120" s="55">
        <f>IFERROR(__xludf.DUMMYFUNCTION("""COMPUTED_VALUE"""),61.0)</f>
        <v>61</v>
      </c>
      <c r="I120" s="55">
        <f>IFERROR(__xludf.DUMMYFUNCTION("""COMPUTED_VALUE"""),11.1)</f>
        <v>11.1</v>
      </c>
      <c r="J120" s="55" t="str">
        <f>IFERROR(__xludf.DUMMYFUNCTION("""COMPUTED_VALUE"""),"No")</f>
        <v>No</v>
      </c>
      <c r="K120" s="55" t="str">
        <f>IFERROR(__xludf.DUMMYFUNCTION("""COMPUTED_VALUE"""),"No")</f>
        <v>No</v>
      </c>
      <c r="L120" s="55" t="str">
        <f>IFERROR(__xludf.DUMMYFUNCTION("""COMPUTED_VALUE"""),"Score 11.5 — below threshold")</f>
        <v>Score 11.5 — below threshold</v>
      </c>
      <c r="M120" s="59" t="str">
        <f>IFERROR(__xludf.DUMMYFUNCTION("""COMPUTED_VALUE"""),"No Ad Data")</f>
        <v>No Ad Data</v>
      </c>
      <c r="N120" s="55"/>
      <c r="O120" s="55"/>
      <c r="P120" s="59">
        <f>IFERROR(__xludf.DUMMYFUNCTION("""COMPUTED_VALUE"""),63.0)</f>
        <v>63</v>
      </c>
      <c r="Q120" s="59">
        <f>IFERROR(__xludf.DUMMYFUNCTION("""COMPUTED_VALUE"""),2.0)</f>
        <v>2</v>
      </c>
      <c r="R120" s="59">
        <f>IFERROR(__xludf.DUMMYFUNCTION("""COMPUTED_VALUE"""),1.0)</f>
        <v>1</v>
      </c>
      <c r="S120" s="55"/>
      <c r="T120" s="68">
        <f>IFERROR(__xludf.DUMMYFUNCTION("""COMPUTED_VALUE"""),0.0)</f>
        <v>0</v>
      </c>
      <c r="U120" s="55"/>
      <c r="V120" s="62">
        <f>IFERROR(__xludf.DUMMYFUNCTION("""COMPUTED_VALUE"""),0.0)</f>
        <v>0</v>
      </c>
      <c r="W120" s="63">
        <f>IFERROR(__xludf.DUMMYFUNCTION("""COMPUTED_VALUE"""),117.58)</f>
        <v>117.58</v>
      </c>
      <c r="X120" s="59">
        <f>IFERROR(__xludf.DUMMYFUNCTION("""COMPUTED_VALUE"""),63.0)</f>
        <v>63</v>
      </c>
      <c r="Y120" s="59">
        <f>IFERROR(__xludf.DUMMYFUNCTION("""COMPUTED_VALUE"""),2.0)</f>
        <v>2</v>
      </c>
      <c r="Z120" s="59">
        <f>IFERROR(__xludf.DUMMYFUNCTION("""COMPUTED_VALUE"""),1.0)</f>
        <v>1</v>
      </c>
      <c r="AA120" s="59">
        <f>IFERROR(__xludf.DUMMYFUNCTION("""COMPUTED_VALUE"""),0.0)</f>
        <v>0</v>
      </c>
      <c r="AB120" s="64">
        <f>IFERROR(__xludf.DUMMYFUNCTION("""COMPUTED_VALUE"""),0.0)</f>
        <v>0</v>
      </c>
      <c r="AC120" s="62">
        <f>IFERROR(__xludf.DUMMYFUNCTION("""COMPUTED_VALUE"""),0.0)</f>
        <v>0</v>
      </c>
      <c r="AD120" s="62">
        <f>IFERROR(__xludf.DUMMYFUNCTION("""COMPUTED_VALUE"""),0.0)</f>
        <v>0</v>
      </c>
      <c r="AE120" s="62">
        <f>IFERROR(__xludf.DUMMYFUNCTION("""COMPUTED_VALUE"""),0.0)</f>
        <v>0</v>
      </c>
      <c r="AF120" s="55"/>
      <c r="AG120" s="55"/>
      <c r="AH120" s="55"/>
      <c r="AI120" s="55"/>
      <c r="AJ120" s="55"/>
      <c r="AK120" s="55"/>
      <c r="AL120" s="55"/>
      <c r="AM120" s="55" t="str">
        <f>IFERROR(__xludf.DUMMYFUNCTION("""COMPUTED_VALUE"""),"Q9jTBBV5YDmHgVORRgGF8VRfkLMRayK11oHxfKcBd9-sh05xkKmhsbt179QR7MymUw")</f>
        <v>Q9jTBBV5YDmHgVORRgGF8VRfkLMRayK11oHxfKcBd9-sh05xkKmhsbt179QR7MymUw</v>
      </c>
      <c r="AN120" s="55"/>
      <c r="AO120" s="55" t="str">
        <f>IFERROR(__xludf.DUMMYFUNCTION("""COMPUTED_VALUE"""),"NA")</f>
        <v>NA</v>
      </c>
      <c r="AP120" s="55" t="str">
        <f>IFERROR(__xludf.DUMMYFUNCTION("""COMPUTED_VALUE"""),"NA")</f>
        <v>NA</v>
      </c>
      <c r="AQ120" s="55" t="str">
        <f>IFERROR(__xludf.DUMMYFUNCTION("""COMPUTED_VALUE"""),"NA")</f>
        <v>NA</v>
      </c>
      <c r="AR120" s="55" t="str">
        <f>IFERROR(__xludf.DUMMYFUNCTION("""COMPUTED_VALUE"""),"At what point does wellness become a part-time job?")</f>
        <v>At what point does wellness become a part-time job?</v>
      </c>
      <c r="AS120" s="55" t="str">
        <f>IFERROR(__xludf.DUMMYFUNCTION("""COMPUTED_VALUE"""),"Curiosity / Question")</f>
        <v>Curiosity / Question</v>
      </c>
      <c r="AT120" s="55" t="str">
        <f>IFERROR(__xludf.DUMMYFUNCTION("""COMPUTED_VALUE"""),"• What I love is that it combines the coffee ingredients with things like ashwagandha, L-thiamine, lion's mane, chunga mushroom, and turmeric.
• Instead of adding another supplement to my routine, it's replacing the coffee I already drink every morning.
•"&amp;" And honestly, it tastes like delicious regular coffee.
• Every week feels like there's something new to add to my routine.")</f>
        <v>• What I love is that it combines the coffee ingredients with things like ashwagandha, L-thiamine, lion's mane, chunga mushroom, and turmeric.
• Instead of adding another supplement to my routine, it's replacing the coffee I already drink every morning.
• And honestly, it tastes like delicious regular coffee.
• Every week feels like there's something new to add to my routine.</v>
      </c>
      <c r="AU120" s="55" t="str">
        <f>IFERROR(__xludf.DUMMYFUNCTION("""COMPUTED_VALUE"""),"If your wellness routine is starting to look anything like mine, you can find Vadam Ashwagandha coffee at Target stores nationwide and on target.com.")</f>
        <v>If your wellness routine is starting to look anything like mine, you can find Vadam Ashwagandha coffee at Target stores nationwide and on target.com.</v>
      </c>
      <c r="AV120" s="55" t="str">
        <f>IFERROR(__xludf.DUMMYFUNCTION("""COMPUTED_VALUE"""),"At what point does wellness become a part-time job? Because this right here is getting ridiculous. I've got pills, powders, gummies, capsules. Every week feels like there's something new to add to my routine. This is why this coffee caught my attention. I"&amp;"nstead of adding another supplement to my routine, it's replacing the coffee I already drink every morning. What I love is that it combines the coffee ingredients with things like ashwagandha, L-thiamine, lion's mane, chunga mushroom, and turmeric. And ho"&amp;"nestly, it tastes like delicious regular coffee. If nobody had told me it had wellness ingredients in it, I just think I was drinking a really good cup of joe. That's my favorite part. If your wellness routine is starting to look anything like mine, you c"&amp;"an find Vadam Ashwagandha coffee at Target stores nationwide and on target.com.")</f>
        <v>At what point does wellness become a part-time job? Because this right here is getting ridiculous. I've got pills, powders, gummies, capsules. Every week feels like there's something new to add to my routine. This is why this coffee caught my attention. Instead of adding another supplement to my routine, it's replacing the coffee I already drink every morning. What I love is that it combines the coffee ingredients with things like ashwagandha, L-thiamine, lion's mane, chunga mushroom, and turmeric. And honestly, it tastes like delicious regular coffee. If nobody had told me it had wellness ingredients in it, I just think I was drinking a really good cup of joe. That's my favorite part. If your wellness routine is starting to look anything like mine, you can find Vadam Ashwagandha coffee at Target stores nationwide and on target.com.</v>
      </c>
      <c r="AW120" s="35"/>
      <c r="AX120" s="35"/>
      <c r="AY120" s="35"/>
      <c r="AZ120" s="35"/>
      <c r="BA120" s="35"/>
      <c r="BB120" s="35"/>
      <c r="BC120" s="35"/>
      <c r="BD120" s="35"/>
      <c r="BE120" s="35"/>
      <c r="BF120" s="35"/>
      <c r="BG120" s="35"/>
    </row>
    <row r="121" ht="15.75" customHeight="1">
      <c r="A121" s="55" t="str">
        <f>IFERROR(__xludf.DUMMYFUNCTION("""COMPUTED_VALUE"""),"Instagram")</f>
        <v>Instagram</v>
      </c>
      <c r="B121" s="56">
        <f>IFERROR(__xludf.DUMMYFUNCTION("""COMPUTED_VALUE"""),46191.0)</f>
        <v>46191</v>
      </c>
      <c r="C121" s="55" t="str">
        <f>IFERROR(__xludf.DUMMYFUNCTION("""COMPUTED_VALUE"""),"June")</f>
        <v>June</v>
      </c>
      <c r="D121" s="58" t="str">
        <f>IFERROR(__xludf.DUMMYFUNCTION("""COMPUTED_VALUE"""),"https://www.instagram.com/reel/DZs6u0CSy99/")</f>
        <v>https://www.instagram.com/reel/DZs6u0CSy99/</v>
      </c>
      <c r="E121" s="55" t="str">
        <f>IFERROR(__xludf.DUMMYFUNCTION("""COMPUTED_VALUE"""),"@na")</f>
        <v>@na</v>
      </c>
      <c r="F121" s="55" t="str">
        <f>IFERROR(__xludf.DUMMYFUNCTION("""COMPUTED_VALUE"""),"NA")</f>
        <v>NA</v>
      </c>
      <c r="G121" s="55" t="str">
        <f>IFERROR(__xludf.DUMMYFUNCTION("""COMPUTED_VALUE"""),"Taste")</f>
        <v>Taste</v>
      </c>
      <c r="H121" s="55">
        <f>IFERROR(__xludf.DUMMYFUNCTION("""COMPUTED_VALUE"""),25.0)</f>
        <v>25</v>
      </c>
      <c r="I121" s="55">
        <f>IFERROR(__xludf.DUMMYFUNCTION("""COMPUTED_VALUE"""),9.9)</f>
        <v>9.9</v>
      </c>
      <c r="J121" s="55" t="str">
        <f>IFERROR(__xludf.DUMMYFUNCTION("""COMPUTED_VALUE"""),"No")</f>
        <v>No</v>
      </c>
      <c r="K121" s="55" t="str">
        <f>IFERROR(__xludf.DUMMYFUNCTION("""COMPUTED_VALUE"""),"No")</f>
        <v>No</v>
      </c>
      <c r="L121" s="55" t="str">
        <f>IFERROR(__xludf.DUMMYFUNCTION("""COMPUTED_VALUE"""),"Score 10.1 — below threshold")</f>
        <v>Score 10.1 — below threshold</v>
      </c>
      <c r="M121" s="59" t="str">
        <f>IFERROR(__xludf.DUMMYFUNCTION("""COMPUTED_VALUE"""),"No Ad Data")</f>
        <v>No Ad Data</v>
      </c>
      <c r="N121" s="55"/>
      <c r="O121" s="55"/>
      <c r="P121" s="59">
        <f>IFERROR(__xludf.DUMMYFUNCTION("""COMPUTED_VALUE"""),60.0)</f>
        <v>60</v>
      </c>
      <c r="Q121" s="59">
        <f>IFERROR(__xludf.DUMMYFUNCTION("""COMPUTED_VALUE"""),1.0)</f>
        <v>1</v>
      </c>
      <c r="R121" s="59">
        <f>IFERROR(__xludf.DUMMYFUNCTION("""COMPUTED_VALUE"""),1.0)</f>
        <v>1</v>
      </c>
      <c r="S121" s="55"/>
      <c r="T121" s="68">
        <f>IFERROR(__xludf.DUMMYFUNCTION("""COMPUTED_VALUE"""),0.0)</f>
        <v>0</v>
      </c>
      <c r="U121" s="55"/>
      <c r="V121" s="62">
        <f>IFERROR(__xludf.DUMMYFUNCTION("""COMPUTED_VALUE"""),0.0333)</f>
        <v>0.0333</v>
      </c>
      <c r="W121" s="63">
        <f>IFERROR(__xludf.DUMMYFUNCTION("""COMPUTED_VALUE"""),117.58)</f>
        <v>117.58</v>
      </c>
      <c r="X121" s="59">
        <f>IFERROR(__xludf.DUMMYFUNCTION("""COMPUTED_VALUE"""),60.0)</f>
        <v>60</v>
      </c>
      <c r="Y121" s="59">
        <f>IFERROR(__xludf.DUMMYFUNCTION("""COMPUTED_VALUE"""),1.0)</f>
        <v>1</v>
      </c>
      <c r="Z121" s="59">
        <f>IFERROR(__xludf.DUMMYFUNCTION("""COMPUTED_VALUE"""),1.0)</f>
        <v>1</v>
      </c>
      <c r="AA121" s="59">
        <f>IFERROR(__xludf.DUMMYFUNCTION("""COMPUTED_VALUE"""),0.0)</f>
        <v>0</v>
      </c>
      <c r="AB121" s="64">
        <f>IFERROR(__xludf.DUMMYFUNCTION("""COMPUTED_VALUE"""),0.0)</f>
        <v>0</v>
      </c>
      <c r="AC121" s="62">
        <f>IFERROR(__xludf.DUMMYFUNCTION("""COMPUTED_VALUE"""),0.0333)</f>
        <v>0.0333</v>
      </c>
      <c r="AD121" s="62">
        <f>IFERROR(__xludf.DUMMYFUNCTION("""COMPUTED_VALUE"""),0.0)</f>
        <v>0</v>
      </c>
      <c r="AE121" s="62">
        <f>IFERROR(__xludf.DUMMYFUNCTION("""COMPUTED_VALUE"""),0.0)</f>
        <v>0</v>
      </c>
      <c r="AF121" s="55"/>
      <c r="AG121" s="55"/>
      <c r="AH121" s="55"/>
      <c r="AI121" s="55"/>
      <c r="AJ121" s="55"/>
      <c r="AK121" s="55"/>
      <c r="AL121" s="55"/>
      <c r="AM121" s="55" t="str">
        <f>IFERROR(__xludf.DUMMYFUNCTION("""COMPUTED_VALUE"""),"Q9jTBBV_wqT862uX_ShWECp7-QtYk1OXJaBBnhHIgnzCk-YZFnWSSTS9ph4PqtXNmno")</f>
        <v>Q9jTBBV_wqT862uX_ShWECp7-QtYk1OXJaBBnhHIgnzCk-YZFnWSSTS9ph4PqtXNmno</v>
      </c>
      <c r="AN121" s="55"/>
      <c r="AO121" s="55" t="str">
        <f>IFERROR(__xludf.DUMMYFUNCTION("""COMPUTED_VALUE"""),"NA")</f>
        <v>NA</v>
      </c>
      <c r="AP121" s="55" t="str">
        <f>IFERROR(__xludf.DUMMYFUNCTION("""COMPUTED_VALUE"""),"NA")</f>
        <v>NA</v>
      </c>
      <c r="AQ121" s="55" t="str">
        <f>IFERROR(__xludf.DUMMYFUNCTION("""COMPUTED_VALUE"""),"NA")</f>
        <v>NA</v>
      </c>
      <c r="AR121" s="55" t="str">
        <f>IFERROR(__xludf.DUMMYFUNCTION("""COMPUTED_VALUE"""),"i stopped chasing energy with more coffee and switched to this instead
  i find vatam ashwaganga coffee at target and it's not just coffee
  it's upgr...")</f>
        <v>i stopped chasing energy with more coffee and switched to this instead
  i find vatam ashwaganga coffee at target and it's not just coffee
  it's upgr...</v>
      </c>
      <c r="AS121" s="55" t="str">
        <f>IFERROR(__xludf.DUMMYFUNCTION("""COMPUTED_VALUE"""),"Personal Discovery")</f>
        <v>Personal Discovery</v>
      </c>
      <c r="AT121" s="55" t="str">
        <f>IFERROR(__xludf.DUMMYFUNCTION("""COMPUTED_VALUE"""),"• i stopped chasing energy with more coffee and switched to this instead
  i find vatam ashwaganga coffee at target and it's not just coffee
  it's upgraded with the wellness ingredients in every cup ashwaganga lines main chaga among others
  and if you'r"&amp;"e over 40 you know the drill stress and cortisol mess with your mood your energy your
  weight all of it this helps calm the down and get you back in balance and the best part it tastes
  amazing just like your favorite morning coffee")</f>
        <v>• i stopped chasing energy with more coffee and switched to this instead
  i find vatam ashwaganga coffee at target and it's not just coffee
  it's upgraded with the wellness ingredients in every cup ashwaganga lines main chaga among others
  and if you're over 40 you know the drill stress and cortisol mess with your mood your energy your
  weight all of it this helps calm the down and get you back in balance and the best part it tastes
  amazing just like your favorite morning coffee</v>
      </c>
      <c r="AU121" s="55" t="str">
        <f>IFERROR(__xludf.DUMMYFUNCTION("""COMPUTED_VALUE"""),"i stopped chasing energy with more coffee and switched to this instead
  i find vatam ashwaganga coffee at target and it's not just coffee
  it's upgraded with the wellness ingredients in every cup as...")</f>
        <v>i stopped chasing energy with more coffee and switched to this instead
  i find vatam ashwaganga coffee at target and it's not just coffee
  it's upgraded with the wellness ingredients in every cup as...</v>
      </c>
      <c r="AV121" s="55" t="str">
        <f>IFERROR(__xludf.DUMMYFUNCTION("""COMPUTED_VALUE"""),"i stopped chasing energy with more coffee and switched to this instead
  i find vatam ashwaganga coffee at target and it's not just coffee
  it's upgraded with the wellness ingredients in every cup ashwaganga lines main chaga among others
  and if you're "&amp;"over 40 you know the drill stress and cortisol mess with your mood your energy your
  weight all of it this helps calm the down and get you back in balance and the best part it tastes
  amazing just like your favorite morning coffee")</f>
        <v>i stopped chasing energy with more coffee and switched to this instead
  i find vatam ashwaganga coffee at target and it's not just coffee
  it's upgraded with the wellness ingredients in every cup ashwaganga lines main chaga among others
  and if you're over 40 you know the drill stress and cortisol mess with your mood your energy your
  weight all of it this helps calm the down and get you back in balance and the best part it tastes
  amazing just like your favorite morning coffee</v>
      </c>
      <c r="AW121" s="35"/>
      <c r="AX121" s="35"/>
      <c r="AY121" s="35"/>
      <c r="AZ121" s="35"/>
      <c r="BA121" s="35"/>
      <c r="BB121" s="35"/>
      <c r="BC121" s="35"/>
      <c r="BD121" s="35"/>
      <c r="BE121" s="35"/>
      <c r="BF121" s="35"/>
      <c r="BG121" s="35"/>
    </row>
    <row r="122" ht="15.75" customHeight="1">
      <c r="A122" s="55" t="str">
        <f>IFERROR(__xludf.DUMMYFUNCTION("""COMPUTED_VALUE"""),"Instagram")</f>
        <v>Instagram</v>
      </c>
      <c r="B122" s="56">
        <f>IFERROR(__xludf.DUMMYFUNCTION("""COMPUTED_VALUE"""),46187.0)</f>
        <v>46187</v>
      </c>
      <c r="C122" s="55" t="str">
        <f>IFERROR(__xludf.DUMMYFUNCTION("""COMPUTED_VALUE"""),"June")</f>
        <v>June</v>
      </c>
      <c r="D122" s="58" t="str">
        <f>IFERROR(__xludf.DUMMYFUNCTION("""COMPUTED_VALUE"""),"https://www.instagram.com/reel/DZioD7mxy2a/")</f>
        <v>https://www.instagram.com/reel/DZioD7mxy2a/</v>
      </c>
      <c r="E122" s="55" t="str">
        <f>IFERROR(__xludf.DUMMYFUNCTION("""COMPUTED_VALUE"""),"@na")</f>
        <v>@na</v>
      </c>
      <c r="F122" s="55" t="str">
        <f>IFERROR(__xludf.DUMMYFUNCTION("""COMPUTED_VALUE"""),"NA")</f>
        <v>NA</v>
      </c>
      <c r="G122" s="55" t="str">
        <f>IFERROR(__xludf.DUMMYFUNCTION("""COMPUTED_VALUE"""),"Cortisol")</f>
        <v>Cortisol</v>
      </c>
      <c r="H122" s="55">
        <f>IFERROR(__xludf.DUMMYFUNCTION("""COMPUTED_VALUE"""),15.0)</f>
        <v>15</v>
      </c>
      <c r="I122" s="55">
        <f>IFERROR(__xludf.DUMMYFUNCTION("""COMPUTED_VALUE"""),10.3)</f>
        <v>10.3</v>
      </c>
      <c r="J122" s="55" t="str">
        <f>IFERROR(__xludf.DUMMYFUNCTION("""COMPUTED_VALUE"""),"No")</f>
        <v>No</v>
      </c>
      <c r="K122" s="55" t="str">
        <f>IFERROR(__xludf.DUMMYFUNCTION("""COMPUTED_VALUE"""),"No")</f>
        <v>No</v>
      </c>
      <c r="L122" s="55" t="str">
        <f>IFERROR(__xludf.DUMMYFUNCTION("""COMPUTED_VALUE"""),"Score 10.8 — below threshold")</f>
        <v>Score 10.8 — below threshold</v>
      </c>
      <c r="M122" s="59" t="str">
        <f>IFERROR(__xludf.DUMMYFUNCTION("""COMPUTED_VALUE"""),"No Ad Data")</f>
        <v>No Ad Data</v>
      </c>
      <c r="N122" s="55"/>
      <c r="O122" s="55"/>
      <c r="P122" s="59">
        <f>IFERROR(__xludf.DUMMYFUNCTION("""COMPUTED_VALUE"""),46.0)</f>
        <v>46</v>
      </c>
      <c r="Q122" s="59">
        <f>IFERROR(__xludf.DUMMYFUNCTION("""COMPUTED_VALUE"""),3.0)</f>
        <v>3</v>
      </c>
      <c r="R122" s="59">
        <f>IFERROR(__xludf.DUMMYFUNCTION("""COMPUTED_VALUE"""),0.0)</f>
        <v>0</v>
      </c>
      <c r="S122" s="55"/>
      <c r="T122" s="68">
        <f>IFERROR(__xludf.DUMMYFUNCTION("""COMPUTED_VALUE"""),0.0)</f>
        <v>0</v>
      </c>
      <c r="U122" s="55"/>
      <c r="V122" s="62">
        <f>IFERROR(__xludf.DUMMYFUNCTION("""COMPUTED_VALUE"""),0.0652173913)</f>
        <v>0.0652173913</v>
      </c>
      <c r="W122" s="63">
        <f>IFERROR(__xludf.DUMMYFUNCTION("""COMPUTED_VALUE"""),117.58)</f>
        <v>117.58</v>
      </c>
      <c r="X122" s="59">
        <f>IFERROR(__xludf.DUMMYFUNCTION("""COMPUTED_VALUE"""),46.0)</f>
        <v>46</v>
      </c>
      <c r="Y122" s="59">
        <f>IFERROR(__xludf.DUMMYFUNCTION("""COMPUTED_VALUE"""),3.0)</f>
        <v>3</v>
      </c>
      <c r="Z122" s="59">
        <f>IFERROR(__xludf.DUMMYFUNCTION("""COMPUTED_VALUE"""),0.0)</f>
        <v>0</v>
      </c>
      <c r="AA122" s="59">
        <f>IFERROR(__xludf.DUMMYFUNCTION("""COMPUTED_VALUE"""),0.0)</f>
        <v>0</v>
      </c>
      <c r="AB122" s="64">
        <f>IFERROR(__xludf.DUMMYFUNCTION("""COMPUTED_VALUE"""),0.0)</f>
        <v>0</v>
      </c>
      <c r="AC122" s="62">
        <f>IFERROR(__xludf.DUMMYFUNCTION("""COMPUTED_VALUE"""),0.0652173913)</f>
        <v>0.0652173913</v>
      </c>
      <c r="AD122" s="62">
        <f>IFERROR(__xludf.DUMMYFUNCTION("""COMPUTED_VALUE"""),0.0)</f>
        <v>0</v>
      </c>
      <c r="AE122" s="62">
        <f>IFERROR(__xludf.DUMMYFUNCTION("""COMPUTED_VALUE"""),0.0)</f>
        <v>0</v>
      </c>
      <c r="AF122" s="55"/>
      <c r="AG122" s="55"/>
      <c r="AH122" s="55"/>
      <c r="AI122" s="55"/>
      <c r="AJ122" s="55"/>
      <c r="AK122" s="55"/>
      <c r="AL122" s="55"/>
      <c r="AM122" s="55" t="str">
        <f>IFERROR(__xludf.DUMMYFUNCTION("""COMPUTED_VALUE"""),"Q9jTBBWs0cDctzvHK1O1W09172LesTjXw1osbT-_9kTxvxQGWjwPz8Eb23NVpwKV9qI")</f>
        <v>Q9jTBBWs0cDctzvHK1O1W09172LesTjXw1osbT-_9kTxvxQGWjwPz8Eb23NVpwKV9qI</v>
      </c>
      <c r="AN122" s="55"/>
      <c r="AO122" s="55" t="str">
        <f>IFERROR(__xludf.DUMMYFUNCTION("""COMPUTED_VALUE"""),"NA")</f>
        <v>NA</v>
      </c>
      <c r="AP122" s="55" t="str">
        <f>IFERROR(__xludf.DUMMYFUNCTION("""COMPUTED_VALUE"""),"NA")</f>
        <v>NA</v>
      </c>
      <c r="AQ122" s="55" t="str">
        <f>IFERROR(__xludf.DUMMYFUNCTION("""COMPUTED_VALUE"""),"NA")</f>
        <v>NA</v>
      </c>
      <c r="AR122" s="55" t="str">
        <f>IFERROR(__xludf.DUMMYFUNCTION("""COMPUTED_VALUE"""),"Target got me again.")</f>
        <v>Target got me again.</v>
      </c>
      <c r="AS122" s="55" t="str">
        <f>IFERROR(__xludf.DUMMYFUNCTION("""COMPUTED_VALUE"""),"In-Store / Target Discovery")</f>
        <v>In-Store / Target Discovery</v>
      </c>
      <c r="AT122" s="55" t="str">
        <f>IFERROR(__xludf.DUMMYFUNCTION("""COMPUTED_VALUE"""),"• It's made with premium coffee and ashwagandha for wellness support.
• I found this Vadam Ashwagandha coffee and had to try it.
• It's so delicious, I think I may have found my new favorite coffee.")</f>
        <v>• It's made with premium coffee and ashwagandha for wellness support.
• I found this Vadam Ashwagandha coffee and had to try it.
• It's so delicious, I think I may have found my new favorite coffee.</v>
      </c>
      <c r="AU122" s="55" t="str">
        <f>IFERROR(__xludf.DUMMYFUNCTION("""COMPUTED_VALUE"""),"Go try it for yourself at Target stores or Target.com.")</f>
        <v>Go try it for yourself at Target stores or Target.com.</v>
      </c>
      <c r="AV122" s="55" t="str">
        <f>IFERROR(__xludf.DUMMYFUNCTION("""COMPUTED_VALUE"""),"Target got me again. I found this Vadam Ashwagandha coffee and had to try it.
  It's made with premium coffee and ashwagandha for wellness support.
  It's so delicious, I think I may have found my new favorite coffee.
  Go try it for yourself at Target st"&amp;"ores or Target.com.")</f>
        <v>Target got me again. I found this Vadam Ashwagandha coffee and had to try it.
  It's made with premium coffee and ashwagandha for wellness support.
  It's so delicious, I think I may have found my new favorite coffee.
  Go try it for yourself at Target stores or Target.com.</v>
      </c>
      <c r="AW122" s="35"/>
      <c r="AX122" s="35"/>
      <c r="AY122" s="35"/>
      <c r="AZ122" s="35"/>
      <c r="BA122" s="35"/>
      <c r="BB122" s="35"/>
      <c r="BC122" s="35"/>
      <c r="BD122" s="35"/>
      <c r="BE122" s="35"/>
      <c r="BF122" s="35"/>
      <c r="BG122" s="35"/>
    </row>
    <row r="123" ht="15.75" customHeight="1">
      <c r="A123" s="55" t="str">
        <f>IFERROR(__xludf.DUMMYFUNCTION("""COMPUTED_VALUE"""),"Tiktok")</f>
        <v>Tiktok</v>
      </c>
      <c r="B123" s="56">
        <f>IFERROR(__xludf.DUMMYFUNCTION("""COMPUTED_VALUE"""),46203.0)</f>
        <v>46203</v>
      </c>
      <c r="C123" s="55" t="str">
        <f>IFERROR(__xludf.DUMMYFUNCTION("""COMPUTED_VALUE"""),"June")</f>
        <v>June</v>
      </c>
      <c r="D123" s="58" t="str">
        <f>IFERROR(__xludf.DUMMYFUNCTION("""COMPUTED_VALUE"""),"https://www.tiktok.com/@yaroslavatest/video/7656988451513830687")</f>
        <v>https://www.tiktok.com/@yaroslavatest/video/7656988451513830687</v>
      </c>
      <c r="E123" s="55" t="str">
        <f>IFERROR(__xludf.DUMMYFUNCTION("""COMPUTED_VALUE"""),"@yaroslavatest")</f>
        <v>@yaroslavatest</v>
      </c>
      <c r="F123" s="55"/>
      <c r="G123" s="55" t="str">
        <f>IFERROR(__xludf.DUMMYFUNCTION("""COMPUTED_VALUE"""),"Target Shelf Showdown")</f>
        <v>Target Shelf Showdown</v>
      </c>
      <c r="H123" s="55"/>
      <c r="I123" s="55">
        <f>IFERROR(__xludf.DUMMYFUNCTION("""COMPUTED_VALUE"""),5.0)</f>
        <v>5</v>
      </c>
      <c r="J123" s="55" t="str">
        <f>IFERROR(__xludf.DUMMYFUNCTION("""COMPUTED_VALUE"""),"No")</f>
        <v>No</v>
      </c>
      <c r="K123" s="55" t="str">
        <f>IFERROR(__xludf.DUMMYFUNCTION("""COMPUTED_VALUE"""),"No")</f>
        <v>No</v>
      </c>
      <c r="L123" s="55" t="str">
        <f>IFERROR(__xludf.DUMMYFUNCTION("""COMPUTED_VALUE"""),"Score 4.9 | 6-sec 0.0% — below thresholds")</f>
        <v>Score 4.9 | 6-sec 0.0% — below thresholds</v>
      </c>
      <c r="M123" s="59" t="str">
        <f>IFERROR(__xludf.DUMMYFUNCTION("""COMPUTED_VALUE"""),"No Ad Data")</f>
        <v>No Ad Data</v>
      </c>
      <c r="N123" s="55"/>
      <c r="O123" s="55"/>
      <c r="P123" s="59">
        <f>IFERROR(__xludf.DUMMYFUNCTION("""COMPUTED_VALUE"""),45.0)</f>
        <v>45</v>
      </c>
      <c r="Q123" s="59">
        <f>IFERROR(__xludf.DUMMYFUNCTION("""COMPUTED_VALUE"""),2.0)</f>
        <v>2</v>
      </c>
      <c r="R123" s="59">
        <f>IFERROR(__xludf.DUMMYFUNCTION("""COMPUTED_VALUE"""),0.0)</f>
        <v>0</v>
      </c>
      <c r="S123" s="62">
        <f>IFERROR(__xludf.DUMMYFUNCTION("""COMPUTED_VALUE"""),0.0)</f>
        <v>0</v>
      </c>
      <c r="T123" s="62">
        <f>IFERROR(__xludf.DUMMYFUNCTION("""COMPUTED_VALUE"""),0.0)</f>
        <v>0</v>
      </c>
      <c r="U123" s="64">
        <f>IFERROR(__xludf.DUMMYFUNCTION("""COMPUTED_VALUE"""),0.0)</f>
        <v>0</v>
      </c>
      <c r="V123" s="62">
        <f>IFERROR(__xludf.DUMMYFUNCTION("""COMPUTED_VALUE"""),4.4)</f>
        <v>4.4</v>
      </c>
      <c r="W123" s="63">
        <f>IFERROR(__xludf.DUMMYFUNCTION("""COMPUTED_VALUE"""),72.99)</f>
        <v>72.99</v>
      </c>
      <c r="X123" s="59">
        <f>IFERROR(__xludf.DUMMYFUNCTION("""COMPUTED_VALUE"""),45.0)</f>
        <v>45</v>
      </c>
      <c r="Y123" s="59">
        <f>IFERROR(__xludf.DUMMYFUNCTION("""COMPUTED_VALUE"""),2.0)</f>
        <v>2</v>
      </c>
      <c r="Z123" s="59">
        <f>IFERROR(__xludf.DUMMYFUNCTION("""COMPUTED_VALUE"""),0.0)</f>
        <v>0</v>
      </c>
      <c r="AA123" s="59">
        <f>IFERROR(__xludf.DUMMYFUNCTION("""COMPUTED_VALUE"""),0.0)</f>
        <v>0</v>
      </c>
      <c r="AB123" s="64">
        <f>IFERROR(__xludf.DUMMYFUNCTION("""COMPUTED_VALUE"""),0.0)</f>
        <v>0</v>
      </c>
      <c r="AC123" s="62">
        <f>IFERROR(__xludf.DUMMYFUNCTION("""COMPUTED_VALUE"""),4.4)</f>
        <v>4.4</v>
      </c>
      <c r="AD123" s="62">
        <f>IFERROR(__xludf.DUMMYFUNCTION("""COMPUTED_VALUE"""),0.0)</f>
        <v>0</v>
      </c>
      <c r="AE123" s="62">
        <f>IFERROR(__xludf.DUMMYFUNCTION("""COMPUTED_VALUE"""),0.0)</f>
        <v>0</v>
      </c>
      <c r="AF123" s="55"/>
      <c r="AG123" s="55"/>
      <c r="AH123" s="55"/>
      <c r="AI123" s="55"/>
      <c r="AJ123" s="55"/>
      <c r="AK123" s="55"/>
      <c r="AL123" s="55"/>
      <c r="AM123" s="55" t="str">
        <f>IFERROR(__xludf.DUMMYFUNCTION("""COMPUTED_VALUE"""),"#oyZCH7qQbZ5ISLHS+trYRleeHEn5zaIX3W5SIurTm5S1CtzjOuWBAiExNgzPbbg=")</f>
        <v>#oyZCH7qQbZ5ISLHS+trYRleeHEn5zaIX3W5SIurTm5S1CtzjOuWBAiExNgzPbbg=</v>
      </c>
      <c r="AN123" s="55"/>
      <c r="AO123" s="55"/>
      <c r="AP123" s="55"/>
      <c r="AQ123" s="55" t="str">
        <f>IFERROR(__xludf.DUMMYFUNCTION("""COMPUTED_VALUE"""),"A simple upgrade to my morning coffee â˜•ï¸âœ¨ VAHDAMÂ® Ashwagandha Coffee tastes like regular coffee while adding functional ingredients to my daily routine. Available at Target and Target.com....")</f>
        <v>A simple upgrade to my morning coffee â˜•ï¸_x008f_âœ¨ VAHDAMÂ® Ashwagandha Coffee tastes like regular coffee while adding functional ingredients to my daily routine. Available at Target and Target.com....</v>
      </c>
      <c r="AR123" s="55" t="str">
        <f>IFERROR(__xludf.DUMMYFUNCTION("""COMPUTED_VALUE"""),"I've been seeing functional coffee everywhere lately, so I finally decided to try one.")</f>
        <v>I've been seeing functional coffee everywhere lately, so I finally decided to try one.</v>
      </c>
      <c r="AS123" s="55" t="str">
        <f>IFERROR(__xludf.DUMMYFUNCTION("""COMPUTED_VALUE"""),"Personal Story")</f>
        <v>Personal Story</v>
      </c>
      <c r="AT123" s="55" t="str">
        <f>IFERROR(__xludf.DUMMYFUNCTION("""COMPUTED_VALUE"""),"• Product introduced immediately in the opening
• Benefits and product features discussed
• CTA: ""You can find Vahdam Ashwagandha coffee at target stores or on target.com.""")</f>
        <v>• Product introduced immediately in the opening
• Benefits and product features discussed
• CTA: "You can find Vahdam Ashwagandha coffee at target stores or on target.com."</v>
      </c>
      <c r="AU123" s="55" t="str">
        <f>IFERROR(__xludf.DUMMYFUNCTION("""COMPUTED_VALUE"""),"You can find Vahdam Ashwagandha coffee at target stores or on target.com.")</f>
        <v>You can find Vahdam Ashwagandha coffee at target stores or on target.com.</v>
      </c>
      <c r="AV123" s="55" t="str">
        <f>IFERROR(__xludf.DUMMYFUNCTION("""COMPUTED_VALUE"""),"I've been seeing functional coffee everywhere lately, so I finally decided to try one. This is Vahdam Ashwagandha coffee, and what caught my attention is that it's more than just coffee. It combines premium Arabica coffee with K S M66, Ashwagandha, L Thea"&amp;"nine, Turmeric, Lions Mane, and chaga all in one cup. I also love that it actually tastes like regular coffee. No weird aftertaste, just a really smooth cup of coffee. If you're already drinking coffee every morning, this is such an easy way to upgrade yo"&amp;"ur routine. You can find Vahdam Ashwagandha coffee at target stores or on target.com.")</f>
        <v>I've been seeing functional coffee everywhere lately, so I finally decided to try one. This is Vahdam Ashwagandha coffee, and what caught my attention is that it's more than just coffee. It combines premium Arabica coffee with K S M66, Ashwagandha, L Theanine, Turmeric, Lions Mane, and chaga all in one cup. I also love that it actually tastes like regular coffee. No weird aftertaste, just a really smooth cup of coffee. If you're already drinking coffee every morning, this is such an easy way to upgrade your routine. You can find Vahdam Ashwagandha coffee at target stores or on target.com.</v>
      </c>
      <c r="AW123" s="35"/>
      <c r="AX123" s="35"/>
      <c r="AY123" s="35"/>
      <c r="AZ123" s="35"/>
      <c r="BA123" s="35"/>
      <c r="BB123" s="35"/>
      <c r="BC123" s="35"/>
      <c r="BD123" s="35"/>
      <c r="BE123" s="35"/>
      <c r="BF123" s="35"/>
      <c r="BG123" s="35"/>
    </row>
    <row r="124" ht="15.75" customHeight="1">
      <c r="A124" s="55" t="str">
        <f>IFERROR(__xludf.DUMMYFUNCTION("""COMPUTED_VALUE"""),"Instagram")</f>
        <v>Instagram</v>
      </c>
      <c r="B124" s="56">
        <f>IFERROR(__xludf.DUMMYFUNCTION("""COMPUTED_VALUE"""),46197.0)</f>
        <v>46197</v>
      </c>
      <c r="C124" s="55" t="str">
        <f>IFERROR(__xludf.DUMMYFUNCTION("""COMPUTED_VALUE"""),"June")</f>
        <v>June</v>
      </c>
      <c r="D124" s="58" t="str">
        <f>IFERROR(__xludf.DUMMYFUNCTION("""COMPUTED_VALUE"""),"https://www.instagram.com/reel/DZ7T_BzR18F/")</f>
        <v>https://www.instagram.com/reel/DZ7T_BzR18F/</v>
      </c>
      <c r="E124" s="55" t="str">
        <f>IFERROR(__xludf.DUMMYFUNCTION("""COMPUTED_VALUE"""),"nikkineale")</f>
        <v>nikkineale</v>
      </c>
      <c r="F124" s="55" t="str">
        <f>IFERROR(__xludf.DUMMYFUNCTION("""COMPUTED_VALUE"""),"NA")</f>
        <v>NA</v>
      </c>
      <c r="G124" s="55" t="str">
        <f>IFERROR(__xludf.DUMMYFUNCTION("""COMPUTED_VALUE"""),"Countering Mushroom Coffee Trend")</f>
        <v>Countering Mushroom Coffee Trend</v>
      </c>
      <c r="H124" s="55" t="str">
        <f>IFERROR(__xludf.DUMMYFUNCTION("""COMPUTED_VALUE"""),"NA")</f>
        <v>NA</v>
      </c>
      <c r="I124" s="55">
        <f>IFERROR(__xludf.DUMMYFUNCTION("""COMPUTED_VALUE"""),11.4)</f>
        <v>11.4</v>
      </c>
      <c r="J124" s="55" t="str">
        <f>IFERROR(__xludf.DUMMYFUNCTION("""COMPUTED_VALUE"""),"No")</f>
        <v>No</v>
      </c>
      <c r="K124" s="55" t="str">
        <f>IFERROR(__xludf.DUMMYFUNCTION("""COMPUTED_VALUE"""),"Yes")</f>
        <v>Yes</v>
      </c>
      <c r="L124" s="55" t="str">
        <f>IFERROR(__xludf.DUMMYFUNCTION("""COMPUTED_VALUE"""),"Score 11.9 — below threshold")</f>
        <v>Score 11.9 — below threshold</v>
      </c>
      <c r="M124" s="59" t="str">
        <f>IFERROR(__xludf.DUMMYFUNCTION("""COMPUTED_VALUE"""),"No Ad Data")</f>
        <v>No Ad Data</v>
      </c>
      <c r="N124" s="55" t="str">
        <f>IFERROR(__xludf.DUMMYFUNCTION("""COMPUTED_VALUE"""),"13UGC-Mushroom-CTA-nikkineale")</f>
        <v>13UGC-Mushroom-CTA-nikkineale</v>
      </c>
      <c r="O124" s="55"/>
      <c r="P124" s="59">
        <f>IFERROR(__xludf.DUMMYFUNCTION("""COMPUTED_VALUE"""),45.0)</f>
        <v>45</v>
      </c>
      <c r="Q124" s="59">
        <f>IFERROR(__xludf.DUMMYFUNCTION("""COMPUTED_VALUE"""),3.0)</f>
        <v>3</v>
      </c>
      <c r="R124" s="59">
        <f>IFERROR(__xludf.DUMMYFUNCTION("""COMPUTED_VALUE"""),1.0)</f>
        <v>1</v>
      </c>
      <c r="S124" s="55"/>
      <c r="T124" s="68">
        <f>IFERROR(__xludf.DUMMYFUNCTION("""COMPUTED_VALUE"""),0.0)</f>
        <v>0</v>
      </c>
      <c r="U124" s="55"/>
      <c r="V124" s="62">
        <f>IFERROR(__xludf.DUMMYFUNCTION("""COMPUTED_VALUE"""),0.0)</f>
        <v>0</v>
      </c>
      <c r="W124" s="63">
        <f>IFERROR(__xludf.DUMMYFUNCTION("""COMPUTED_VALUE"""),117.58)</f>
        <v>117.58</v>
      </c>
      <c r="X124" s="59">
        <f>IFERROR(__xludf.DUMMYFUNCTION("""COMPUTED_VALUE"""),45.0)</f>
        <v>45</v>
      </c>
      <c r="Y124" s="59">
        <f>IFERROR(__xludf.DUMMYFUNCTION("""COMPUTED_VALUE"""),3.0)</f>
        <v>3</v>
      </c>
      <c r="Z124" s="59">
        <f>IFERROR(__xludf.DUMMYFUNCTION("""COMPUTED_VALUE"""),1.0)</f>
        <v>1</v>
      </c>
      <c r="AA124" s="59">
        <f>IFERROR(__xludf.DUMMYFUNCTION("""COMPUTED_VALUE"""),0.0)</f>
        <v>0</v>
      </c>
      <c r="AB124" s="64">
        <f>IFERROR(__xludf.DUMMYFUNCTION("""COMPUTED_VALUE"""),0.0)</f>
        <v>0</v>
      </c>
      <c r="AC124" s="62">
        <f>IFERROR(__xludf.DUMMYFUNCTION("""COMPUTED_VALUE"""),0.0)</f>
        <v>0</v>
      </c>
      <c r="AD124" s="62">
        <f>IFERROR(__xludf.DUMMYFUNCTION("""COMPUTED_VALUE"""),0.0)</f>
        <v>0</v>
      </c>
      <c r="AE124" s="62">
        <f>IFERROR(__xludf.DUMMYFUNCTION("""COMPUTED_VALUE"""),0.0)</f>
        <v>0</v>
      </c>
      <c r="AF124" s="55"/>
      <c r="AG124" s="55"/>
      <c r="AH124" s="55"/>
      <c r="AI124" s="55"/>
      <c r="AJ124" s="55"/>
      <c r="AK124" s="55"/>
      <c r="AL124" s="55"/>
      <c r="AM124" s="55" t="str">
        <f>IFERROR(__xludf.DUMMYFUNCTION("""COMPUTED_VALUE"""),"Q9jTBBU0VL5FHxheujmiOxcTmSVvBYFfpOHpcqoqWpPn7u-nGgj5V7Ddv9XZd_W_DA")</f>
        <v>Q9jTBBU0VL5FHxheujmiOxcTmSVvBYFfpOHpcqoqWpPn7u-nGgj5V7Ddv9XZd_W_DA</v>
      </c>
      <c r="AN124" s="55"/>
      <c r="AO124" s="55" t="str">
        <f>IFERROR(__xludf.DUMMYFUNCTION("""COMPUTED_VALUE"""),"NA")</f>
        <v>NA</v>
      </c>
      <c r="AP124" s="55" t="str">
        <f>IFERROR(__xludf.DUMMYFUNCTION("""COMPUTED_VALUE"""),"NA")</f>
        <v>NA</v>
      </c>
      <c r="AQ124" s="55" t="str">
        <f>IFERROR(__xludf.DUMMYFUNCTION("""COMPUTED_VALUE"""),"NA")</f>
        <v>NA</v>
      </c>
      <c r="AR124" s="55" t="str">
        <f>IFERROR(__xludf.DUMMYFUNCTION("""COMPUTED_VALUE"""),"NA")</f>
        <v>NA</v>
      </c>
      <c r="AS124" s="55" t="str">
        <f>IFERROR(__xludf.DUMMYFUNCTION("""COMPUTED_VALUE"""),"NA")</f>
        <v>NA</v>
      </c>
      <c r="AT124" s="55" t="str">
        <f>IFERROR(__xludf.DUMMYFUNCTION("""COMPUTED_VALUE"""),"NA")</f>
        <v>NA</v>
      </c>
      <c r="AU124" s="55" t="str">
        <f>IFERROR(__xludf.DUMMYFUNCTION("""COMPUTED_VALUE"""),"NA")</f>
        <v>NA</v>
      </c>
      <c r="AV124" s="55"/>
      <c r="AW124" s="35"/>
      <c r="AX124" s="35"/>
      <c r="AY124" s="35"/>
      <c r="AZ124" s="35"/>
      <c r="BA124" s="35"/>
      <c r="BB124" s="35"/>
      <c r="BC124" s="35"/>
      <c r="BD124" s="35"/>
      <c r="BE124" s="35"/>
      <c r="BF124" s="35"/>
      <c r="BG124" s="35"/>
    </row>
    <row r="125" ht="15.75" customHeight="1">
      <c r="A125" s="55" t="str">
        <f>IFERROR(__xludf.DUMMYFUNCTION("""COMPUTED_VALUE"""),"Instagram")</f>
        <v>Instagram</v>
      </c>
      <c r="B125" s="56">
        <f>IFERROR(__xludf.DUMMYFUNCTION("""COMPUTED_VALUE"""),46202.0)</f>
        <v>46202</v>
      </c>
      <c r="C125" s="55" t="str">
        <f>IFERROR(__xludf.DUMMYFUNCTION("""COMPUTED_VALUE"""),"June")</f>
        <v>June</v>
      </c>
      <c r="D125" s="58" t="str">
        <f>IFERROR(__xludf.DUMMYFUNCTION("""COMPUTED_VALUE"""),"https://www.instagram.com/reel/DaDgNxFuVWS/")</f>
        <v>https://www.instagram.com/reel/DaDgNxFuVWS/</v>
      </c>
      <c r="E125" s="55" t="str">
        <f>IFERROR(__xludf.DUMMYFUNCTION("""COMPUTED_VALUE"""),"asheen12")</f>
        <v>asheen12</v>
      </c>
      <c r="F125" s="55"/>
      <c r="G125" s="55" t="str">
        <f>IFERROR(__xludf.DUMMYFUNCTION("""COMPUTED_VALUE"""),"Cortisol")</f>
        <v>Cortisol</v>
      </c>
      <c r="H125" s="55"/>
      <c r="I125" s="55">
        <f>IFERROR(__xludf.DUMMYFUNCTION("""COMPUTED_VALUE"""),6.2)</f>
        <v>6.2</v>
      </c>
      <c r="J125" s="55" t="str">
        <f>IFERROR(__xludf.DUMMYFUNCTION("""COMPUTED_VALUE"""),"No")</f>
        <v>No</v>
      </c>
      <c r="K125" s="55" t="str">
        <f>IFERROR(__xludf.DUMMYFUNCTION("""COMPUTED_VALUE"""),"No")</f>
        <v>No</v>
      </c>
      <c r="L125" s="55" t="str">
        <f>IFERROR(__xludf.DUMMYFUNCTION("""COMPUTED_VALUE"""),"Score 6.2 — below threshold")</f>
        <v>Score 6.2 — below threshold</v>
      </c>
      <c r="M125" s="59" t="str">
        <f>IFERROR(__xludf.DUMMYFUNCTION("""COMPUTED_VALUE"""),"No Ad Data")</f>
        <v>No Ad Data</v>
      </c>
      <c r="N125" s="55"/>
      <c r="O125" s="55"/>
      <c r="P125" s="59">
        <f>IFERROR(__xludf.DUMMYFUNCTION("""COMPUTED_VALUE"""),44.0)</f>
        <v>44</v>
      </c>
      <c r="Q125" s="55"/>
      <c r="R125" s="55"/>
      <c r="S125" s="55"/>
      <c r="T125" s="55"/>
      <c r="U125" s="55"/>
      <c r="V125" s="55"/>
      <c r="W125" s="63">
        <f>IFERROR(__xludf.DUMMYFUNCTION("""COMPUTED_VALUE"""),117.58)</f>
        <v>117.58</v>
      </c>
      <c r="X125" s="59">
        <f>IFERROR(__xludf.DUMMYFUNCTION("""COMPUTED_VALUE"""),44.0)</f>
        <v>44</v>
      </c>
      <c r="Y125" s="55"/>
      <c r="Z125" s="55"/>
      <c r="AA125" s="55"/>
      <c r="AB125" s="55"/>
      <c r="AC125" s="55"/>
      <c r="AD125" s="55"/>
      <c r="AE125" s="55"/>
      <c r="AF125" s="55"/>
      <c r="AG125" s="55"/>
      <c r="AH125" s="55"/>
      <c r="AI125" s="55"/>
      <c r="AJ125" s="55"/>
      <c r="AK125" s="55"/>
      <c r="AL125" s="55"/>
      <c r="AM125" s="55" t="str">
        <f>IFERROR(__xludf.DUMMYFUNCTION("""COMPUTED_VALUE"""),"Q9jTBBUM3vzjLE8XWa1g00jEIn-dKFHJDJIzR8kqBAnigGl1NW8SMdyqS4zRiQ2dpX4")</f>
        <v>Q9jTBBUM3vzjLE8XWa1g00jEIn-dKFHJDJIzR8kqBAnigGl1NW8SMdyqS4zRiQ2dpX4</v>
      </c>
      <c r="AN125" s="55"/>
      <c r="AO125" s="55"/>
      <c r="AP125" s="55"/>
      <c r="AQ125" s="55" t="str">
        <f>IFERROR(__xludf.DUMMYFUNCTION("""COMPUTED_VALUE"""),"Healthier version of coffee ! Loving the taste! Taste just like my favorite coffee but with all the amazing benefits ðŸ˜ #target #ashwagandha #coffee #wellness #healtylifestyle @target @vahdamusa")</f>
        <v>Healthier version of coffee ! Loving the taste! Taste just like my favorite coffee but with all the amazing benefits ðŸ˜_x008d_ #target #ashwagandha #coffee #wellness #healtylifestyle @target @vahdamusa</v>
      </c>
      <c r="AR125" s="55" t="str">
        <f>IFERROR(__xludf.DUMMYFUNCTION("""COMPUTED_VALUE"""),"especially not having those crashes in the afternoon. You know, I love my regular coffee.")</f>
        <v>especially not having those crashes in the afternoon. You know, I love my regular coffee.</v>
      </c>
      <c r="AS125" s="55" t="str">
        <f>IFERROR(__xludf.DUMMYFUNCTION("""COMPUTED_VALUE"""),"Comparison")</f>
        <v>Comparison</v>
      </c>
      <c r="AT125" s="55" t="str">
        <f>IFERROR(__xludf.DUMMYFUNCTION("""COMPUTED_VALUE"""),"• Product introduced early (sentence 2)
• Benefits covered: crash, wellness, cortisol, jitter
• CTA: ""It is available at Target stores around the U.S.""")</f>
        <v>• Product introduced early (sentence 2)
• Benefits covered: crash, wellness, cortisol, jitter
• CTA: "It is available at Target stores around the U.S."</v>
      </c>
      <c r="AU125" s="55" t="str">
        <f>IFERROR(__xludf.DUMMYFUNCTION("""COMPUTED_VALUE"""),"It is available at Target stores around the U.S.")</f>
        <v>It is available at Target stores around the U.S.</v>
      </c>
      <c r="AV125" s="55" t="str">
        <f>IFERROR(__xludf.DUMMYFUNCTION("""COMPUTED_VALUE"""),"especially not having those crashes in the afternoon. You know, I love my regular coffee. I have my favorite kinds, but I wanted something that a little more has wellness benefits, better for you. I found this Ashkuanda coffee and I love that it has Ashku"&amp;"anda in it, the althiamine, the chaga, the lion's mane, and turmeric in it. I've noticed I've had lower cortisol, less jitters, less crashes in the afternoon. And that is just all around, like gives me better focus and energy. It is available at Target st"&amp;"ores around the U.S. as well as on Target.com.")</f>
        <v>especially not having those crashes in the afternoon. You know, I love my regular coffee. I have my favorite kinds, but I wanted something that a little more has wellness benefits, better for you. I found this Ashkuanda coffee and I love that it has Ashkuanda in it, the althiamine, the chaga, the lion's mane, and turmeric in it. I've noticed I've had lower cortisol, less jitters, less crashes in the afternoon. And that is just all around, like gives me better focus and energy. It is available at Target stores around the U.S. as well as on Target.com.</v>
      </c>
      <c r="AW125" s="35"/>
      <c r="AX125" s="35"/>
      <c r="AY125" s="35"/>
      <c r="AZ125" s="35"/>
      <c r="BA125" s="35"/>
      <c r="BB125" s="35"/>
      <c r="BC125" s="35"/>
      <c r="BD125" s="35"/>
      <c r="BE125" s="35"/>
      <c r="BF125" s="35"/>
      <c r="BG125" s="35"/>
    </row>
    <row r="126" ht="15.75" customHeight="1">
      <c r="A126" s="55" t="str">
        <f>IFERROR(__xludf.DUMMYFUNCTION("""COMPUTED_VALUE"""),"Tiktok")</f>
        <v>Tiktok</v>
      </c>
      <c r="B126" s="56">
        <f>IFERROR(__xludf.DUMMYFUNCTION("""COMPUTED_VALUE"""),46195.0)</f>
        <v>46195</v>
      </c>
      <c r="C126" s="55" t="str">
        <f>IFERROR(__xludf.DUMMYFUNCTION("""COMPUTED_VALUE"""),"June")</f>
        <v>June</v>
      </c>
      <c r="D126" s="58" t="str">
        <f>IFERROR(__xludf.DUMMYFUNCTION("""COMPUTED_VALUE"""),"https://www.tiktok.com/@sosaudadebr/video/7654291984248491277")</f>
        <v>https://www.tiktok.com/@sosaudadebr/video/7654291984248491277</v>
      </c>
      <c r="E126" s="55" t="str">
        <f>IFERROR(__xludf.DUMMYFUNCTION("""COMPUTED_VALUE"""),"@sosaudadebr")</f>
        <v>@sosaudadebr</v>
      </c>
      <c r="F126" s="55" t="str">
        <f>IFERROR(__xludf.DUMMYFUNCTION("""COMPUTED_VALUE"""),"Aline Siqueira")</f>
        <v>Aline Siqueira</v>
      </c>
      <c r="G126" s="55" t="str">
        <f>IFERROR(__xludf.DUMMYFUNCTION("""COMPUTED_VALUE"""),"Taste")</f>
        <v>Taste</v>
      </c>
      <c r="H126" s="55">
        <f>IFERROR(__xludf.DUMMYFUNCTION("""COMPUTED_VALUE"""),49.0)</f>
        <v>49</v>
      </c>
      <c r="I126" s="55">
        <f>IFERROR(__xludf.DUMMYFUNCTION("""COMPUTED_VALUE"""),17.7)</f>
        <v>17.7</v>
      </c>
      <c r="J126" s="55" t="str">
        <f>IFERROR(__xludf.DUMMYFUNCTION("""COMPUTED_VALUE"""),"No")</f>
        <v>No</v>
      </c>
      <c r="K126" s="55" t="str">
        <f>IFERROR(__xludf.DUMMYFUNCTION("""COMPUTED_VALUE"""),"No")</f>
        <v>No</v>
      </c>
      <c r="L126" s="55" t="str">
        <f>IFERROR(__xludf.DUMMYFUNCTION("""COMPUTED_VALUE"""),"Score 17.6 | 6-sec 17.3% — below thresholds")</f>
        <v>Score 17.6 | 6-sec 17.3% — below thresholds</v>
      </c>
      <c r="M126" s="59" t="str">
        <f>IFERROR(__xludf.DUMMYFUNCTION("""COMPUTED_VALUE"""),"No Ad Data")</f>
        <v>No Ad Data</v>
      </c>
      <c r="N126" s="55"/>
      <c r="O126" s="55"/>
      <c r="P126" s="59">
        <f>IFERROR(__xludf.DUMMYFUNCTION("""COMPUTED_VALUE"""),42.0)</f>
        <v>42</v>
      </c>
      <c r="Q126" s="59">
        <f>IFERROR(__xludf.DUMMYFUNCTION("""COMPUTED_VALUE"""),2.0)</f>
        <v>2</v>
      </c>
      <c r="R126" s="59">
        <f>IFERROR(__xludf.DUMMYFUNCTION("""COMPUTED_VALUE"""),0.0)</f>
        <v>0</v>
      </c>
      <c r="S126" s="62">
        <f>IFERROR(__xludf.DUMMYFUNCTION("""COMPUTED_VALUE"""),47.8)</f>
        <v>47.8</v>
      </c>
      <c r="T126" s="62">
        <f>IFERROR(__xludf.DUMMYFUNCTION("""COMPUTED_VALUE"""),17.3)</f>
        <v>17.3</v>
      </c>
      <c r="U126" s="64">
        <f>IFERROR(__xludf.DUMMYFUNCTION("""COMPUTED_VALUE"""),4.0)</f>
        <v>4</v>
      </c>
      <c r="V126" s="62">
        <f>IFERROR(__xludf.DUMMYFUNCTION("""COMPUTED_VALUE"""),4.7)</f>
        <v>4.7</v>
      </c>
      <c r="W126" s="63">
        <f>IFERROR(__xludf.DUMMYFUNCTION("""COMPUTED_VALUE"""),117.58)</f>
        <v>117.58</v>
      </c>
      <c r="X126" s="59">
        <f>IFERROR(__xludf.DUMMYFUNCTION("""COMPUTED_VALUE"""),42.0)</f>
        <v>42</v>
      </c>
      <c r="Y126" s="59">
        <f>IFERROR(__xludf.DUMMYFUNCTION("""COMPUTED_VALUE"""),2.0)</f>
        <v>2</v>
      </c>
      <c r="Z126" s="59">
        <f>IFERROR(__xludf.DUMMYFUNCTION("""COMPUTED_VALUE"""),0.0)</f>
        <v>0</v>
      </c>
      <c r="AA126" s="59">
        <f>IFERROR(__xludf.DUMMYFUNCTION("""COMPUTED_VALUE"""),0.0)</f>
        <v>0</v>
      </c>
      <c r="AB126" s="64">
        <f>IFERROR(__xludf.DUMMYFUNCTION("""COMPUTED_VALUE"""),4.0)</f>
        <v>4</v>
      </c>
      <c r="AC126" s="62">
        <f>IFERROR(__xludf.DUMMYFUNCTION("""COMPUTED_VALUE"""),4.7)</f>
        <v>4.7</v>
      </c>
      <c r="AD126" s="62">
        <f>IFERROR(__xludf.DUMMYFUNCTION("""COMPUTED_VALUE"""),47.8)</f>
        <v>47.8</v>
      </c>
      <c r="AE126" s="62">
        <f>IFERROR(__xludf.DUMMYFUNCTION("""COMPUTED_VALUE"""),17.3)</f>
        <v>17.3</v>
      </c>
      <c r="AF126" s="55"/>
      <c r="AG126" s="55"/>
      <c r="AH126" s="55"/>
      <c r="AI126" s="55"/>
      <c r="AJ126" s="55"/>
      <c r="AK126" s="55"/>
      <c r="AL126" s="55"/>
      <c r="AM126" s="55" t="str">
        <f>IFERROR(__xludf.DUMMYFUNCTION("""COMPUTED_VALUE"""),"#VDZOqUEXeqDGlfgRG+vcvuV+2eVs0EPkV3ojzsA4Ll4E0yOkzhztXDJHbrJcrgE=")</f>
        <v>#VDZOqUEXeqDGlfgRG+vcvuV+2eVs0EPkV3ojzsA4Ll4E0yOkzhztXDJHbrJcrgE=</v>
      </c>
      <c r="AN126" s="55"/>
      <c r="AO126" s="58" t="str">
        <f>IFERROR(__xludf.DUMMYFUNCTION("""COMPUTED_VALUE"""),"https://us.brand.joinbrands.com/job/692965")</f>
        <v>https://us.brand.joinbrands.com/job/692965</v>
      </c>
      <c r="AP126" s="55" t="str">
        <f>IFERROR(__xludf.DUMMYFUNCTION("""COMPUTED_VALUE"""),"NA")</f>
        <v>NA</v>
      </c>
      <c r="AQ126" s="55" t="str">
        <f>IFERROR(__xludf.DUMMYFUNCTION("""COMPUTED_VALUE"""),"VAHDAM Ashwagandha Medium Roast Calm Energy and Focus Support Instant Coffee @VAHDAM USA A delicious coffee that you can find @target")</f>
        <v>VAHDAM Ashwagandha Medium Roast Calm Energy and Focus Support Instant Coffee @VAHDAM USA A delicious coffee that you can find @target</v>
      </c>
      <c r="AR126" s="55" t="str">
        <f>IFERROR(__xludf.DUMMYFUNCTION("""COMPUTED_VALUE"""),"You may not know this, but mushroom coffee can taste delicious.")</f>
        <v>You may not know this, but mushroom coffee can taste delicious.</v>
      </c>
      <c r="AS126" s="55" t="str">
        <f>IFERROR(__xludf.DUMMYFUNCTION("""COMPUTED_VALUE"""),"Taste / Sensory")</f>
        <v>Taste / Sensory</v>
      </c>
      <c r="AT126" s="55" t="str">
        <f>IFERROR(__xludf.DUMMYFUNCTION("""COMPUTED_VALUE"""),"• Being able to enjoy a coffee that's going to help me to feel more focused, calm, and more in control on my day.
• As a mom, her favorite time of the day is the morning where the kids still sleep.
• Vandag Ashugandha is a delicious coffee.
• Astrogandha "&amp;"to help you calm yourself down.")</f>
        <v>• Being able to enjoy a coffee that's going to help me to feel more focused, calm, and more in control on my day.
• As a mom, her favorite time of the day is the morning where the kids still sleep.
• Vandag Ashugandha is a delicious coffee.
• Astrogandha to help you calm yourself down.</v>
      </c>
      <c r="AU126" s="55" t="str">
        <f>IFERROR(__xludf.DUMMYFUNCTION("""COMPUTED_VALUE"""),"If you haven't tried this, I highly recommend it.")</f>
        <v>If you haven't tried this, I highly recommend it.</v>
      </c>
      <c r="AV126" s="55" t="str">
        <f>IFERROR(__xludf.DUMMYFUNCTION("""COMPUTED_VALUE"""),"You may not know this, but mushroom coffee can taste delicious. Let me show you what I just found at Target. As a mom, her favorite time of the day is the morning where the kids still sleep. Being able to enjoy a coffee that's going to help me to feel mor"&amp;"e focused, calm, and more in control on my day. Vandag Ashugandha is a delicious coffee. To make it, you just get two scoops and put it in your favorite drink. Powerful blend of five amazing ingredients. Astrogandha to help you calm yourself down. Tumaret"&amp;" that helps with inflammation. Linesmaids that helps with focus. L-tiny that supports sleep. And the best part, 100% Premier Arabic Coffee to give the little boost they'll need to get through the day. If you haven't tried this, I highly recommend it.")</f>
        <v>You may not know this, but mushroom coffee can taste delicious. Let me show you what I just found at Target. As a mom, her favorite time of the day is the morning where the kids still sleep. Being able to enjoy a coffee that's going to help me to feel more focused, calm, and more in control on my day. Vandag Ashugandha is a delicious coffee. To make it, you just get two scoops and put it in your favorite drink. Powerful blend of five amazing ingredients. Astrogandha to help you calm yourself down. Tumaret that helps with inflammation. Linesmaids that helps with focus. L-tiny that supports sleep. And the best part, 100% Premier Arabic Coffee to give the little boost they'll need to get through the day. If you haven't tried this, I highly recommend it.</v>
      </c>
      <c r="AW126" s="35"/>
      <c r="AX126" s="35"/>
      <c r="AY126" s="35"/>
      <c r="AZ126" s="35"/>
      <c r="BA126" s="35"/>
      <c r="BB126" s="35"/>
      <c r="BC126" s="35"/>
      <c r="BD126" s="35"/>
      <c r="BE126" s="35"/>
      <c r="BF126" s="35"/>
      <c r="BG126" s="35"/>
    </row>
    <row r="127" ht="15.75" customHeight="1">
      <c r="A127" s="55" t="str">
        <f>IFERROR(__xludf.DUMMYFUNCTION("""COMPUTED_VALUE"""),"Instagram")</f>
        <v>Instagram</v>
      </c>
      <c r="B127" s="56">
        <f>IFERROR(__xludf.DUMMYFUNCTION("""COMPUTED_VALUE"""),46203.0)</f>
        <v>46203</v>
      </c>
      <c r="C127" s="55" t="str">
        <f>IFERROR(__xludf.DUMMYFUNCTION("""COMPUTED_VALUE"""),"June")</f>
        <v>June</v>
      </c>
      <c r="D127" s="58" t="str">
        <f>IFERROR(__xludf.DUMMYFUNCTION("""COMPUTED_VALUE"""),"https://www.instagram.com/reel/DaLOUUcRNN5/")</f>
        <v>https://www.instagram.com/reel/DaLOUUcRNN5/</v>
      </c>
      <c r="E127" s="55" t="str">
        <f>IFERROR(__xludf.DUMMYFUNCTION("""COMPUTED_VALUE"""),"bohomamafinds")</f>
        <v>bohomamafinds</v>
      </c>
      <c r="F127" s="55"/>
      <c r="G127" s="55" t="str">
        <f>IFERROR(__xludf.DUMMYFUNCTION("""COMPUTED_VALUE"""),"Over 40/ High Performer")</f>
        <v>Over 40/ High Performer</v>
      </c>
      <c r="H127" s="55"/>
      <c r="I127" s="55">
        <f>IFERROR(__xludf.DUMMYFUNCTION("""COMPUTED_VALUE"""),7.7)</f>
        <v>7.7</v>
      </c>
      <c r="J127" s="55" t="str">
        <f>IFERROR(__xludf.DUMMYFUNCTION("""COMPUTED_VALUE"""),"No")</f>
        <v>No</v>
      </c>
      <c r="K127" s="55" t="str">
        <f>IFERROR(__xludf.DUMMYFUNCTION("""COMPUTED_VALUE"""),"No")</f>
        <v>No</v>
      </c>
      <c r="L127" s="55" t="str">
        <f>IFERROR(__xludf.DUMMYFUNCTION("""COMPUTED_VALUE"""),"Score 8.0 — below threshold")</f>
        <v>Score 8.0 — below threshold</v>
      </c>
      <c r="M127" s="59" t="str">
        <f>IFERROR(__xludf.DUMMYFUNCTION("""COMPUTED_VALUE"""),"No Ad Data")</f>
        <v>No Ad Data</v>
      </c>
      <c r="N127" s="55"/>
      <c r="O127" s="55"/>
      <c r="P127" s="59">
        <f>IFERROR(__xludf.DUMMYFUNCTION("""COMPUTED_VALUE"""),32.0)</f>
        <v>32</v>
      </c>
      <c r="Q127" s="59">
        <f>IFERROR(__xludf.DUMMYFUNCTION("""COMPUTED_VALUE"""),1.0)</f>
        <v>1</v>
      </c>
      <c r="R127" s="55"/>
      <c r="S127" s="55"/>
      <c r="T127" s="55"/>
      <c r="U127" s="55"/>
      <c r="V127" s="55"/>
      <c r="W127" s="63">
        <f>IFERROR(__xludf.DUMMYFUNCTION("""COMPUTED_VALUE"""),117.58)</f>
        <v>117.58</v>
      </c>
      <c r="X127" s="59">
        <f>IFERROR(__xludf.DUMMYFUNCTION("""COMPUTED_VALUE"""),32.0)</f>
        <v>32</v>
      </c>
      <c r="Y127" s="59">
        <f>IFERROR(__xludf.DUMMYFUNCTION("""COMPUTED_VALUE"""),1.0)</f>
        <v>1</v>
      </c>
      <c r="Z127" s="55"/>
      <c r="AA127" s="55"/>
      <c r="AB127" s="55"/>
      <c r="AC127" s="55"/>
      <c r="AD127" s="55"/>
      <c r="AE127" s="55"/>
      <c r="AF127" s="55"/>
      <c r="AG127" s="55"/>
      <c r="AH127" s="55"/>
      <c r="AI127" s="55"/>
      <c r="AJ127" s="55"/>
      <c r="AK127" s="55"/>
      <c r="AL127" s="55"/>
      <c r="AM127" s="55" t="str">
        <f>IFERROR(__xludf.DUMMYFUNCTION("""COMPUTED_VALUE"""),"Q9jTBBVhSBqresw6lOZ5n5RXyWNTAPZiO1xU4MVzc86n2P6moPCAe6Ih1QGjEbahaXY")</f>
        <v>Q9jTBBVhSBqresw6lOZ5n5RXyWNTAPZiO1xU4MVzc86n2P6moPCAe6Ih1QGjEbahaXY</v>
      </c>
      <c r="AN127" s="55"/>
      <c r="AO127" s="55"/>
      <c r="AP127" s="55"/>
      <c r="AQ127" s="55" t="str">
        <f>IFERROR(__xludf.DUMMYFUNCTION("""COMPUTED_VALUE"""),"My afternoon coffee has officially been upgraded. â˜•âœ¨ I love that this combines coffee with KSM-66, ashwagandha, L-theanine, lionâ€™s mane, chaga, and turmericâ€”all in one cup. Itâ€™s become such an...")</f>
        <v>My afternoon coffee has officially been upgraded. â˜•âœ¨ I love that this combines coffee with KSM-66, ashwagandha, L-theanine, lionâ€™s mane, chaga, and turmericâ€”all in one cup. Itâ€™s become such an...</v>
      </c>
      <c r="AR127" s="55" t="str">
        <f>IFERROR(__xludf.DUMMYFUNCTION("""COMPUTED_VALUE"""),"If you're over 40 and your morning coffee leaves you jittery, but you still can't function without it, listen to this.")</f>
        <v>If you're over 40 and your morning coffee leaves you jittery, but you still can't function without it, listen to this.</v>
      </c>
      <c r="AS127" s="55" t="str">
        <f>IFERROR(__xludf.DUMMYFUNCTION("""COMPUTED_VALUE"""),"Age/Life Stage")</f>
        <v>Age/Life Stage</v>
      </c>
      <c r="AT127" s="55" t="str">
        <f>IFERROR(__xludf.DUMMYFUNCTION("""COMPUTED_VALUE"""),"• Product introduced immediately in the opening
• Benefits covered: jitter, wellness, energy, calm
• CTA: ""If you're looking for a simple wellness upgrade, you can find this at Target sto...""")</f>
        <v>• Product introduced immediately in the opening
• Benefits covered: jitter, wellness, energy, calm
• CTA: "If you're looking for a simple wellness upgrade, you can find this at Target sto..."</v>
      </c>
      <c r="AU127" s="55" t="str">
        <f>IFERROR(__xludf.DUMMYFUNCTION("""COMPUTED_VALUE"""),"If you're looking for a simple wellness upgrade, you can find this at Target stores nationwide or on Target.com.")</f>
        <v>If you're looking for a simple wellness upgrade, you can find this at Target stores nationwide or on Target.com.</v>
      </c>
      <c r="AV127" s="55" t="str">
        <f>IFERROR(__xludf.DUMMYFUNCTION("""COMPUTED_VALUE"""),"If you're over 40 and your morning coffee leaves you jittery, but you still can't function without it, listen to this. I switched to Vadum Ashwagandha Coffee because it's regular coffee but upgraded. And it has five wellness ingredients in one simple cup."&amp;" It has KSM-66, ashwagandha, L-theanine, turmeric, lion's mane, and chaga. And it gives me calm energy with no jitters or crash, but it tastes like delicious regular coffee. If you're looking for a simple wellness upgrade, you can find this at Target stor"&amp;"es nationwide or on Target.com.")</f>
        <v>If you're over 40 and your morning coffee leaves you jittery, but you still can't function without it, listen to this. I switched to Vadum Ashwagandha Coffee because it's regular coffee but upgraded. And it has five wellness ingredients in one simple cup. It has KSM-66, ashwagandha, L-theanine, turmeric, lion's mane, and chaga. And it gives me calm energy with no jitters or crash, but it tastes like delicious regular coffee. If you're looking for a simple wellness upgrade, you can find this at Target stores nationwide or on Target.com.</v>
      </c>
      <c r="AW127" s="35"/>
      <c r="AX127" s="35"/>
      <c r="AY127" s="35"/>
      <c r="AZ127" s="35"/>
      <c r="BA127" s="35"/>
      <c r="BB127" s="35"/>
      <c r="BC127" s="35"/>
      <c r="BD127" s="35"/>
      <c r="BE127" s="35"/>
      <c r="BF127" s="35"/>
      <c r="BG127" s="35"/>
    </row>
    <row r="128" ht="15.75" customHeight="1">
      <c r="A128" s="55" t="str">
        <f>IFERROR(__xludf.DUMMYFUNCTION("""COMPUTED_VALUE"""),"Instagram")</f>
        <v>Instagram</v>
      </c>
      <c r="B128" s="56">
        <f>IFERROR(__xludf.DUMMYFUNCTION("""COMPUTED_VALUE"""),46195.0)</f>
        <v>46195</v>
      </c>
      <c r="C128" s="55" t="str">
        <f>IFERROR(__xludf.DUMMYFUNCTION("""COMPUTED_VALUE"""),"June")</f>
        <v>June</v>
      </c>
      <c r="D128" s="58" t="str">
        <f>IFERROR(__xludf.DUMMYFUNCTION("""COMPUTED_VALUE"""),"https://www.instagram.com/reel/DZ0JSGbReaJ/")</f>
        <v>https://www.instagram.com/reel/DZ0JSGbReaJ/</v>
      </c>
      <c r="E128" s="55" t="str">
        <f>IFERROR(__xludf.DUMMYFUNCTION("""COMPUTED_VALUE"""),"@na")</f>
        <v>@na</v>
      </c>
      <c r="F128" s="55" t="str">
        <f>IFERROR(__xludf.DUMMYFUNCTION("""COMPUTED_VALUE"""),"NA")</f>
        <v>NA</v>
      </c>
      <c r="G128" s="55" t="str">
        <f>IFERROR(__xludf.DUMMYFUNCTION("""COMPUTED_VALUE"""),"Countering Mushroom Coffee Trend")</f>
        <v>Countering Mushroom Coffee Trend</v>
      </c>
      <c r="H128" s="55" t="str">
        <f>IFERROR(__xludf.DUMMYFUNCTION("""COMPUTED_VALUE"""),"NA")</f>
        <v>NA</v>
      </c>
      <c r="I128" s="55">
        <f>IFERROR(__xludf.DUMMYFUNCTION("""COMPUTED_VALUE"""),9.9)</f>
        <v>9.9</v>
      </c>
      <c r="J128" s="55" t="str">
        <f>IFERROR(__xludf.DUMMYFUNCTION("""COMPUTED_VALUE"""),"No")</f>
        <v>No</v>
      </c>
      <c r="K128" s="55" t="str">
        <f>IFERROR(__xludf.DUMMYFUNCTION("""COMPUTED_VALUE"""),"No")</f>
        <v>No</v>
      </c>
      <c r="L128" s="55" t="str">
        <f>IFERROR(__xludf.DUMMYFUNCTION("""COMPUTED_VALUE"""),"Score 10.2 — below threshold")</f>
        <v>Score 10.2 — below threshold</v>
      </c>
      <c r="M128" s="59" t="str">
        <f>IFERROR(__xludf.DUMMYFUNCTION("""COMPUTED_VALUE"""),"No Ad Data")</f>
        <v>No Ad Data</v>
      </c>
      <c r="N128" s="55"/>
      <c r="O128" s="55"/>
      <c r="P128" s="59">
        <f>IFERROR(__xludf.DUMMYFUNCTION("""COMPUTED_VALUE"""),29.0)</f>
        <v>29</v>
      </c>
      <c r="Q128" s="59">
        <f>IFERROR(__xludf.DUMMYFUNCTION("""COMPUTED_VALUE"""),2.0)</f>
        <v>2</v>
      </c>
      <c r="R128" s="59">
        <f>IFERROR(__xludf.DUMMYFUNCTION("""COMPUTED_VALUE"""),1.0)</f>
        <v>1</v>
      </c>
      <c r="S128" s="55"/>
      <c r="T128" s="68">
        <f>IFERROR(__xludf.DUMMYFUNCTION("""COMPUTED_VALUE"""),0.0)</f>
        <v>0</v>
      </c>
      <c r="U128" s="55"/>
      <c r="V128" s="62">
        <f>IFERROR(__xludf.DUMMYFUNCTION("""COMPUTED_VALUE"""),0.1034)</f>
        <v>0.1034</v>
      </c>
      <c r="W128" s="63">
        <f>IFERROR(__xludf.DUMMYFUNCTION("""COMPUTED_VALUE"""),117.58)</f>
        <v>117.58</v>
      </c>
      <c r="X128" s="59">
        <f>IFERROR(__xludf.DUMMYFUNCTION("""COMPUTED_VALUE"""),29.0)</f>
        <v>29</v>
      </c>
      <c r="Y128" s="59">
        <f>IFERROR(__xludf.DUMMYFUNCTION("""COMPUTED_VALUE"""),2.0)</f>
        <v>2</v>
      </c>
      <c r="Z128" s="59">
        <f>IFERROR(__xludf.DUMMYFUNCTION("""COMPUTED_VALUE"""),1.0)</f>
        <v>1</v>
      </c>
      <c r="AA128" s="59">
        <f>IFERROR(__xludf.DUMMYFUNCTION("""COMPUTED_VALUE"""),0.0)</f>
        <v>0</v>
      </c>
      <c r="AB128" s="64">
        <f>IFERROR(__xludf.DUMMYFUNCTION("""COMPUTED_VALUE"""),0.0)</f>
        <v>0</v>
      </c>
      <c r="AC128" s="62">
        <f>IFERROR(__xludf.DUMMYFUNCTION("""COMPUTED_VALUE"""),0.1034)</f>
        <v>0.1034</v>
      </c>
      <c r="AD128" s="62">
        <f>IFERROR(__xludf.DUMMYFUNCTION("""COMPUTED_VALUE"""),0.0)</f>
        <v>0</v>
      </c>
      <c r="AE128" s="62">
        <f>IFERROR(__xludf.DUMMYFUNCTION("""COMPUTED_VALUE"""),0.0)</f>
        <v>0</v>
      </c>
      <c r="AF128" s="55"/>
      <c r="AG128" s="55"/>
      <c r="AH128" s="55"/>
      <c r="AI128" s="55"/>
      <c r="AJ128" s="55"/>
      <c r="AK128" s="55"/>
      <c r="AL128" s="55"/>
      <c r="AM128" s="55" t="str">
        <f>IFERROR(__xludf.DUMMYFUNCTION("""COMPUTED_VALUE"""),"Q9jTBBWZh2b6rlb0NBIZnwRYgD-OXkvBSQf27F6WOsA2SB4dil8ymk2cU0ekTT3ys5Q")</f>
        <v>Q9jTBBWZh2b6rlb0NBIZnwRYgD-OXkvBSQf27F6WOsA2SB4dil8ymk2cU0ekTT3ys5Q</v>
      </c>
      <c r="AN128" s="55"/>
      <c r="AO128" s="55" t="str">
        <f>IFERROR(__xludf.DUMMYFUNCTION("""COMPUTED_VALUE"""),"NA")</f>
        <v>NA</v>
      </c>
      <c r="AP128" s="55" t="str">
        <f>IFERROR(__xludf.DUMMYFUNCTION("""COMPUTED_VALUE"""),"NA")</f>
        <v>NA</v>
      </c>
      <c r="AQ128" s="55" t="str">
        <f>IFERROR(__xludf.DUMMYFUNCTION("""COMPUTED_VALUE"""),"NA")</f>
        <v>NA</v>
      </c>
      <c r="AR128" s="55" t="str">
        <f>IFERROR(__xludf.DUMMYFUNCTION("""COMPUTED_VALUE"""),"NA")</f>
        <v>NA</v>
      </c>
      <c r="AS128" s="55" t="str">
        <f>IFERROR(__xludf.DUMMYFUNCTION("""COMPUTED_VALUE"""),"NA")</f>
        <v>NA</v>
      </c>
      <c r="AT128" s="55" t="str">
        <f>IFERROR(__xludf.DUMMYFUNCTION("""COMPUTED_VALUE"""),"NA")</f>
        <v>NA</v>
      </c>
      <c r="AU128" s="55" t="str">
        <f>IFERROR(__xludf.DUMMYFUNCTION("""COMPUTED_VALUE"""),"NA")</f>
        <v>NA</v>
      </c>
      <c r="AV128" s="55"/>
      <c r="AW128" s="35"/>
      <c r="AX128" s="35"/>
      <c r="AY128" s="35"/>
      <c r="AZ128" s="35"/>
      <c r="BA128" s="35"/>
      <c r="BB128" s="35"/>
      <c r="BC128" s="35"/>
      <c r="BD128" s="35"/>
      <c r="BE128" s="35"/>
      <c r="BF128" s="35"/>
      <c r="BG128" s="35"/>
    </row>
    <row r="129" ht="15.75" customHeight="1">
      <c r="A129" s="55" t="str">
        <f>IFERROR(__xludf.DUMMYFUNCTION("""COMPUTED_VALUE"""),"Instagram")</f>
        <v>Instagram</v>
      </c>
      <c r="B129" s="56">
        <f>IFERROR(__xludf.DUMMYFUNCTION("""COMPUTED_VALUE"""),46199.0)</f>
        <v>46199</v>
      </c>
      <c r="C129" s="55" t="str">
        <f>IFERROR(__xludf.DUMMYFUNCTION("""COMPUTED_VALUE"""),"June")</f>
        <v>June</v>
      </c>
      <c r="D129" s="58" t="str">
        <f>IFERROR(__xludf.DUMMYFUNCTION("""COMPUTED_VALUE"""),"https://www.instagram.com/reel/DaCEEOzMTdN/")</f>
        <v>https://www.instagram.com/reel/DaCEEOzMTdN/</v>
      </c>
      <c r="E129" s="55" t="str">
        <f>IFERROR(__xludf.DUMMYFUNCTION("""COMPUTED_VALUE"""),"@na")</f>
        <v>@na</v>
      </c>
      <c r="F129" s="55" t="str">
        <f>IFERROR(__xludf.DUMMYFUNCTION("""COMPUTED_VALUE"""),"NA")</f>
        <v>NA</v>
      </c>
      <c r="G129" s="55" t="str">
        <f>IFERROR(__xludf.DUMMYFUNCTION("""COMPUTED_VALUE"""),"Countering Mushroom Coffee Trend")</f>
        <v>Countering Mushroom Coffee Trend</v>
      </c>
      <c r="H129" s="55" t="str">
        <f>IFERROR(__xludf.DUMMYFUNCTION("""COMPUTED_VALUE"""),"NA")</f>
        <v>NA</v>
      </c>
      <c r="I129" s="55">
        <f>IFERROR(__xludf.DUMMYFUNCTION("""COMPUTED_VALUE"""),8.1)</f>
        <v>8.1</v>
      </c>
      <c r="J129" s="55" t="str">
        <f>IFERROR(__xludf.DUMMYFUNCTION("""COMPUTED_VALUE"""),"No")</f>
        <v>No</v>
      </c>
      <c r="K129" s="55" t="str">
        <f>IFERROR(__xludf.DUMMYFUNCTION("""COMPUTED_VALUE"""),"No")</f>
        <v>No</v>
      </c>
      <c r="L129" s="55" t="str">
        <f>IFERROR(__xludf.DUMMYFUNCTION("""COMPUTED_VALUE"""),"Score 8.5 — below threshold")</f>
        <v>Score 8.5 — below threshold</v>
      </c>
      <c r="M129" s="59" t="str">
        <f>IFERROR(__xludf.DUMMYFUNCTION("""COMPUTED_VALUE"""),"No Ad Data")</f>
        <v>No Ad Data</v>
      </c>
      <c r="N129" s="55"/>
      <c r="O129" s="55"/>
      <c r="P129" s="59">
        <f>IFERROR(__xludf.DUMMYFUNCTION("""COMPUTED_VALUE"""),19.0)</f>
        <v>19</v>
      </c>
      <c r="Q129" s="59">
        <f>IFERROR(__xludf.DUMMYFUNCTION("""COMPUTED_VALUE"""),2.0)</f>
        <v>2</v>
      </c>
      <c r="R129" s="59">
        <f>IFERROR(__xludf.DUMMYFUNCTION("""COMPUTED_VALUE"""),0.0)</f>
        <v>0</v>
      </c>
      <c r="S129" s="55"/>
      <c r="T129" s="68">
        <f>IFERROR(__xludf.DUMMYFUNCTION("""COMPUTED_VALUE"""),0.0)</f>
        <v>0</v>
      </c>
      <c r="U129" s="55"/>
      <c r="V129" s="62">
        <f>IFERROR(__xludf.DUMMYFUNCTION("""COMPUTED_VALUE"""),0.0)</f>
        <v>0</v>
      </c>
      <c r="W129" s="63">
        <f>IFERROR(__xludf.DUMMYFUNCTION("""COMPUTED_VALUE"""),117.58)</f>
        <v>117.58</v>
      </c>
      <c r="X129" s="59">
        <f>IFERROR(__xludf.DUMMYFUNCTION("""COMPUTED_VALUE"""),19.0)</f>
        <v>19</v>
      </c>
      <c r="Y129" s="59">
        <f>IFERROR(__xludf.DUMMYFUNCTION("""COMPUTED_VALUE"""),2.0)</f>
        <v>2</v>
      </c>
      <c r="Z129" s="59">
        <f>IFERROR(__xludf.DUMMYFUNCTION("""COMPUTED_VALUE"""),0.0)</f>
        <v>0</v>
      </c>
      <c r="AA129" s="59">
        <f>IFERROR(__xludf.DUMMYFUNCTION("""COMPUTED_VALUE"""),0.0)</f>
        <v>0</v>
      </c>
      <c r="AB129" s="64">
        <f>IFERROR(__xludf.DUMMYFUNCTION("""COMPUTED_VALUE"""),0.0)</f>
        <v>0</v>
      </c>
      <c r="AC129" s="62">
        <f>IFERROR(__xludf.DUMMYFUNCTION("""COMPUTED_VALUE"""),0.0)</f>
        <v>0</v>
      </c>
      <c r="AD129" s="62">
        <f>IFERROR(__xludf.DUMMYFUNCTION("""COMPUTED_VALUE"""),0.0)</f>
        <v>0</v>
      </c>
      <c r="AE129" s="62">
        <f>IFERROR(__xludf.DUMMYFUNCTION("""COMPUTED_VALUE"""),0.0)</f>
        <v>0</v>
      </c>
      <c r="AF129" s="55"/>
      <c r="AG129" s="55"/>
      <c r="AH129" s="55"/>
      <c r="AI129" s="55"/>
      <c r="AJ129" s="55"/>
      <c r="AK129" s="55"/>
      <c r="AL129" s="55"/>
      <c r="AM129" s="55" t="str">
        <f>IFERROR(__xludf.DUMMYFUNCTION("""COMPUTED_VALUE"""),"Q9jTBBUdgivoxBOE-gg7884dFx23tqA8FdgxeHj9HUbQ2KA3uGgQdKoiaIPCcYZT")</f>
        <v>Q9jTBBUdgivoxBOE-gg7884dFx23tqA8FdgxeHj9HUbQ2KA3uGgQdKoiaIPCcYZT</v>
      </c>
      <c r="AN129" s="55"/>
      <c r="AO129" s="55" t="str">
        <f>IFERROR(__xludf.DUMMYFUNCTION("""COMPUTED_VALUE"""),"NA")</f>
        <v>NA</v>
      </c>
      <c r="AP129" s="55" t="str">
        <f>IFERROR(__xludf.DUMMYFUNCTION("""COMPUTED_VALUE"""),"NA")</f>
        <v>NA</v>
      </c>
      <c r="AQ129" s="55" t="str">
        <f>IFERROR(__xludf.DUMMYFUNCTION("""COMPUTED_VALUE"""),"NA")</f>
        <v>NA</v>
      </c>
      <c r="AR129" s="55" t="str">
        <f>IFERROR(__xludf.DUMMYFUNCTION("""COMPUTED_VALUE"""),"NA")</f>
        <v>NA</v>
      </c>
      <c r="AS129" s="55" t="str">
        <f>IFERROR(__xludf.DUMMYFUNCTION("""COMPUTED_VALUE"""),"NA")</f>
        <v>NA</v>
      </c>
      <c r="AT129" s="55" t="str">
        <f>IFERROR(__xludf.DUMMYFUNCTION("""COMPUTED_VALUE"""),"NA")</f>
        <v>NA</v>
      </c>
      <c r="AU129" s="55"/>
      <c r="AV129" s="55"/>
      <c r="AW129" s="35"/>
      <c r="AX129" s="35"/>
      <c r="AY129" s="35"/>
      <c r="AZ129" s="35"/>
      <c r="BA129" s="35"/>
      <c r="BB129" s="35"/>
      <c r="BC129" s="35"/>
      <c r="BD129" s="35"/>
      <c r="BE129" s="35"/>
      <c r="BF129" s="35"/>
      <c r="BG129" s="35"/>
    </row>
    <row r="130" ht="15.75" customHeight="1">
      <c r="A130" s="55" t="str">
        <f>IFERROR(__xludf.DUMMYFUNCTION("""COMPUTED_VALUE"""),"Instagram")</f>
        <v>Instagram</v>
      </c>
      <c r="B130" s="56">
        <f>IFERROR(__xludf.DUMMYFUNCTION("""COMPUTED_VALUE"""),46197.0)</f>
        <v>46197</v>
      </c>
      <c r="C130" s="55" t="str">
        <f>IFERROR(__xludf.DUMMYFUNCTION("""COMPUTED_VALUE"""),"June")</f>
        <v>June</v>
      </c>
      <c r="D130" s="58" t="str">
        <f>IFERROR(__xludf.DUMMYFUNCTION("""COMPUTED_VALUE"""),"https://www.instagram.com/reel/DZ7_-KwOAAA/")</f>
        <v>https://www.instagram.com/reel/DZ7_-KwOAAA/</v>
      </c>
      <c r="E130" s="55" t="str">
        <f>IFERROR(__xludf.DUMMYFUNCTION("""COMPUTED_VALUE"""),"@na")</f>
        <v>@na</v>
      </c>
      <c r="F130" s="55" t="str">
        <f>IFERROR(__xludf.DUMMYFUNCTION("""COMPUTED_VALUE"""),"NA")</f>
        <v>NA</v>
      </c>
      <c r="G130" s="55" t="str">
        <f>IFERROR(__xludf.DUMMYFUNCTION("""COMPUTED_VALUE"""),"Countering Mushroom Coffee Trend")</f>
        <v>Countering Mushroom Coffee Trend</v>
      </c>
      <c r="H130" s="55" t="str">
        <f>IFERROR(__xludf.DUMMYFUNCTION("""COMPUTED_VALUE"""),"NA")</f>
        <v>NA</v>
      </c>
      <c r="I130" s="55">
        <f>IFERROR(__xludf.DUMMYFUNCTION("""COMPUTED_VALUE"""),6.8)</f>
        <v>6.8</v>
      </c>
      <c r="J130" s="55" t="str">
        <f>IFERROR(__xludf.DUMMYFUNCTION("""COMPUTED_VALUE"""),"No")</f>
        <v>No</v>
      </c>
      <c r="K130" s="55" t="str">
        <f>IFERROR(__xludf.DUMMYFUNCTION("""COMPUTED_VALUE"""),"No")</f>
        <v>No</v>
      </c>
      <c r="L130" s="55" t="str">
        <f>IFERROR(__xludf.DUMMYFUNCTION("""COMPUTED_VALUE"""),"Score 7.1 — below threshold")</f>
        <v>Score 7.1 — below threshold</v>
      </c>
      <c r="M130" s="59" t="str">
        <f>IFERROR(__xludf.DUMMYFUNCTION("""COMPUTED_VALUE"""),"No Ad Data")</f>
        <v>No Ad Data</v>
      </c>
      <c r="N130" s="55"/>
      <c r="O130" s="55"/>
      <c r="P130" s="59">
        <f>IFERROR(__xludf.DUMMYFUNCTION("""COMPUTED_VALUE"""),18.0)</f>
        <v>18</v>
      </c>
      <c r="Q130" s="59">
        <f>IFERROR(__xludf.DUMMYFUNCTION("""COMPUTED_VALUE"""),1.0)</f>
        <v>1</v>
      </c>
      <c r="R130" s="59">
        <f>IFERROR(__xludf.DUMMYFUNCTION("""COMPUTED_VALUE"""),0.0)</f>
        <v>0</v>
      </c>
      <c r="S130" s="55"/>
      <c r="T130" s="68">
        <f>IFERROR(__xludf.DUMMYFUNCTION("""COMPUTED_VALUE"""),0.0)</f>
        <v>0</v>
      </c>
      <c r="U130" s="55"/>
      <c r="V130" s="62">
        <f>IFERROR(__xludf.DUMMYFUNCTION("""COMPUTED_VALUE"""),0.0)</f>
        <v>0</v>
      </c>
      <c r="W130" s="63">
        <f>IFERROR(__xludf.DUMMYFUNCTION("""COMPUTED_VALUE"""),117.58)</f>
        <v>117.58</v>
      </c>
      <c r="X130" s="59">
        <f>IFERROR(__xludf.DUMMYFUNCTION("""COMPUTED_VALUE"""),18.0)</f>
        <v>18</v>
      </c>
      <c r="Y130" s="59">
        <f>IFERROR(__xludf.DUMMYFUNCTION("""COMPUTED_VALUE"""),1.0)</f>
        <v>1</v>
      </c>
      <c r="Z130" s="59">
        <f>IFERROR(__xludf.DUMMYFUNCTION("""COMPUTED_VALUE"""),0.0)</f>
        <v>0</v>
      </c>
      <c r="AA130" s="59">
        <f>IFERROR(__xludf.DUMMYFUNCTION("""COMPUTED_VALUE"""),0.0)</f>
        <v>0</v>
      </c>
      <c r="AB130" s="64">
        <f>IFERROR(__xludf.DUMMYFUNCTION("""COMPUTED_VALUE"""),0.0)</f>
        <v>0</v>
      </c>
      <c r="AC130" s="62">
        <f>IFERROR(__xludf.DUMMYFUNCTION("""COMPUTED_VALUE"""),0.0)</f>
        <v>0</v>
      </c>
      <c r="AD130" s="62">
        <f>IFERROR(__xludf.DUMMYFUNCTION("""COMPUTED_VALUE"""),0.0)</f>
        <v>0</v>
      </c>
      <c r="AE130" s="62">
        <f>IFERROR(__xludf.DUMMYFUNCTION("""COMPUTED_VALUE"""),0.0)</f>
        <v>0</v>
      </c>
      <c r="AF130" s="55"/>
      <c r="AG130" s="55"/>
      <c r="AH130" s="55"/>
      <c r="AI130" s="55"/>
      <c r="AJ130" s="55"/>
      <c r="AK130" s="55"/>
      <c r="AL130" s="55"/>
      <c r="AM130" s="55" t="str">
        <f>IFERROR(__xludf.DUMMYFUNCTION("""COMPUTED_VALUE"""),"Q9jTBBUDPp5k3EFkLvxeoWpmb93vZnb1VFc3Hf8j3b8zTCFTlKubIBezaQNl44LZwzk")</f>
        <v>Q9jTBBUDPp5k3EFkLvxeoWpmb93vZnb1VFc3Hf8j3b8zTCFTlKubIBezaQNl44LZwzk</v>
      </c>
      <c r="AN130" s="55"/>
      <c r="AO130" s="55" t="str">
        <f>IFERROR(__xludf.DUMMYFUNCTION("""COMPUTED_VALUE"""),"NA")</f>
        <v>NA</v>
      </c>
      <c r="AP130" s="55" t="str">
        <f>IFERROR(__xludf.DUMMYFUNCTION("""COMPUTED_VALUE"""),"NA")</f>
        <v>NA</v>
      </c>
      <c r="AQ130" s="55" t="str">
        <f>IFERROR(__xludf.DUMMYFUNCTION("""COMPUTED_VALUE"""),"NA")</f>
        <v>NA</v>
      </c>
      <c r="AR130" s="55" t="str">
        <f>IFERROR(__xludf.DUMMYFUNCTION("""COMPUTED_VALUE"""),"NA")</f>
        <v>NA</v>
      </c>
      <c r="AS130" s="55" t="str">
        <f>IFERROR(__xludf.DUMMYFUNCTION("""COMPUTED_VALUE"""),"NA")</f>
        <v>NA</v>
      </c>
      <c r="AT130" s="55" t="str">
        <f>IFERROR(__xludf.DUMMYFUNCTION("""COMPUTED_VALUE"""),"NA")</f>
        <v>NA</v>
      </c>
      <c r="AU130" s="55" t="str">
        <f>IFERROR(__xludf.DUMMYFUNCTION("""COMPUTED_VALUE"""),"NA")</f>
        <v>NA</v>
      </c>
      <c r="AV130" s="55"/>
      <c r="AW130" s="35"/>
      <c r="AX130" s="35"/>
      <c r="AY130" s="35"/>
      <c r="AZ130" s="35"/>
      <c r="BA130" s="35"/>
      <c r="BB130" s="35"/>
      <c r="BC130" s="35"/>
      <c r="BD130" s="35"/>
      <c r="BE130" s="35"/>
      <c r="BF130" s="35"/>
      <c r="BG130" s="35"/>
    </row>
    <row r="131" ht="15.75" customHeight="1">
      <c r="A131" s="55" t="str">
        <f>IFERROR(__xludf.DUMMYFUNCTION("""COMPUTED_VALUE"""),"Instagram")</f>
        <v>Instagram</v>
      </c>
      <c r="B131" s="56">
        <f>IFERROR(__xludf.DUMMYFUNCTION("""COMPUTED_VALUE"""),46191.0)</f>
        <v>46191</v>
      </c>
      <c r="C131" s="55" t="str">
        <f>IFERROR(__xludf.DUMMYFUNCTION("""COMPUTED_VALUE"""),"June")</f>
        <v>June</v>
      </c>
      <c r="D131" s="58" t="str">
        <f>IFERROR(__xludf.DUMMYFUNCTION("""COMPUTED_VALUE"""),"https://www.instagram.com/reel/DZtEojCBeoZ/")</f>
        <v>https://www.instagram.com/reel/DZtEojCBeoZ/</v>
      </c>
      <c r="E131" s="55" t="str">
        <f>IFERROR(__xludf.DUMMYFUNCTION("""COMPUTED_VALUE"""),"@na")</f>
        <v>@na</v>
      </c>
      <c r="F131" s="55" t="str">
        <f>IFERROR(__xludf.DUMMYFUNCTION("""COMPUTED_VALUE"""),"NA")</f>
        <v>NA</v>
      </c>
      <c r="G131" s="55" t="str">
        <f>IFERROR(__xludf.DUMMYFUNCTION("""COMPUTED_VALUE"""),"Target Shelf Showdown")</f>
        <v>Target Shelf Showdown</v>
      </c>
      <c r="H131" s="55" t="str">
        <f>IFERROR(__xludf.DUMMYFUNCTION("""COMPUTED_VALUE"""),"NA")</f>
        <v>NA</v>
      </c>
      <c r="I131" s="55">
        <f>IFERROR(__xludf.DUMMYFUNCTION("""COMPUTED_VALUE"""),6.6)</f>
        <v>6.6</v>
      </c>
      <c r="J131" s="55" t="str">
        <f>IFERROR(__xludf.DUMMYFUNCTION("""COMPUTED_VALUE"""),"No")</f>
        <v>No</v>
      </c>
      <c r="K131" s="55" t="str">
        <f>IFERROR(__xludf.DUMMYFUNCTION("""COMPUTED_VALUE"""),"No")</f>
        <v>No</v>
      </c>
      <c r="L131" s="55" t="str">
        <f>IFERROR(__xludf.DUMMYFUNCTION("""COMPUTED_VALUE"""),"Score 6.9 — below threshold")</f>
        <v>Score 6.9 — below threshold</v>
      </c>
      <c r="M131" s="59" t="str">
        <f>IFERROR(__xludf.DUMMYFUNCTION("""COMPUTED_VALUE"""),"No Ad Data")</f>
        <v>No Ad Data</v>
      </c>
      <c r="N131" s="55"/>
      <c r="O131" s="55"/>
      <c r="P131" s="59">
        <f>IFERROR(__xludf.DUMMYFUNCTION("""COMPUTED_VALUE"""),16.0)</f>
        <v>16</v>
      </c>
      <c r="Q131" s="59">
        <f>IFERROR(__xludf.DUMMYFUNCTION("""COMPUTED_VALUE"""),1.0)</f>
        <v>1</v>
      </c>
      <c r="R131" s="59">
        <f>IFERROR(__xludf.DUMMYFUNCTION("""COMPUTED_VALUE"""),0.0)</f>
        <v>0</v>
      </c>
      <c r="S131" s="55"/>
      <c r="T131" s="68">
        <f>IFERROR(__xludf.DUMMYFUNCTION("""COMPUTED_VALUE"""),0.0)</f>
        <v>0</v>
      </c>
      <c r="U131" s="55"/>
      <c r="V131" s="62">
        <f>IFERROR(__xludf.DUMMYFUNCTION("""COMPUTED_VALUE"""),0.0)</f>
        <v>0</v>
      </c>
      <c r="W131" s="63">
        <f>IFERROR(__xludf.DUMMYFUNCTION("""COMPUTED_VALUE"""),72.99)</f>
        <v>72.99</v>
      </c>
      <c r="X131" s="59">
        <f>IFERROR(__xludf.DUMMYFUNCTION("""COMPUTED_VALUE"""),16.0)</f>
        <v>16</v>
      </c>
      <c r="Y131" s="59">
        <f>IFERROR(__xludf.DUMMYFUNCTION("""COMPUTED_VALUE"""),1.0)</f>
        <v>1</v>
      </c>
      <c r="Z131" s="59">
        <f>IFERROR(__xludf.DUMMYFUNCTION("""COMPUTED_VALUE"""),0.0)</f>
        <v>0</v>
      </c>
      <c r="AA131" s="59">
        <f>IFERROR(__xludf.DUMMYFUNCTION("""COMPUTED_VALUE"""),0.0)</f>
        <v>0</v>
      </c>
      <c r="AB131" s="64">
        <f>IFERROR(__xludf.DUMMYFUNCTION("""COMPUTED_VALUE"""),0.0)</f>
        <v>0</v>
      </c>
      <c r="AC131" s="62">
        <f>IFERROR(__xludf.DUMMYFUNCTION("""COMPUTED_VALUE"""),0.0)</f>
        <v>0</v>
      </c>
      <c r="AD131" s="62">
        <f>IFERROR(__xludf.DUMMYFUNCTION("""COMPUTED_VALUE"""),0.0)</f>
        <v>0</v>
      </c>
      <c r="AE131" s="62">
        <f>IFERROR(__xludf.DUMMYFUNCTION("""COMPUTED_VALUE"""),0.0)</f>
        <v>0</v>
      </c>
      <c r="AF131" s="55"/>
      <c r="AG131" s="55"/>
      <c r="AH131" s="55"/>
      <c r="AI131" s="55"/>
      <c r="AJ131" s="55"/>
      <c r="AK131" s="55"/>
      <c r="AL131" s="55"/>
      <c r="AM131" s="55" t="str">
        <f>IFERROR(__xludf.DUMMYFUNCTION("""COMPUTED_VALUE"""),"nocode")</f>
        <v>nocode</v>
      </c>
      <c r="AN131" s="55"/>
      <c r="AO131" s="55" t="str">
        <f>IFERROR(__xludf.DUMMYFUNCTION("""COMPUTED_VALUE"""),"NA")</f>
        <v>NA</v>
      </c>
      <c r="AP131" s="55" t="str">
        <f>IFERROR(__xludf.DUMMYFUNCTION("""COMPUTED_VALUE"""),"NA")</f>
        <v>NA</v>
      </c>
      <c r="AQ131" s="55" t="str">
        <f>IFERROR(__xludf.DUMMYFUNCTION("""COMPUTED_VALUE"""),"NA")</f>
        <v>NA</v>
      </c>
      <c r="AR131" s="55" t="str">
        <f>IFERROR(__xludf.DUMMYFUNCTION("""COMPUTED_VALUE"""),"NA")</f>
        <v>NA</v>
      </c>
      <c r="AS131" s="55" t="str">
        <f>IFERROR(__xludf.DUMMYFUNCTION("""COMPUTED_VALUE"""),"NA")</f>
        <v>NA</v>
      </c>
      <c r="AT131" s="55" t="str">
        <f>IFERROR(__xludf.DUMMYFUNCTION("""COMPUTED_VALUE"""),"NA")</f>
        <v>NA</v>
      </c>
      <c r="AU131" s="55" t="str">
        <f>IFERROR(__xludf.DUMMYFUNCTION("""COMPUTED_VALUE"""),"NA")</f>
        <v>NA</v>
      </c>
      <c r="AV131" s="55"/>
      <c r="AW131" s="35"/>
      <c r="AX131" s="35"/>
      <c r="AY131" s="35"/>
      <c r="AZ131" s="35"/>
      <c r="BA131" s="35"/>
      <c r="BB131" s="35"/>
      <c r="BC131" s="35"/>
      <c r="BD131" s="35"/>
      <c r="BE131" s="35"/>
      <c r="BF131" s="35"/>
      <c r="BG131" s="35"/>
    </row>
    <row r="132" ht="15.75" customHeight="1">
      <c r="A132" s="55" t="str">
        <f>IFERROR(__xludf.DUMMYFUNCTION("""COMPUTED_VALUE"""),"Instagram")</f>
        <v>Instagram</v>
      </c>
      <c r="B132" s="56">
        <f>IFERROR(__xludf.DUMMYFUNCTION("""COMPUTED_VALUE"""),46199.0)</f>
        <v>46199</v>
      </c>
      <c r="C132" s="55" t="str">
        <f>IFERROR(__xludf.DUMMYFUNCTION("""COMPUTED_VALUE"""),"June")</f>
        <v>June</v>
      </c>
      <c r="D132" s="58" t="str">
        <f>IFERROR(__xludf.DUMMYFUNCTION("""COMPUTED_VALUE"""),"https://www.instagram.com/reel/DaCfIHJudlN/")</f>
        <v>https://www.instagram.com/reel/DaCfIHJudlN/</v>
      </c>
      <c r="E132" s="55" t="str">
        <f>IFERROR(__xludf.DUMMYFUNCTION("""COMPUTED_VALUE"""),"@na")</f>
        <v>@na</v>
      </c>
      <c r="F132" s="55" t="str">
        <f>IFERROR(__xludf.DUMMYFUNCTION("""COMPUTED_VALUE"""),"NA")</f>
        <v>NA</v>
      </c>
      <c r="G132" s="55" t="str">
        <f>IFERROR(__xludf.DUMMYFUNCTION("""COMPUTED_VALUE"""),"Taste")</f>
        <v>Taste</v>
      </c>
      <c r="H132" s="55" t="str">
        <f>IFERROR(__xludf.DUMMYFUNCTION("""COMPUTED_VALUE"""),"NA")</f>
        <v>NA</v>
      </c>
      <c r="I132" s="55">
        <f>IFERROR(__xludf.DUMMYFUNCTION("""COMPUTED_VALUE"""),2.9)</f>
        <v>2.9</v>
      </c>
      <c r="J132" s="55" t="str">
        <f>IFERROR(__xludf.DUMMYFUNCTION("""COMPUTED_VALUE"""),"No")</f>
        <v>No</v>
      </c>
      <c r="K132" s="55" t="str">
        <f>IFERROR(__xludf.DUMMYFUNCTION("""COMPUTED_VALUE"""),"No")</f>
        <v>No</v>
      </c>
      <c r="L132" s="55" t="str">
        <f>IFERROR(__xludf.DUMMYFUNCTION("""COMPUTED_VALUE"""),"Score 2.9 — below threshold")</f>
        <v>Score 2.9 — below threshold</v>
      </c>
      <c r="M132" s="59" t="str">
        <f>IFERROR(__xludf.DUMMYFUNCTION("""COMPUTED_VALUE"""),"No Ad Data")</f>
        <v>No Ad Data</v>
      </c>
      <c r="N132" s="55"/>
      <c r="O132" s="55"/>
      <c r="P132" s="59">
        <f>IFERROR(__xludf.DUMMYFUNCTION("""COMPUTED_VALUE"""),5.0)</f>
        <v>5</v>
      </c>
      <c r="Q132" s="59">
        <f>IFERROR(__xludf.DUMMYFUNCTION("""COMPUTED_VALUE"""),0.0)</f>
        <v>0</v>
      </c>
      <c r="R132" s="59">
        <f>IFERROR(__xludf.DUMMYFUNCTION("""COMPUTED_VALUE"""),0.0)</f>
        <v>0</v>
      </c>
      <c r="S132" s="55"/>
      <c r="T132" s="68">
        <f>IFERROR(__xludf.DUMMYFUNCTION("""COMPUTED_VALUE"""),0.0)</f>
        <v>0</v>
      </c>
      <c r="U132" s="55"/>
      <c r="V132" s="62">
        <f>IFERROR(__xludf.DUMMYFUNCTION("""COMPUTED_VALUE"""),0.0)</f>
        <v>0</v>
      </c>
      <c r="W132" s="63">
        <f>IFERROR(__xludf.DUMMYFUNCTION("""COMPUTED_VALUE"""),117.58)</f>
        <v>117.58</v>
      </c>
      <c r="X132" s="59">
        <f>IFERROR(__xludf.DUMMYFUNCTION("""COMPUTED_VALUE"""),5.0)</f>
        <v>5</v>
      </c>
      <c r="Y132" s="59">
        <f>IFERROR(__xludf.DUMMYFUNCTION("""COMPUTED_VALUE"""),0.0)</f>
        <v>0</v>
      </c>
      <c r="Z132" s="59">
        <f>IFERROR(__xludf.DUMMYFUNCTION("""COMPUTED_VALUE"""),0.0)</f>
        <v>0</v>
      </c>
      <c r="AA132" s="59">
        <f>IFERROR(__xludf.DUMMYFUNCTION("""COMPUTED_VALUE"""),0.0)</f>
        <v>0</v>
      </c>
      <c r="AB132" s="64">
        <f>IFERROR(__xludf.DUMMYFUNCTION("""COMPUTED_VALUE"""),0.0)</f>
        <v>0</v>
      </c>
      <c r="AC132" s="62">
        <f>IFERROR(__xludf.DUMMYFUNCTION("""COMPUTED_VALUE"""),0.0)</f>
        <v>0</v>
      </c>
      <c r="AD132" s="62">
        <f>IFERROR(__xludf.DUMMYFUNCTION("""COMPUTED_VALUE"""),0.0)</f>
        <v>0</v>
      </c>
      <c r="AE132" s="62">
        <f>IFERROR(__xludf.DUMMYFUNCTION("""COMPUTED_VALUE"""),0.0)</f>
        <v>0</v>
      </c>
      <c r="AF132" s="55"/>
      <c r="AG132" s="55"/>
      <c r="AH132" s="55"/>
      <c r="AI132" s="55"/>
      <c r="AJ132" s="55"/>
      <c r="AK132" s="55"/>
      <c r="AL132" s="55"/>
      <c r="AM132" s="55" t="str">
        <f>IFERROR(__xludf.DUMMYFUNCTION("""COMPUTED_VALUE"""),"Q9jTBBUepm9kscgNjFlzdvIiPESMu7khEu-S1Aa9ypxf6yzWkWni4ETnz9teFAXTdw")</f>
        <v>Q9jTBBUepm9kscgNjFlzdvIiPESMu7khEu-S1Aa9ypxf6yzWkWni4ETnz9teFAXTdw</v>
      </c>
      <c r="AN132" s="55"/>
      <c r="AO132" s="55" t="str">
        <f>IFERROR(__xludf.DUMMYFUNCTION("""COMPUTED_VALUE"""),"NA")</f>
        <v>NA</v>
      </c>
      <c r="AP132" s="55" t="str">
        <f>IFERROR(__xludf.DUMMYFUNCTION("""COMPUTED_VALUE"""),"NA")</f>
        <v>NA</v>
      </c>
      <c r="AQ132" s="55" t="str">
        <f>IFERROR(__xludf.DUMMYFUNCTION("""COMPUTED_VALUE"""),"NA")</f>
        <v>NA</v>
      </c>
      <c r="AR132" s="55" t="str">
        <f>IFERROR(__xludf.DUMMYFUNCTION("""COMPUTED_VALUE"""),"NA")</f>
        <v>NA</v>
      </c>
      <c r="AS132" s="55" t="str">
        <f>IFERROR(__xludf.DUMMYFUNCTION("""COMPUTED_VALUE"""),"NA")</f>
        <v>NA</v>
      </c>
      <c r="AT132" s="55" t="str">
        <f>IFERROR(__xludf.DUMMYFUNCTION("""COMPUTED_VALUE"""),"NA")</f>
        <v>NA</v>
      </c>
      <c r="AU132" s="55" t="str">
        <f>IFERROR(__xludf.DUMMYFUNCTION("""COMPUTED_VALUE"""),"NA")</f>
        <v>NA</v>
      </c>
      <c r="AV132" s="55"/>
      <c r="AW132" s="35"/>
      <c r="AX132" s="35"/>
      <c r="AY132" s="35"/>
      <c r="AZ132" s="35"/>
      <c r="BA132" s="35"/>
      <c r="BB132" s="35"/>
      <c r="BC132" s="35"/>
      <c r="BD132" s="35"/>
      <c r="BE132" s="35"/>
      <c r="BF132" s="35"/>
      <c r="BG132" s="35"/>
    </row>
    <row r="133" ht="15.75" customHeight="1">
      <c r="A133" s="55" t="str">
        <f>IFERROR(__xludf.DUMMYFUNCTION("""COMPUTED_VALUE"""),"Tiktok")</f>
        <v>Tiktok</v>
      </c>
      <c r="B133" s="56">
        <f>IFERROR(__xludf.DUMMYFUNCTION("""COMPUTED_VALUE"""),46206.0)</f>
        <v>46206</v>
      </c>
      <c r="C133" s="55" t="str">
        <f>IFERROR(__xludf.DUMMYFUNCTION("""COMPUTED_VALUE"""),"July")</f>
        <v>July</v>
      </c>
      <c r="D133" s="58" t="str">
        <f>IFERROR(__xludf.DUMMYFUNCTION("""COMPUTED_VALUE"""),"https://www.tiktok.com/@magicyulinusa/video/7658350613901724941")</f>
        <v>https://www.tiktok.com/@magicyulinusa/video/7658350613901724941</v>
      </c>
      <c r="E133" s="55" t="str">
        <f>IFERROR(__xludf.DUMMYFUNCTION("""COMPUTED_VALUE"""),"@magicyulinusa")</f>
        <v>@magicyulinusa</v>
      </c>
      <c r="F133" s="55"/>
      <c r="G133" s="55" t="str">
        <f>IFERROR(__xludf.DUMMYFUNCTION("""COMPUTED_VALUE"""),"Over 40/ High Performer")</f>
        <v>Over 40/ High Performer</v>
      </c>
      <c r="H133" s="55"/>
      <c r="I133" s="55">
        <f>IFERROR(__xludf.DUMMYFUNCTION("""COMPUTED_VALUE"""),27.8)</f>
        <v>27.8</v>
      </c>
      <c r="J133" s="55" t="str">
        <f>IFERROR(__xludf.DUMMYFUNCTION("""COMPUTED_VALUE"""),"No – Not Recommended")</f>
        <v>No – Not Recommended</v>
      </c>
      <c r="K133" s="55" t="str">
        <f>IFERROR(__xludf.DUMMYFUNCTION("""COMPUTED_VALUE"""),"No")</f>
        <v>No</v>
      </c>
      <c r="L133" s="55" t="str">
        <f>IFERROR(__xludf.DUMMYFUNCTION("""COMPUTED_VALUE"""),"Score 29.4 &lt; 30 threshold")</f>
        <v>Score 29.4 &lt; 30 threshold</v>
      </c>
      <c r="M133" s="55" t="str">
        <f>IFERROR(__xludf.DUMMYFUNCTION("""COMPUTED_VALUE"""),"No Ad Data")</f>
        <v>No Ad Data</v>
      </c>
      <c r="N133" s="55"/>
      <c r="O133" s="55"/>
      <c r="P133" s="55">
        <f>IFERROR(__xludf.DUMMYFUNCTION("""COMPUTED_VALUE"""),107.0)</f>
        <v>107</v>
      </c>
      <c r="Q133" s="55">
        <f>IFERROR(__xludf.DUMMYFUNCTION("""COMPUTED_VALUE"""),4.0)</f>
        <v>4</v>
      </c>
      <c r="R133" s="55"/>
      <c r="S133" s="55"/>
      <c r="T133" s="55">
        <f>IFERROR(__xludf.DUMMYFUNCTION("""COMPUTED_VALUE"""),11.9)</f>
        <v>11.9</v>
      </c>
      <c r="U133" s="55"/>
      <c r="V133" s="55">
        <f>IFERROR(__xludf.DUMMYFUNCTION("""COMPUTED_VALUE"""),0.037)</f>
        <v>0.037</v>
      </c>
      <c r="W133" s="55">
        <f>IFERROR(__xludf.DUMMYFUNCTION("""COMPUTED_VALUE"""),117.58)</f>
        <v>117.58</v>
      </c>
      <c r="X133" s="55"/>
      <c r="Y133" s="55"/>
      <c r="Z133" s="55"/>
      <c r="AA133" s="55"/>
      <c r="AB133" s="55"/>
      <c r="AC133" s="55"/>
      <c r="AD133" s="55"/>
      <c r="AE133" s="55"/>
      <c r="AF133" s="55"/>
      <c r="AG133" s="55"/>
      <c r="AH133" s="55"/>
      <c r="AI133" s="55"/>
      <c r="AJ133" s="55"/>
      <c r="AK133" s="55"/>
      <c r="AL133" s="55"/>
      <c r="AM133" s="55" t="str">
        <f>IFERROR(__xludf.DUMMYFUNCTION("""COMPUTED_VALUE"""),"#Z7evpS6zkfXH4yK4bjeJCdiNKJkQCYtYbFCX2qeeOZH/I86M3MfDXgQYH7BBSCc=")</f>
        <v>#Z7evpS6zkfXH4yK4bjeJCdiNKJkQCYtYbFCX2qeeOZH/I86M3MfDXgQYH7BBSCc=</v>
      </c>
      <c r="AN133" s="55"/>
      <c r="AO133" s="55"/>
      <c r="AP133" s="55"/>
      <c r="AQ133" s="55"/>
      <c r="AR133" s="55"/>
      <c r="AS133" s="55"/>
      <c r="AT133" s="55"/>
      <c r="AU133" s="55"/>
      <c r="AV133" s="55"/>
      <c r="AW133" s="35"/>
      <c r="AX133" s="35"/>
      <c r="AY133" s="35"/>
      <c r="AZ133" s="35"/>
      <c r="BA133" s="35"/>
      <c r="BB133" s="35"/>
      <c r="BC133" s="35"/>
      <c r="BD133" s="35"/>
      <c r="BE133" s="35"/>
      <c r="BF133" s="35"/>
      <c r="BG133" s="35"/>
    </row>
    <row r="134" ht="15.75" customHeight="1">
      <c r="A134" s="55" t="str">
        <f>IFERROR(__xludf.DUMMYFUNCTION("""COMPUTED_VALUE"""),"Tiktok")</f>
        <v>Tiktok</v>
      </c>
      <c r="B134" s="56">
        <f>IFERROR(__xludf.DUMMYFUNCTION("""COMPUTED_VALUE"""),46206.0)</f>
        <v>46206</v>
      </c>
      <c r="C134" s="55" t="str">
        <f>IFERROR(__xludf.DUMMYFUNCTION("""COMPUTED_VALUE"""),"July")</f>
        <v>July</v>
      </c>
      <c r="D134" s="58" t="str">
        <f>IFERROR(__xludf.DUMMYFUNCTION("""COMPUTED_VALUE"""),"https://www.tiktok.com/@lifeaslaurenperez/video/7658087290367003918")</f>
        <v>https://www.tiktok.com/@lifeaslaurenperez/video/7658087290367003918</v>
      </c>
      <c r="E134" s="55" t="str">
        <f>IFERROR(__xludf.DUMMYFUNCTION("""COMPUTED_VALUE"""),"@lifeaslaurenperez")</f>
        <v>@lifeaslaurenperez</v>
      </c>
      <c r="F134" s="55"/>
      <c r="G134" s="55" t="str">
        <f>IFERROR(__xludf.DUMMYFUNCTION("""COMPUTED_VALUE"""),"Gummies vs Coffee")</f>
        <v>Gummies vs Coffee</v>
      </c>
      <c r="H134" s="55"/>
      <c r="I134" s="55">
        <f>IFERROR(__xludf.DUMMYFUNCTION("""COMPUTED_VALUE"""),27.5)</f>
        <v>27.5</v>
      </c>
      <c r="J134" s="55" t="str">
        <f>IFERROR(__xludf.DUMMYFUNCTION("""COMPUTED_VALUE"""),"No – Not Recommended")</f>
        <v>No – Not Recommended</v>
      </c>
      <c r="K134" s="55" t="str">
        <f>IFERROR(__xludf.DUMMYFUNCTION("""COMPUTED_VALUE"""),"No")</f>
        <v>No</v>
      </c>
      <c r="L134" s="55" t="str">
        <f>IFERROR(__xludf.DUMMYFUNCTION("""COMPUTED_VALUE"""),"Score 29.1 &lt; 30 threshold")</f>
        <v>Score 29.1 &lt; 30 threshold</v>
      </c>
      <c r="M134" s="55" t="str">
        <f>IFERROR(__xludf.DUMMYFUNCTION("""COMPUTED_VALUE"""),"No Ad Data")</f>
        <v>No Ad Data</v>
      </c>
      <c r="N134" s="55"/>
      <c r="O134" s="55"/>
      <c r="P134" s="55">
        <f>IFERROR(__xludf.DUMMYFUNCTION("""COMPUTED_VALUE"""),104.0)</f>
        <v>104</v>
      </c>
      <c r="Q134" s="55">
        <f>IFERROR(__xludf.DUMMYFUNCTION("""COMPUTED_VALUE"""),3.0)</f>
        <v>3</v>
      </c>
      <c r="R134" s="55">
        <f>IFERROR(__xludf.DUMMYFUNCTION("""COMPUTED_VALUE"""),2.0)</f>
        <v>2</v>
      </c>
      <c r="S134" s="55"/>
      <c r="T134" s="55">
        <f>IFERROR(__xludf.DUMMYFUNCTION("""COMPUTED_VALUE"""),10.5)</f>
        <v>10.5</v>
      </c>
      <c r="U134" s="55"/>
      <c r="V134" s="55">
        <f>IFERROR(__xludf.DUMMYFUNCTION("""COMPUTED_VALUE"""),0.048)</f>
        <v>0.048</v>
      </c>
      <c r="W134" s="55">
        <f>IFERROR(__xludf.DUMMYFUNCTION("""COMPUTED_VALUE"""),72.99)</f>
        <v>72.99</v>
      </c>
      <c r="X134" s="55"/>
      <c r="Y134" s="55"/>
      <c r="Z134" s="55"/>
      <c r="AA134" s="55"/>
      <c r="AB134" s="55"/>
      <c r="AC134" s="55"/>
      <c r="AD134" s="55"/>
      <c r="AE134" s="55"/>
      <c r="AF134" s="55"/>
      <c r="AG134" s="55"/>
      <c r="AH134" s="55"/>
      <c r="AI134" s="55"/>
      <c r="AJ134" s="55"/>
      <c r="AK134" s="55"/>
      <c r="AL134" s="55"/>
      <c r="AM134" s="55" t="str">
        <f>IFERROR(__xludf.DUMMYFUNCTION("""COMPUTED_VALUE"""),"#tCdBHyleSyTywRU63BLz5Lha7lwNdNR8iN08udBlHHEzo9goxgoP2rYTQzeyVWk=")</f>
        <v>#tCdBHyleSyTywRU63BLz5Lha7lwNdNR8iN08udBlHHEzo9goxgoP2rYTQzeyVWk=</v>
      </c>
      <c r="AN134" s="55"/>
      <c r="AO134" s="55"/>
      <c r="AP134" s="55"/>
      <c r="AQ134" s="55"/>
      <c r="AR134" s="55"/>
      <c r="AS134" s="55"/>
      <c r="AT134" s="55"/>
      <c r="AU134" s="55"/>
      <c r="AV134" s="55"/>
      <c r="AW134" s="35"/>
      <c r="AX134" s="35"/>
      <c r="AY134" s="35"/>
      <c r="AZ134" s="35"/>
      <c r="BA134" s="35"/>
      <c r="BB134" s="35"/>
      <c r="BC134" s="35"/>
      <c r="BD134" s="35"/>
      <c r="BE134" s="35"/>
      <c r="BF134" s="35"/>
      <c r="BG134" s="35"/>
    </row>
    <row r="135" ht="15.75" customHeight="1">
      <c r="A135" s="55" t="str">
        <f>IFERROR(__xludf.DUMMYFUNCTION("""COMPUTED_VALUE"""),"Tiktok")</f>
        <v>Tiktok</v>
      </c>
      <c r="B135" s="56">
        <f>IFERROR(__xludf.DUMMYFUNCTION("""COMPUTED_VALUE"""),46202.0)</f>
        <v>46202</v>
      </c>
      <c r="C135" s="55" t="str">
        <f>IFERROR(__xludf.DUMMYFUNCTION("""COMPUTED_VALUE"""),"June")</f>
        <v>June</v>
      </c>
      <c r="D135" s="58" t="str">
        <f>IFERROR(__xludf.DUMMYFUNCTION("""COMPUTED_VALUE"""),"https://www.tiktok.com/@ugc.alana/video/7656790890110831902")</f>
        <v>https://www.tiktok.com/@ugc.alana/video/7656790890110831902</v>
      </c>
      <c r="E135" s="55" t="str">
        <f>IFERROR(__xludf.DUMMYFUNCTION("""COMPUTED_VALUE"""),"@ugc.alana")</f>
        <v>@ugc.alana</v>
      </c>
      <c r="F135" s="55"/>
      <c r="G135" s="55" t="str">
        <f>IFERROR(__xludf.DUMMYFUNCTION("""COMPUTED_VALUE"""),"Cortisol")</f>
        <v>Cortisol</v>
      </c>
      <c r="H135" s="55"/>
      <c r="I135" s="55">
        <f>IFERROR(__xludf.DUMMYFUNCTION("""COMPUTED_VALUE"""),26.6)</f>
        <v>26.6</v>
      </c>
      <c r="J135" s="55" t="str">
        <f>IFERROR(__xludf.DUMMYFUNCTION("""COMPUTED_VALUE"""),"No – Not Recommended")</f>
        <v>No – Not Recommended</v>
      </c>
      <c r="K135" s="55" t="str">
        <f>IFERROR(__xludf.DUMMYFUNCTION("""COMPUTED_VALUE"""),"No")</f>
        <v>No</v>
      </c>
      <c r="L135" s="55" t="str">
        <f>IFERROR(__xludf.DUMMYFUNCTION("""COMPUTED_VALUE"""),"Score 28.4 &lt; 30 threshold")</f>
        <v>Score 28.4 &lt; 30 threshold</v>
      </c>
      <c r="M135" s="55" t="str">
        <f>IFERROR(__xludf.DUMMYFUNCTION("""COMPUTED_VALUE"""),"No Ad Data")</f>
        <v>No Ad Data</v>
      </c>
      <c r="N135" s="55"/>
      <c r="O135" s="55"/>
      <c r="P135" s="55">
        <f>IFERROR(__xludf.DUMMYFUNCTION("""COMPUTED_VALUE"""),186.0)</f>
        <v>186</v>
      </c>
      <c r="Q135" s="55">
        <f>IFERROR(__xludf.DUMMYFUNCTION("""COMPUTED_VALUE"""),9.0)</f>
        <v>9</v>
      </c>
      <c r="R135" s="55">
        <f>IFERROR(__xludf.DUMMYFUNCTION("""COMPUTED_VALUE"""),2.0)</f>
        <v>2</v>
      </c>
      <c r="S135" s="55"/>
      <c r="T135" s="55">
        <f>IFERROR(__xludf.DUMMYFUNCTION("""COMPUTED_VALUE"""),5.8)</f>
        <v>5.8</v>
      </c>
      <c r="U135" s="55"/>
      <c r="V135" s="55">
        <f>IFERROR(__xludf.DUMMYFUNCTION("""COMPUTED_VALUE"""),0.064)</f>
        <v>0.064</v>
      </c>
      <c r="W135" s="55">
        <f>IFERROR(__xludf.DUMMYFUNCTION("""COMPUTED_VALUE"""),117.58)</f>
        <v>117.58</v>
      </c>
      <c r="X135" s="55"/>
      <c r="Y135" s="55"/>
      <c r="Z135" s="55"/>
      <c r="AA135" s="55"/>
      <c r="AB135" s="55"/>
      <c r="AC135" s="55"/>
      <c r="AD135" s="55"/>
      <c r="AE135" s="55"/>
      <c r="AF135" s="55"/>
      <c r="AG135" s="55"/>
      <c r="AH135" s="55"/>
      <c r="AI135" s="55"/>
      <c r="AJ135" s="55"/>
      <c r="AK135" s="55"/>
      <c r="AL135" s="55"/>
      <c r="AM135" s="55" t="str">
        <f>IFERROR(__xludf.DUMMYFUNCTION("""COMPUTED_VALUE"""),"#6m6Gn/fI6R66tduYj/A2HCH7D+j13KwojijlpE7iJqmDWX5YfbI4di6R2ShKqgA=")</f>
        <v>#6m6Gn/fI6R66tduYj/A2HCH7D+j13KwojijlpE7iJqmDWX5YfbI4di6R2ShKqgA=</v>
      </c>
      <c r="AN135" s="55"/>
      <c r="AO135" s="55"/>
      <c r="AP135" s="55"/>
      <c r="AQ135" s="55"/>
      <c r="AR135" s="55"/>
      <c r="AS135" s="55"/>
      <c r="AT135" s="55"/>
      <c r="AU135" s="55"/>
      <c r="AV135" s="55"/>
      <c r="AW135" s="35"/>
      <c r="AX135" s="35"/>
      <c r="AY135" s="35"/>
      <c r="AZ135" s="35"/>
      <c r="BA135" s="35"/>
      <c r="BB135" s="35"/>
      <c r="BC135" s="35"/>
      <c r="BD135" s="35"/>
      <c r="BE135" s="35"/>
      <c r="BF135" s="35"/>
      <c r="BG135" s="35"/>
    </row>
    <row r="136" ht="15.75" customHeight="1">
      <c r="A136" s="55" t="str">
        <f>IFERROR(__xludf.DUMMYFUNCTION("""COMPUTED_VALUE"""),"Tiktok")</f>
        <v>Tiktok</v>
      </c>
      <c r="B136" s="56">
        <f>IFERROR(__xludf.DUMMYFUNCTION("""COMPUTED_VALUE"""),46204.0)</f>
        <v>46204</v>
      </c>
      <c r="C136" s="55" t="str">
        <f>IFERROR(__xludf.DUMMYFUNCTION("""COMPUTED_VALUE"""),"July")</f>
        <v>July</v>
      </c>
      <c r="D136" s="58" t="str">
        <f>IFERROR(__xludf.DUMMYFUNCTION("""COMPUTED_VALUE"""),"https://www.tiktok.com/@jugoncalves.by/video/7657328682251439390")</f>
        <v>https://www.tiktok.com/@jugoncalves.by/video/7657328682251439390</v>
      </c>
      <c r="E136" s="55" t="str">
        <f>IFERROR(__xludf.DUMMYFUNCTION("""COMPUTED_VALUE"""),"@jugoncalves.by")</f>
        <v>@jugoncalves.by</v>
      </c>
      <c r="F136" s="55"/>
      <c r="G136" s="55" t="str">
        <f>IFERROR(__xludf.DUMMYFUNCTION("""COMPUTED_VALUE"""),"Gummies vs Coffee")</f>
        <v>Gummies vs Coffee</v>
      </c>
      <c r="H136" s="55"/>
      <c r="I136" s="55">
        <f>IFERROR(__xludf.DUMMYFUNCTION("""COMPUTED_VALUE"""),26.8)</f>
        <v>26.8</v>
      </c>
      <c r="J136" s="55" t="str">
        <f>IFERROR(__xludf.DUMMYFUNCTION("""COMPUTED_VALUE"""),"No – Not Recommended")</f>
        <v>No – Not Recommended</v>
      </c>
      <c r="K136" s="55" t="str">
        <f>IFERROR(__xludf.DUMMYFUNCTION("""COMPUTED_VALUE"""),"No")</f>
        <v>No</v>
      </c>
      <c r="L136" s="55" t="str">
        <f>IFERROR(__xludf.DUMMYFUNCTION("""COMPUTED_VALUE"""),"Score 28.4 &lt; 30 threshold")</f>
        <v>Score 28.4 &lt; 30 threshold</v>
      </c>
      <c r="M136" s="55" t="str">
        <f>IFERROR(__xludf.DUMMYFUNCTION("""COMPUTED_VALUE"""),"No Ad Data")</f>
        <v>No Ad Data</v>
      </c>
      <c r="N136" s="55"/>
      <c r="O136" s="55"/>
      <c r="P136" s="55">
        <f>IFERROR(__xludf.DUMMYFUNCTION("""COMPUTED_VALUE"""),77.0)</f>
        <v>77</v>
      </c>
      <c r="Q136" s="55">
        <f>IFERROR(__xludf.DUMMYFUNCTION("""COMPUTED_VALUE"""),2.0)</f>
        <v>2</v>
      </c>
      <c r="R136" s="55"/>
      <c r="S136" s="55"/>
      <c r="T136" s="55">
        <f>IFERROR(__xludf.DUMMYFUNCTION("""COMPUTED_VALUE"""),13.7)</f>
        <v>13.7</v>
      </c>
      <c r="U136" s="55"/>
      <c r="V136" s="55">
        <f>IFERROR(__xludf.DUMMYFUNCTION("""COMPUTED_VALUE"""),0.025)</f>
        <v>0.025</v>
      </c>
      <c r="W136" s="55">
        <f>IFERROR(__xludf.DUMMYFUNCTION("""COMPUTED_VALUE"""),72.99)</f>
        <v>72.99</v>
      </c>
      <c r="X136" s="55"/>
      <c r="Y136" s="55"/>
      <c r="Z136" s="55"/>
      <c r="AA136" s="55"/>
      <c r="AB136" s="55"/>
      <c r="AC136" s="55"/>
      <c r="AD136" s="55"/>
      <c r="AE136" s="55"/>
      <c r="AF136" s="55"/>
      <c r="AG136" s="55"/>
      <c r="AH136" s="55"/>
      <c r="AI136" s="55"/>
      <c r="AJ136" s="55"/>
      <c r="AK136" s="55"/>
      <c r="AL136" s="55"/>
      <c r="AM136" s="55" t="str">
        <f>IFERROR(__xludf.DUMMYFUNCTION("""COMPUTED_VALUE"""),"#ZXdXTUuRtqTeRj2JGiBkplRTZvrx+69NfddUHM8dDaPxqKQjeZUzNqLPc5Msiw8=")</f>
        <v>#ZXdXTUuRtqTeRj2JGiBkplRTZvrx+69NfddUHM8dDaPxqKQjeZUzNqLPc5Msiw8=</v>
      </c>
      <c r="AN136" s="55"/>
      <c r="AO136" s="55"/>
      <c r="AP136" s="55"/>
      <c r="AQ136" s="55"/>
      <c r="AR136" s="55"/>
      <c r="AS136" s="55"/>
      <c r="AT136" s="55"/>
      <c r="AU136" s="55"/>
      <c r="AV136" s="55"/>
      <c r="AW136" s="35"/>
      <c r="AX136" s="35"/>
      <c r="AY136" s="35"/>
      <c r="AZ136" s="35"/>
      <c r="BA136" s="35"/>
      <c r="BB136" s="35"/>
      <c r="BC136" s="35"/>
      <c r="BD136" s="35"/>
      <c r="BE136" s="35"/>
      <c r="BF136" s="35"/>
      <c r="BG136" s="35"/>
    </row>
    <row r="137" ht="15.75" customHeight="1">
      <c r="A137" s="55" t="str">
        <f>IFERROR(__xludf.DUMMYFUNCTION("""COMPUTED_VALUE"""),"Tiktok")</f>
        <v>Tiktok</v>
      </c>
      <c r="B137" s="56">
        <f>IFERROR(__xludf.DUMMYFUNCTION("""COMPUTED_VALUE"""),46204.0)</f>
        <v>46204</v>
      </c>
      <c r="C137" s="55" t="str">
        <f>IFERROR(__xludf.DUMMYFUNCTION("""COMPUTED_VALUE"""),"July")</f>
        <v>July</v>
      </c>
      <c r="D137" s="58" t="str">
        <f>IFERROR(__xludf.DUMMYFUNCTION("""COMPUTED_VALUE"""),"https://www.tiktok.com/@hayley_the_hustler/video/7657556024378887437")</f>
        <v>https://www.tiktok.com/@hayley_the_hustler/video/7657556024378887437</v>
      </c>
      <c r="E137" s="55" t="str">
        <f>IFERROR(__xludf.DUMMYFUNCTION("""COMPUTED_VALUE"""),"@hayley_the_hustler")</f>
        <v>@hayley_the_hustler</v>
      </c>
      <c r="F137" s="55"/>
      <c r="G137" s="55" t="str">
        <f>IFERROR(__xludf.DUMMYFUNCTION("""COMPUTED_VALUE"""),"Taste")</f>
        <v>Taste</v>
      </c>
      <c r="H137" s="55"/>
      <c r="I137" s="55">
        <f>IFERROR(__xludf.DUMMYFUNCTION("""COMPUTED_VALUE"""),26.0)</f>
        <v>26</v>
      </c>
      <c r="J137" s="55" t="str">
        <f>IFERROR(__xludf.DUMMYFUNCTION("""COMPUTED_VALUE"""),"No – Not Recommended")</f>
        <v>No – Not Recommended</v>
      </c>
      <c r="K137" s="55" t="str">
        <f>IFERROR(__xludf.DUMMYFUNCTION("""COMPUTED_VALUE"""),"No")</f>
        <v>No</v>
      </c>
      <c r="L137" s="55" t="str">
        <f>IFERROR(__xludf.DUMMYFUNCTION("""COMPUTED_VALUE"""),"Score 27.6 &lt; 30 threshold")</f>
        <v>Score 27.6 &lt; 30 threshold</v>
      </c>
      <c r="M137" s="55" t="str">
        <f>IFERROR(__xludf.DUMMYFUNCTION("""COMPUTED_VALUE"""),"No Ad Data")</f>
        <v>No Ad Data</v>
      </c>
      <c r="N137" s="55"/>
      <c r="O137" s="55"/>
      <c r="P137" s="55">
        <f>IFERROR(__xludf.DUMMYFUNCTION("""COMPUTED_VALUE"""),80.0)</f>
        <v>80</v>
      </c>
      <c r="Q137" s="55">
        <f>IFERROR(__xludf.DUMMYFUNCTION("""COMPUTED_VALUE"""),2.0)</f>
        <v>2</v>
      </c>
      <c r="R137" s="55"/>
      <c r="S137" s="55"/>
      <c r="T137" s="55">
        <f>IFERROR(__xludf.DUMMYFUNCTION("""COMPUTED_VALUE"""),12.0)</f>
        <v>12</v>
      </c>
      <c r="U137" s="55"/>
      <c r="V137" s="55">
        <f>IFERROR(__xludf.DUMMYFUNCTION("""COMPUTED_VALUE"""),0.025)</f>
        <v>0.025</v>
      </c>
      <c r="W137" s="55">
        <f>IFERROR(__xludf.DUMMYFUNCTION("""COMPUTED_VALUE"""),117.58)</f>
        <v>117.58</v>
      </c>
      <c r="X137" s="55"/>
      <c r="Y137" s="55"/>
      <c r="Z137" s="55"/>
      <c r="AA137" s="55"/>
      <c r="AB137" s="55"/>
      <c r="AC137" s="55"/>
      <c r="AD137" s="55"/>
      <c r="AE137" s="55"/>
      <c r="AF137" s="55"/>
      <c r="AG137" s="55"/>
      <c r="AH137" s="55"/>
      <c r="AI137" s="55"/>
      <c r="AJ137" s="55"/>
      <c r="AK137" s="55"/>
      <c r="AL137" s="55"/>
      <c r="AM137" s="55" t="str">
        <f>IFERROR(__xludf.DUMMYFUNCTION("""COMPUTED_VALUE"""),"#BbgRE9KOPJjhOYmP5FFO6N2NWXswvK8PR88TP2fYlzxJth21zKMe74PVh708R2g=")</f>
        <v>#BbgRE9KOPJjhOYmP5FFO6N2NWXswvK8PR88TP2fYlzxJth21zKMe74PVh708R2g=</v>
      </c>
      <c r="AN137" s="55"/>
      <c r="AO137" s="55"/>
      <c r="AP137" s="55"/>
      <c r="AQ137" s="55"/>
      <c r="AR137" s="55"/>
      <c r="AS137" s="55"/>
      <c r="AT137" s="55"/>
      <c r="AU137" s="55"/>
      <c r="AV137" s="55"/>
      <c r="AW137" s="35"/>
      <c r="AX137" s="35"/>
      <c r="AY137" s="35"/>
      <c r="AZ137" s="35"/>
      <c r="BA137" s="35"/>
      <c r="BB137" s="35"/>
      <c r="BC137" s="35"/>
      <c r="BD137" s="35"/>
      <c r="BE137" s="35"/>
      <c r="BF137" s="35"/>
      <c r="BG137" s="35"/>
    </row>
    <row r="138" ht="15.75" customHeight="1">
      <c r="A138" s="55" t="str">
        <f>IFERROR(__xludf.DUMMYFUNCTION("""COMPUTED_VALUE"""),"Tiktok")</f>
        <v>Tiktok</v>
      </c>
      <c r="B138" s="56">
        <f>IFERROR(__xludf.DUMMYFUNCTION("""COMPUTED_VALUE"""),46203.0)</f>
        <v>46203</v>
      </c>
      <c r="C138" s="55" t="str">
        <f>IFERROR(__xludf.DUMMYFUNCTION("""COMPUTED_VALUE"""),"June")</f>
        <v>June</v>
      </c>
      <c r="D138" s="58" t="str">
        <f>IFERROR(__xludf.DUMMYFUNCTION("""COMPUTED_VALUE"""),"https://www.tiktok.com/@preetiikumar/video/7657153657292492062")</f>
        <v>https://www.tiktok.com/@preetiikumar/video/7657153657292492062</v>
      </c>
      <c r="E138" s="55" t="str">
        <f>IFERROR(__xludf.DUMMYFUNCTION("""COMPUTED_VALUE"""),"@preetiikumar")</f>
        <v>@preetiikumar</v>
      </c>
      <c r="F138" s="55"/>
      <c r="G138" s="55" t="str">
        <f>IFERROR(__xludf.DUMMYFUNCTION("""COMPUTED_VALUE"""),"Gummies vs Coffee")</f>
        <v>Gummies vs Coffee</v>
      </c>
      <c r="H138" s="55"/>
      <c r="I138" s="55">
        <f>IFERROR(__xludf.DUMMYFUNCTION("""COMPUTED_VALUE"""),25.8)</f>
        <v>25.8</v>
      </c>
      <c r="J138" s="55" t="str">
        <f>IFERROR(__xludf.DUMMYFUNCTION("""COMPUTED_VALUE"""),"No – Not Recommended")</f>
        <v>No – Not Recommended</v>
      </c>
      <c r="K138" s="55" t="str">
        <f>IFERROR(__xludf.DUMMYFUNCTION("""COMPUTED_VALUE"""),"No")</f>
        <v>No</v>
      </c>
      <c r="L138" s="55" t="str">
        <f>IFERROR(__xludf.DUMMYFUNCTION("""COMPUTED_VALUE"""),"Score 27.2 &lt; 30 threshold")</f>
        <v>Score 27.2 &lt; 30 threshold</v>
      </c>
      <c r="M138" s="55" t="str">
        <f>IFERROR(__xludf.DUMMYFUNCTION("""COMPUTED_VALUE"""),"No Ad Data")</f>
        <v>No Ad Data</v>
      </c>
      <c r="N138" s="55"/>
      <c r="O138" s="55"/>
      <c r="P138" s="55">
        <f>IFERROR(__xludf.DUMMYFUNCTION("""COMPUTED_VALUE"""),51.0)</f>
        <v>51</v>
      </c>
      <c r="Q138" s="55">
        <f>IFERROR(__xludf.DUMMYFUNCTION("""COMPUTED_VALUE"""),3.0)</f>
        <v>3</v>
      </c>
      <c r="R138" s="55"/>
      <c r="S138" s="55"/>
      <c r="T138" s="55">
        <f>IFERROR(__xludf.DUMMYFUNCTION("""COMPUTED_VALUE"""),11.1)</f>
        <v>11.1</v>
      </c>
      <c r="U138" s="55"/>
      <c r="V138" s="55">
        <f>IFERROR(__xludf.DUMMYFUNCTION("""COMPUTED_VALUE"""),0.058)</f>
        <v>0.058</v>
      </c>
      <c r="W138" s="55">
        <f>IFERROR(__xludf.DUMMYFUNCTION("""COMPUTED_VALUE"""),72.99)</f>
        <v>72.99</v>
      </c>
      <c r="X138" s="55"/>
      <c r="Y138" s="55"/>
      <c r="Z138" s="55"/>
      <c r="AA138" s="55"/>
      <c r="AB138" s="55"/>
      <c r="AC138" s="55"/>
      <c r="AD138" s="55"/>
      <c r="AE138" s="55"/>
      <c r="AF138" s="55"/>
      <c r="AG138" s="55"/>
      <c r="AH138" s="55"/>
      <c r="AI138" s="55"/>
      <c r="AJ138" s="55"/>
      <c r="AK138" s="55"/>
      <c r="AL138" s="55"/>
      <c r="AM138" s="55" t="str">
        <f>IFERROR(__xludf.DUMMYFUNCTION("""COMPUTED_VALUE"""),"#uXOD44nPkFENUqPjR6ZtMEOleufRdrHBJpM6+1lwSXy7dtFt1cKoCb7qSF/kNc0=")</f>
        <v>#uXOD44nPkFENUqPjR6ZtMEOleufRdrHBJpM6+1lwSXy7dtFt1cKoCb7qSF/kNc0=</v>
      </c>
      <c r="AN138" s="55"/>
      <c r="AO138" s="55"/>
      <c r="AP138" s="55"/>
      <c r="AQ138" s="55"/>
      <c r="AR138" s="55"/>
      <c r="AS138" s="55"/>
      <c r="AT138" s="55"/>
      <c r="AU138" s="55"/>
      <c r="AV138" s="55"/>
      <c r="AW138" s="35"/>
      <c r="AX138" s="35"/>
      <c r="AY138" s="35"/>
      <c r="AZ138" s="35"/>
      <c r="BA138" s="35"/>
      <c r="BB138" s="35"/>
      <c r="BC138" s="35"/>
      <c r="BD138" s="35"/>
      <c r="BE138" s="35"/>
      <c r="BF138" s="35"/>
      <c r="BG138" s="35"/>
    </row>
    <row r="139" ht="15.75" customHeight="1">
      <c r="A139" s="55" t="str">
        <f>IFERROR(__xludf.DUMMYFUNCTION("""COMPUTED_VALUE"""),"Tiktok")</f>
        <v>Tiktok</v>
      </c>
      <c r="B139" s="56">
        <f>IFERROR(__xludf.DUMMYFUNCTION("""COMPUTED_VALUE"""),46204.0)</f>
        <v>46204</v>
      </c>
      <c r="C139" s="55" t="str">
        <f>IFERROR(__xludf.DUMMYFUNCTION("""COMPUTED_VALUE"""),"July")</f>
        <v>July</v>
      </c>
      <c r="D139" s="58" t="str">
        <f>IFERROR(__xludf.DUMMYFUNCTION("""COMPUTED_VALUE"""),"https://www.tiktok.com/@carolviliotti/video/7657611567625751821")</f>
        <v>https://www.tiktok.com/@carolviliotti/video/7657611567625751821</v>
      </c>
      <c r="E139" s="55" t="str">
        <f>IFERROR(__xludf.DUMMYFUNCTION("""COMPUTED_VALUE"""),"@carolviliotti")</f>
        <v>@carolviliotti</v>
      </c>
      <c r="F139" s="55"/>
      <c r="G139" s="55" t="str">
        <f>IFERROR(__xludf.DUMMYFUNCTION("""COMPUTED_VALUE"""),"Over 40/ High Performer")</f>
        <v>Over 40/ High Performer</v>
      </c>
      <c r="H139" s="55"/>
      <c r="I139" s="55">
        <f>IFERROR(__xludf.DUMMYFUNCTION("""COMPUTED_VALUE"""),25.1)</f>
        <v>25.1</v>
      </c>
      <c r="J139" s="55" t="str">
        <f>IFERROR(__xludf.DUMMYFUNCTION("""COMPUTED_VALUE"""),"No – Not Recommended")</f>
        <v>No – Not Recommended</v>
      </c>
      <c r="K139" s="55" t="str">
        <f>IFERROR(__xludf.DUMMYFUNCTION("""COMPUTED_VALUE"""),"No")</f>
        <v>No</v>
      </c>
      <c r="L139" s="55" t="str">
        <f>IFERROR(__xludf.DUMMYFUNCTION("""COMPUTED_VALUE"""),"Score 26.9 &lt; 30 threshold")</f>
        <v>Score 26.9 &lt; 30 threshold</v>
      </c>
      <c r="M139" s="55" t="str">
        <f>IFERROR(__xludf.DUMMYFUNCTION("""COMPUTED_VALUE"""),"No Ad Data")</f>
        <v>No Ad Data</v>
      </c>
      <c r="N139" s="55"/>
      <c r="O139" s="55"/>
      <c r="P139" s="55">
        <f>IFERROR(__xludf.DUMMYFUNCTION("""COMPUTED_VALUE"""),162.0)</f>
        <v>162</v>
      </c>
      <c r="Q139" s="55">
        <f>IFERROR(__xludf.DUMMYFUNCTION("""COMPUTED_VALUE"""),3.0)</f>
        <v>3</v>
      </c>
      <c r="R139" s="55"/>
      <c r="S139" s="55"/>
      <c r="T139" s="55">
        <f>IFERROR(__xludf.DUMMYFUNCTION("""COMPUTED_VALUE"""),7.9)</f>
        <v>7.9</v>
      </c>
      <c r="U139" s="55"/>
      <c r="V139" s="55">
        <f>IFERROR(__xludf.DUMMYFUNCTION("""COMPUTED_VALUE"""),0.018)</f>
        <v>0.018</v>
      </c>
      <c r="W139" s="55">
        <f>IFERROR(__xludf.DUMMYFUNCTION("""COMPUTED_VALUE"""),117.58)</f>
        <v>117.58</v>
      </c>
      <c r="X139" s="55"/>
      <c r="Y139" s="55"/>
      <c r="Z139" s="55"/>
      <c r="AA139" s="55"/>
      <c r="AB139" s="55"/>
      <c r="AC139" s="55"/>
      <c r="AD139" s="55"/>
      <c r="AE139" s="55"/>
      <c r="AF139" s="55"/>
      <c r="AG139" s="55"/>
      <c r="AH139" s="55"/>
      <c r="AI139" s="55"/>
      <c r="AJ139" s="55"/>
      <c r="AK139" s="55"/>
      <c r="AL139" s="55"/>
      <c r="AM139" s="55" t="str">
        <f>IFERROR(__xludf.DUMMYFUNCTION("""COMPUTED_VALUE"""),"#elMrC20JE8GZZ3rtxDbVC3WPSuwbhmUi/mX+arszJw4o1v2Y23tNZQxvGCF4Xlg=")</f>
        <v>#elMrC20JE8GZZ3rtxDbVC3WPSuwbhmUi/mX+arszJw4o1v2Y23tNZQxvGCF4Xlg=</v>
      </c>
      <c r="AN139" s="55"/>
      <c r="AO139" s="55"/>
      <c r="AP139" s="55"/>
      <c r="AQ139" s="55"/>
      <c r="AR139" s="55"/>
      <c r="AS139" s="55"/>
      <c r="AT139" s="55"/>
      <c r="AU139" s="55"/>
      <c r="AV139" s="55"/>
      <c r="AW139" s="35"/>
      <c r="AX139" s="35"/>
      <c r="AY139" s="35"/>
      <c r="AZ139" s="35"/>
      <c r="BA139" s="35"/>
      <c r="BB139" s="35"/>
      <c r="BC139" s="35"/>
      <c r="BD139" s="35"/>
      <c r="BE139" s="35"/>
      <c r="BF139" s="35"/>
      <c r="BG139" s="35"/>
    </row>
    <row r="140" ht="15.75" customHeight="1">
      <c r="A140" s="55" t="str">
        <f>IFERROR(__xludf.DUMMYFUNCTION("""COMPUTED_VALUE"""),"Tiktok")</f>
        <v>Tiktok</v>
      </c>
      <c r="B140" s="56">
        <f>IFERROR(__xludf.DUMMYFUNCTION("""COMPUTED_VALUE"""),46205.0)</f>
        <v>46205</v>
      </c>
      <c r="C140" s="55" t="str">
        <f>IFERROR(__xludf.DUMMYFUNCTION("""COMPUTED_VALUE"""),"July")</f>
        <v>July</v>
      </c>
      <c r="D140" s="58" t="str">
        <f>IFERROR(__xludf.DUMMYFUNCTION("""COMPUTED_VALUE"""),"https://www.tiktok.com/@carrievee2022/video/7657728654000065823")</f>
        <v>https://www.tiktok.com/@carrievee2022/video/7657728654000065823</v>
      </c>
      <c r="E140" s="55" t="str">
        <f>IFERROR(__xludf.DUMMYFUNCTION("""COMPUTED_VALUE"""),"@carrievee2022")</f>
        <v>@carrievee2022</v>
      </c>
      <c r="F140" s="55"/>
      <c r="G140" s="55" t="str">
        <f>IFERROR(__xludf.DUMMYFUNCTION("""COMPUTED_VALUE"""),"Taste")</f>
        <v>Taste</v>
      </c>
      <c r="H140" s="55"/>
      <c r="I140" s="55">
        <f>IFERROR(__xludf.DUMMYFUNCTION("""COMPUTED_VALUE"""),25.3)</f>
        <v>25.3</v>
      </c>
      <c r="J140" s="55" t="str">
        <f>IFERROR(__xludf.DUMMYFUNCTION("""COMPUTED_VALUE"""),"No – Not Recommended")</f>
        <v>No – Not Recommended</v>
      </c>
      <c r="K140" s="55" t="str">
        <f>IFERROR(__xludf.DUMMYFUNCTION("""COMPUTED_VALUE"""),"No")</f>
        <v>No</v>
      </c>
      <c r="L140" s="55" t="str">
        <f>IFERROR(__xludf.DUMMYFUNCTION("""COMPUTED_VALUE"""),"Score 26.8 &lt; 30 threshold")</f>
        <v>Score 26.8 &lt; 30 threshold</v>
      </c>
      <c r="M140" s="55" t="str">
        <f>IFERROR(__xludf.DUMMYFUNCTION("""COMPUTED_VALUE"""),"No Ad Data")</f>
        <v>No Ad Data</v>
      </c>
      <c r="N140" s="55"/>
      <c r="O140" s="55"/>
      <c r="P140" s="55">
        <f>IFERROR(__xludf.DUMMYFUNCTION("""COMPUTED_VALUE"""),60.0)</f>
        <v>60</v>
      </c>
      <c r="Q140" s="55">
        <f>IFERROR(__xludf.DUMMYFUNCTION("""COMPUTED_VALUE"""),3.0)</f>
        <v>3</v>
      </c>
      <c r="R140" s="55"/>
      <c r="S140" s="55"/>
      <c r="T140" s="55">
        <f>IFERROR(__xludf.DUMMYFUNCTION("""COMPUTED_VALUE"""),10.0)</f>
        <v>10</v>
      </c>
      <c r="U140" s="55"/>
      <c r="V140" s="55">
        <f>IFERROR(__xludf.DUMMYFUNCTION("""COMPUTED_VALUE"""),0.05)</f>
        <v>0.05</v>
      </c>
      <c r="W140" s="55">
        <f>IFERROR(__xludf.DUMMYFUNCTION("""COMPUTED_VALUE"""),117.58)</f>
        <v>117.58</v>
      </c>
      <c r="X140" s="55"/>
      <c r="Y140" s="55"/>
      <c r="Z140" s="55"/>
      <c r="AA140" s="55"/>
      <c r="AB140" s="55"/>
      <c r="AC140" s="55"/>
      <c r="AD140" s="55"/>
      <c r="AE140" s="55"/>
      <c r="AF140" s="55"/>
      <c r="AG140" s="55"/>
      <c r="AH140" s="55"/>
      <c r="AI140" s="55"/>
      <c r="AJ140" s="55"/>
      <c r="AK140" s="55"/>
      <c r="AL140" s="55"/>
      <c r="AM140" s="55" t="str">
        <f>IFERROR(__xludf.DUMMYFUNCTION("""COMPUTED_VALUE"""),"#RK4I+Oqbs/Z6F5MIDa5GfrLH+RevfuFPgscyinr7u+hOu1p3ViAdOneeYRKlDn4=")</f>
        <v>#RK4I+Oqbs/Z6F5MIDa5GfrLH+RevfuFPgscyinr7u+hOu1p3ViAdOneeYRKlDn4=</v>
      </c>
      <c r="AN140" s="55"/>
      <c r="AO140" s="55"/>
      <c r="AP140" s="55"/>
      <c r="AQ140" s="55"/>
      <c r="AR140" s="55"/>
      <c r="AS140" s="55"/>
      <c r="AT140" s="55"/>
      <c r="AU140" s="55"/>
      <c r="AV140" s="55"/>
      <c r="AW140" s="35"/>
      <c r="AX140" s="35"/>
      <c r="AY140" s="35"/>
      <c r="AZ140" s="35"/>
      <c r="BA140" s="35"/>
      <c r="BB140" s="35"/>
      <c r="BC140" s="35"/>
      <c r="BD140" s="35"/>
      <c r="BE140" s="35"/>
      <c r="BF140" s="35"/>
      <c r="BG140" s="35"/>
    </row>
    <row r="141" ht="15.75" customHeight="1">
      <c r="A141" s="55" t="str">
        <f>IFERROR(__xludf.DUMMYFUNCTION("""COMPUTED_VALUE"""),"Tiktok")</f>
        <v>Tiktok</v>
      </c>
      <c r="B141" s="56">
        <f>IFERROR(__xludf.DUMMYFUNCTION("""COMPUTED_VALUE"""),46204.0)</f>
        <v>46204</v>
      </c>
      <c r="C141" s="55" t="str">
        <f>IFERROR(__xludf.DUMMYFUNCTION("""COMPUTED_VALUE"""),"July")</f>
        <v>July</v>
      </c>
      <c r="D141" s="58" t="str">
        <f>IFERROR(__xludf.DUMMYFUNCTION("""COMPUTED_VALUE"""),"https://www.tiktok.com/@cynthiablancocreator/video/7657271940884761886")</f>
        <v>https://www.tiktok.com/@cynthiablancocreator/video/7657271940884761886</v>
      </c>
      <c r="E141" s="55" t="str">
        <f>IFERROR(__xludf.DUMMYFUNCTION("""COMPUTED_VALUE"""),"@cynthiablancocreator")</f>
        <v>@cynthiablancocreator</v>
      </c>
      <c r="F141" s="55"/>
      <c r="G141" s="55" t="str">
        <f>IFERROR(__xludf.DUMMYFUNCTION("""COMPUTED_VALUE"""),"Target Shelf Showdown")</f>
        <v>Target Shelf Showdown</v>
      </c>
      <c r="H141" s="55"/>
      <c r="I141" s="55">
        <f>IFERROR(__xludf.DUMMYFUNCTION("""COMPUTED_VALUE"""),24.2)</f>
        <v>24.2</v>
      </c>
      <c r="J141" s="55" t="str">
        <f>IFERROR(__xludf.DUMMYFUNCTION("""COMPUTED_VALUE"""),"No – Not Recommended")</f>
        <v>No – Not Recommended</v>
      </c>
      <c r="K141" s="55" t="str">
        <f>IFERROR(__xludf.DUMMYFUNCTION("""COMPUTED_VALUE"""),"No")</f>
        <v>No</v>
      </c>
      <c r="L141" s="55" t="str">
        <f>IFERROR(__xludf.DUMMYFUNCTION("""COMPUTED_VALUE"""),"Score 25.8 &lt; 30 threshold")</f>
        <v>Score 25.8 &lt; 30 threshold</v>
      </c>
      <c r="M141" s="55" t="str">
        <f>IFERROR(__xludf.DUMMYFUNCTION("""COMPUTED_VALUE"""),"No Ad Data")</f>
        <v>No Ad Data</v>
      </c>
      <c r="N141" s="55"/>
      <c r="O141" s="55"/>
      <c r="P141" s="55">
        <f>IFERROR(__xludf.DUMMYFUNCTION("""COMPUTED_VALUE"""),79.0)</f>
        <v>79</v>
      </c>
      <c r="Q141" s="55">
        <f>IFERROR(__xludf.DUMMYFUNCTION("""COMPUTED_VALUE"""),1.0)</f>
        <v>1</v>
      </c>
      <c r="R141" s="55"/>
      <c r="S141" s="55"/>
      <c r="T141" s="55">
        <f>IFERROR(__xludf.DUMMYFUNCTION("""COMPUTED_VALUE"""),10.9)</f>
        <v>10.9</v>
      </c>
      <c r="U141" s="55"/>
      <c r="V141" s="55">
        <f>IFERROR(__xludf.DUMMYFUNCTION("""COMPUTED_VALUE"""),0.012)</f>
        <v>0.012</v>
      </c>
      <c r="W141" s="55">
        <f>IFERROR(__xludf.DUMMYFUNCTION("""COMPUTED_VALUE"""),72.99)</f>
        <v>72.99</v>
      </c>
      <c r="X141" s="55"/>
      <c r="Y141" s="55"/>
      <c r="Z141" s="55"/>
      <c r="AA141" s="55"/>
      <c r="AB141" s="55"/>
      <c r="AC141" s="55"/>
      <c r="AD141" s="55"/>
      <c r="AE141" s="55"/>
      <c r="AF141" s="55"/>
      <c r="AG141" s="55"/>
      <c r="AH141" s="55"/>
      <c r="AI141" s="55"/>
      <c r="AJ141" s="55"/>
      <c r="AK141" s="55"/>
      <c r="AL141" s="55"/>
      <c r="AM141" s="55" t="str">
        <f>IFERROR(__xludf.DUMMYFUNCTION("""COMPUTED_VALUE"""),"#cFBj/6h1aC6pcJIl9jSW7tMARoW+A0M5UuPVs2WIQ+lQUgM38qYuZNAjlg1+f34=")</f>
        <v>#cFBj/6h1aC6pcJIl9jSW7tMARoW+A0M5UuPVs2WIQ+lQUgM38qYuZNAjlg1+f34=</v>
      </c>
      <c r="AN141" s="55"/>
      <c r="AO141" s="55"/>
      <c r="AP141" s="55"/>
      <c r="AQ141" s="55"/>
      <c r="AR141" s="55"/>
      <c r="AS141" s="55"/>
      <c r="AT141" s="55"/>
      <c r="AU141" s="55"/>
      <c r="AV141" s="55"/>
      <c r="AW141" s="35"/>
      <c r="AX141" s="35"/>
      <c r="AY141" s="35"/>
      <c r="AZ141" s="35"/>
      <c r="BA141" s="35"/>
      <c r="BB141" s="35"/>
      <c r="BC141" s="35"/>
      <c r="BD141" s="35"/>
      <c r="BE141" s="35"/>
      <c r="BF141" s="35"/>
      <c r="BG141" s="35"/>
    </row>
    <row r="142" ht="15.75" customHeight="1">
      <c r="A142" s="55" t="str">
        <f>IFERROR(__xludf.DUMMYFUNCTION("""COMPUTED_VALUE"""),"Instagram")</f>
        <v>Instagram</v>
      </c>
      <c r="B142" s="56">
        <f>IFERROR(__xludf.DUMMYFUNCTION("""COMPUTED_VALUE"""),46208.0)</f>
        <v>46208</v>
      </c>
      <c r="C142" s="55" t="str">
        <f>IFERROR(__xludf.DUMMYFUNCTION("""COMPUTED_VALUE"""),"July")</f>
        <v>July</v>
      </c>
      <c r="D142" s="58" t="str">
        <f>IFERROR(__xludf.DUMMYFUNCTION("""COMPUTED_VALUE"""),"https://www.instagram.com/reel/DaZG12DM6bs/")</f>
        <v>https://www.instagram.com/reel/DaZG12DM6bs/</v>
      </c>
      <c r="E142" s="55" t="str">
        <f>IFERROR(__xludf.DUMMYFUNCTION("""COMPUTED_VALUE"""),"@na")</f>
        <v>@na</v>
      </c>
      <c r="F142" s="55"/>
      <c r="G142" s="55" t="str">
        <f>IFERROR(__xludf.DUMMYFUNCTION("""COMPUTED_VALUE"""),"Gummies vs Coffee")</f>
        <v>Gummies vs Coffee</v>
      </c>
      <c r="H142" s="55"/>
      <c r="I142" s="55">
        <f>IFERROR(__xludf.DUMMYFUNCTION("""COMPUTED_VALUE"""),55.7)</f>
        <v>55.7</v>
      </c>
      <c r="J142" s="55" t="str">
        <f>IFERROR(__xludf.DUMMYFUNCTION("""COMPUTED_VALUE"""),"No – Not Recommended")</f>
        <v>No – Not Recommended</v>
      </c>
      <c r="K142" s="55" t="str">
        <f>IFERROR(__xludf.DUMMYFUNCTION("""COMPUTED_VALUE"""),"No")</f>
        <v>No</v>
      </c>
      <c r="L142" s="55" t="str">
        <f>IFERROR(__xludf.DUMMYFUNCTION("""COMPUTED_VALUE"""),"Score 14.2 &lt; 20 threshold")</f>
        <v>Score 14.2 &lt; 20 threshold</v>
      </c>
      <c r="M142" s="55" t="str">
        <f>IFERROR(__xludf.DUMMYFUNCTION("""COMPUTED_VALUE"""),"No Ad Data")</f>
        <v>No Ad Data</v>
      </c>
      <c r="N142" s="55"/>
      <c r="O142" s="55"/>
      <c r="P142" s="55">
        <f>IFERROR(__xludf.DUMMYFUNCTION("""COMPUTED_VALUE"""),11000.0)</f>
        <v>11000</v>
      </c>
      <c r="Q142" s="55">
        <f>IFERROR(__xludf.DUMMYFUNCTION("""COMPUTED_VALUE"""),78.0)</f>
        <v>78</v>
      </c>
      <c r="R142" s="55"/>
      <c r="S142" s="55"/>
      <c r="T142" s="55"/>
      <c r="U142" s="55"/>
      <c r="V142" s="55" t="str">
        <f>IFERROR(__xludf.DUMMYFUNCTION("""COMPUTED_VALUE"""),"#NUM!")</f>
        <v>#NUM!</v>
      </c>
      <c r="W142" s="55">
        <f>IFERROR(__xludf.DUMMYFUNCTION("""COMPUTED_VALUE"""),72.99)</f>
        <v>72.99</v>
      </c>
      <c r="X142" s="55"/>
      <c r="Y142" s="55"/>
      <c r="Z142" s="55"/>
      <c r="AA142" s="55"/>
      <c r="AB142" s="55"/>
      <c r="AC142" s="55"/>
      <c r="AD142" s="55"/>
      <c r="AE142" s="55"/>
      <c r="AF142" s="55"/>
      <c r="AG142" s="55"/>
      <c r="AH142" s="55"/>
      <c r="AI142" s="55"/>
      <c r="AJ142" s="55"/>
      <c r="AK142" s="55"/>
      <c r="AL142" s="55"/>
      <c r="AM142" s="55" t="str">
        <f>IFERROR(__xludf.DUMMYFUNCTION("""COMPUTED_VALUE"""),"Q9jTBBWD_ZJD97_4KXEi-M2tijgwWeyfdp1XgiJ7XXTSom_bmeJvcWhPRq-k_fAFOhM")</f>
        <v>Q9jTBBWD_ZJD97_4KXEi-M2tijgwWeyfdp1XgiJ7XXTSom_bmeJvcWhPRq-k_fAFOhM</v>
      </c>
      <c r="AN142" s="55"/>
      <c r="AO142" s="55"/>
      <c r="AP142" s="55"/>
      <c r="AQ142" s="55"/>
      <c r="AR142" s="55"/>
      <c r="AS142" s="55"/>
      <c r="AT142" s="55"/>
      <c r="AU142" s="55"/>
      <c r="AV142" s="55"/>
      <c r="AW142" s="35"/>
      <c r="AX142" s="35"/>
      <c r="AY142" s="35"/>
      <c r="AZ142" s="35"/>
      <c r="BA142" s="35"/>
      <c r="BB142" s="35"/>
      <c r="BC142" s="35"/>
      <c r="BD142" s="35"/>
      <c r="BE142" s="35"/>
      <c r="BF142" s="35"/>
      <c r="BG142" s="35"/>
    </row>
    <row r="143" ht="15.75" customHeight="1">
      <c r="A143" s="55" t="str">
        <f>IFERROR(__xludf.DUMMYFUNCTION("""COMPUTED_VALUE"""),"Tiktok")</f>
        <v>Tiktok</v>
      </c>
      <c r="B143" s="56">
        <f>IFERROR(__xludf.DUMMYFUNCTION("""COMPUTED_VALUE"""),46206.0)</f>
        <v>46206</v>
      </c>
      <c r="C143" s="55" t="str">
        <f>IFERROR(__xludf.DUMMYFUNCTION("""COMPUTED_VALUE"""),"July")</f>
        <v>July</v>
      </c>
      <c r="D143" s="58" t="str">
        <f>IFERROR(__xludf.DUMMYFUNCTION("""COMPUTED_VALUE"""),"https://www.tiktok.com/@sheiladasilva301/video/7658273000344554782")</f>
        <v>https://www.tiktok.com/@sheiladasilva301/video/7658273000344554782</v>
      </c>
      <c r="E143" s="55" t="str">
        <f>IFERROR(__xludf.DUMMYFUNCTION("""COMPUTED_VALUE"""),"@sheiladasilva301")</f>
        <v>@sheiladasilva301</v>
      </c>
      <c r="F143" s="55"/>
      <c r="G143" s="55" t="str">
        <f>IFERROR(__xludf.DUMMYFUNCTION("""COMPUTED_VALUE"""),"Over 40/ High Performer")</f>
        <v>Over 40/ High Performer</v>
      </c>
      <c r="H143" s="55"/>
      <c r="I143" s="55">
        <f>IFERROR(__xludf.DUMMYFUNCTION("""COMPUTED_VALUE"""),40.0)</f>
        <v>40</v>
      </c>
      <c r="J143" s="55" t="str">
        <f>IFERROR(__xludf.DUMMYFUNCTION("""COMPUTED_VALUE"""),"No – Not Recommended")</f>
        <v>No – Not Recommended</v>
      </c>
      <c r="K143" s="55" t="str">
        <f>IFERROR(__xludf.DUMMYFUNCTION("""COMPUTED_VALUE"""),"No")</f>
        <v>No</v>
      </c>
      <c r="L143" s="55" t="str">
        <f>IFERROR(__xludf.DUMMYFUNCTION("""COMPUTED_VALUE"""),"Score 11.3 &lt; 30 threshold")</f>
        <v>Score 11.3 &lt; 30 threshold</v>
      </c>
      <c r="M143" s="55" t="str">
        <f>IFERROR(__xludf.DUMMYFUNCTION("""COMPUTED_VALUE"""),"No Ad Data")</f>
        <v>No Ad Data</v>
      </c>
      <c r="N143" s="55"/>
      <c r="O143" s="55"/>
      <c r="P143" s="55">
        <f>IFERROR(__xludf.DUMMYFUNCTION("""COMPUTED_VALUE"""),5200.0)</f>
        <v>5200</v>
      </c>
      <c r="Q143" s="55">
        <f>IFERROR(__xludf.DUMMYFUNCTION("""COMPUTED_VALUE"""),12.0)</f>
        <v>12</v>
      </c>
      <c r="R143" s="55">
        <f>IFERROR(__xludf.DUMMYFUNCTION("""COMPUTED_VALUE"""),2.0)</f>
        <v>2</v>
      </c>
      <c r="S143" s="55"/>
      <c r="T143" s="55">
        <f>IFERROR(__xludf.DUMMYFUNCTION("""COMPUTED_VALUE"""),3.2)</f>
        <v>3.2</v>
      </c>
      <c r="U143" s="55"/>
      <c r="V143" s="55">
        <f>IFERROR(__xludf.DUMMYFUNCTION("""COMPUTED_VALUE"""),0.7000000000000001)</f>
        <v>0.7</v>
      </c>
      <c r="W143" s="55">
        <f>IFERROR(__xludf.DUMMYFUNCTION("""COMPUTED_VALUE"""),117.58)</f>
        <v>117.58</v>
      </c>
      <c r="X143" s="55"/>
      <c r="Y143" s="55"/>
      <c r="Z143" s="55"/>
      <c r="AA143" s="55"/>
      <c r="AB143" s="55"/>
      <c r="AC143" s="55"/>
      <c r="AD143" s="55"/>
      <c r="AE143" s="55"/>
      <c r="AF143" s="55"/>
      <c r="AG143" s="55"/>
      <c r="AH143" s="55"/>
      <c r="AI143" s="55"/>
      <c r="AJ143" s="55"/>
      <c r="AK143" s="55"/>
      <c r="AL143" s="55"/>
      <c r="AM143" s="55" t="str">
        <f>IFERROR(__xludf.DUMMYFUNCTION("""COMPUTED_VALUE"""),"#Q693QeB5PhkMZ1LmO8ISPGJl/TGszk13849uFA48pxhockvHyjV+YR31L9/tmlQ=")</f>
        <v>#Q693QeB5PhkMZ1LmO8ISPGJl/TGszk13849uFA48pxhockvHyjV+YR31L9/tmlQ=</v>
      </c>
      <c r="AN143" s="55"/>
      <c r="AO143" s="55"/>
      <c r="AP143" s="55"/>
      <c r="AQ143" s="55"/>
      <c r="AR143" s="55"/>
      <c r="AS143" s="55"/>
      <c r="AT143" s="55"/>
      <c r="AU143" s="55"/>
      <c r="AV143" s="55"/>
      <c r="AW143" s="35"/>
      <c r="AX143" s="35"/>
      <c r="AY143" s="35"/>
      <c r="AZ143" s="35"/>
      <c r="BA143" s="35"/>
      <c r="BB143" s="35"/>
      <c r="BC143" s="35"/>
      <c r="BD143" s="35"/>
      <c r="BE143" s="35"/>
      <c r="BF143" s="35"/>
      <c r="BG143" s="35"/>
    </row>
    <row r="144" ht="15.75" customHeight="1">
      <c r="A144" s="55" t="str">
        <f>IFERROR(__xludf.DUMMYFUNCTION("""COMPUTED_VALUE"""),"Tiktok")</f>
        <v>Tiktok</v>
      </c>
      <c r="B144" s="56">
        <f>IFERROR(__xludf.DUMMYFUNCTION("""COMPUTED_VALUE"""),46205.0)</f>
        <v>46205</v>
      </c>
      <c r="C144" s="55" t="str">
        <f>IFERROR(__xludf.DUMMYFUNCTION("""COMPUTED_VALUE"""),"July")</f>
        <v>July</v>
      </c>
      <c r="D144" s="58" t="str">
        <f>IFERROR(__xludf.DUMMYFUNCTION("""COMPUTED_VALUE"""),"https://www.tiktok.com/@fabiliealves/video/7657743941277699359")</f>
        <v>https://www.tiktok.com/@fabiliealves/video/7657743941277699359</v>
      </c>
      <c r="E144" s="55" t="str">
        <f>IFERROR(__xludf.DUMMYFUNCTION("""COMPUTED_VALUE"""),"@fabiliealves")</f>
        <v>@fabiliealves</v>
      </c>
      <c r="F144" s="55"/>
      <c r="G144" s="55" t="str">
        <f>IFERROR(__xludf.DUMMYFUNCTION("""COMPUTED_VALUE"""),"Cortisol")</f>
        <v>Cortisol</v>
      </c>
      <c r="H144" s="55"/>
      <c r="I144" s="55">
        <f>IFERROR(__xludf.DUMMYFUNCTION("""COMPUTED_VALUE"""),24.0)</f>
        <v>24</v>
      </c>
      <c r="J144" s="55" t="str">
        <f>IFERROR(__xludf.DUMMYFUNCTION("""COMPUTED_VALUE"""),"No – Not Recommended")</f>
        <v>No – Not Recommended</v>
      </c>
      <c r="K144" s="55" t="str">
        <f>IFERROR(__xludf.DUMMYFUNCTION("""COMPUTED_VALUE"""),"No")</f>
        <v>No</v>
      </c>
      <c r="L144" s="55" t="str">
        <f>IFERROR(__xludf.DUMMYFUNCTION("""COMPUTED_VALUE"""),"Score 24.9 &lt; 30 threshold")</f>
        <v>Score 24.9 &lt; 30 threshold</v>
      </c>
      <c r="M144" s="55" t="str">
        <f>IFERROR(__xludf.DUMMYFUNCTION("""COMPUTED_VALUE"""),"No Ad Data")</f>
        <v>No Ad Data</v>
      </c>
      <c r="N144" s="55"/>
      <c r="O144" s="55"/>
      <c r="P144" s="55">
        <f>IFERROR(__xludf.DUMMYFUNCTION("""COMPUTED_VALUE"""),46.0)</f>
        <v>46</v>
      </c>
      <c r="Q144" s="55">
        <f>IFERROR(__xludf.DUMMYFUNCTION("""COMPUTED_VALUE"""),9.0)</f>
        <v>9</v>
      </c>
      <c r="R144" s="55">
        <f>IFERROR(__xludf.DUMMYFUNCTION("""COMPUTED_VALUE"""),1.0)</f>
        <v>1</v>
      </c>
      <c r="S144" s="55"/>
      <c r="T144" s="55">
        <f>IFERROR(__xludf.DUMMYFUNCTION("""COMPUTED_VALUE"""),43.1)</f>
        <v>43.1</v>
      </c>
      <c r="U144" s="55"/>
      <c r="V144" s="55">
        <f>IFERROR(__xludf.DUMMYFUNCTION("""COMPUTED_VALUE"""),0.282)</f>
        <v>0.282</v>
      </c>
      <c r="W144" s="55">
        <f>IFERROR(__xludf.DUMMYFUNCTION("""COMPUTED_VALUE"""),117.58)</f>
        <v>117.58</v>
      </c>
      <c r="X144" s="55"/>
      <c r="Y144" s="55"/>
      <c r="Z144" s="55"/>
      <c r="AA144" s="55"/>
      <c r="AB144" s="55"/>
      <c r="AC144" s="55"/>
      <c r="AD144" s="55"/>
      <c r="AE144" s="55"/>
      <c r="AF144" s="55"/>
      <c r="AG144" s="55"/>
      <c r="AH144" s="55"/>
      <c r="AI144" s="55"/>
      <c r="AJ144" s="55"/>
      <c r="AK144" s="55"/>
      <c r="AL144" s="55"/>
      <c r="AM144" s="55" t="str">
        <f>IFERROR(__xludf.DUMMYFUNCTION("""COMPUTED_VALUE"""),"#SKVw3l5YvUBDc/4KnsrmJNbfEk7bVdrAnTGu2Wj4DQMezZLofkoJid8dNfWREb4=")</f>
        <v>#SKVw3l5YvUBDc/4KnsrmJNbfEk7bVdrAnTGu2Wj4DQMezZLofkoJid8dNfWREb4=</v>
      </c>
      <c r="AN144" s="55"/>
      <c r="AO144" s="55"/>
      <c r="AP144" s="55"/>
      <c r="AQ144" s="55"/>
      <c r="AR144" s="55"/>
      <c r="AS144" s="55"/>
      <c r="AT144" s="55"/>
      <c r="AU144" s="55"/>
      <c r="AV144" s="55"/>
      <c r="AW144" s="35"/>
      <c r="AX144" s="35"/>
      <c r="AY144" s="35"/>
      <c r="AZ144" s="35"/>
      <c r="BA144" s="35"/>
      <c r="BB144" s="35"/>
      <c r="BC144" s="35"/>
      <c r="BD144" s="35"/>
      <c r="BE144" s="35"/>
      <c r="BF144" s="35"/>
      <c r="BG144" s="35"/>
    </row>
    <row r="145" ht="15.75" customHeight="1">
      <c r="A145" s="55" t="str">
        <f>IFERROR(__xludf.DUMMYFUNCTION("""COMPUTED_VALUE"""),"Tiktok")</f>
        <v>Tiktok</v>
      </c>
      <c r="B145" s="56">
        <f>IFERROR(__xludf.DUMMYFUNCTION("""COMPUTED_VALUE"""),46206.0)</f>
        <v>46206</v>
      </c>
      <c r="C145" s="55" t="str">
        <f>IFERROR(__xludf.DUMMYFUNCTION("""COMPUTED_VALUE"""),"July")</f>
        <v>July</v>
      </c>
      <c r="D145" s="58" t="str">
        <f>IFERROR(__xludf.DUMMYFUNCTION("""COMPUTED_VALUE"""),"https://www.tiktok.com/@maxprintstudio/video/7658317474101824782")</f>
        <v>https://www.tiktok.com/@maxprintstudio/video/7658317474101824782</v>
      </c>
      <c r="E145" s="55" t="str">
        <f>IFERROR(__xludf.DUMMYFUNCTION("""COMPUTED_VALUE"""),"@maxprintstudio")</f>
        <v>@maxprintstudio</v>
      </c>
      <c r="F145" s="55"/>
      <c r="G145" s="55" t="str">
        <f>IFERROR(__xludf.DUMMYFUNCTION("""COMPUTED_VALUE"""),"Gummies vs Coffee")</f>
        <v>Gummies vs Coffee</v>
      </c>
      <c r="H145" s="55"/>
      <c r="I145" s="55">
        <f>IFERROR(__xludf.DUMMYFUNCTION("""COMPUTED_VALUE"""),23.6)</f>
        <v>23.6</v>
      </c>
      <c r="J145" s="55" t="str">
        <f>IFERROR(__xludf.DUMMYFUNCTION("""COMPUTED_VALUE"""),"No – Not Recommended")</f>
        <v>No – Not Recommended</v>
      </c>
      <c r="K145" s="55" t="str">
        <f>IFERROR(__xludf.DUMMYFUNCTION("""COMPUTED_VALUE"""),"No")</f>
        <v>No</v>
      </c>
      <c r="L145" s="55" t="str">
        <f>IFERROR(__xludf.DUMMYFUNCTION("""COMPUTED_VALUE"""),"Score 25.1 &lt; 30 threshold")</f>
        <v>Score 25.1 &lt; 30 threshold</v>
      </c>
      <c r="M145" s="55" t="str">
        <f>IFERROR(__xludf.DUMMYFUNCTION("""COMPUTED_VALUE"""),"No Ad Data")</f>
        <v>No Ad Data</v>
      </c>
      <c r="N145" s="55"/>
      <c r="O145" s="55"/>
      <c r="P145" s="55">
        <f>IFERROR(__xludf.DUMMYFUNCTION("""COMPUTED_VALUE"""),64.0)</f>
        <v>64</v>
      </c>
      <c r="Q145" s="55"/>
      <c r="R145" s="55">
        <f>IFERROR(__xludf.DUMMYFUNCTION("""COMPUTED_VALUE"""),1.0)</f>
        <v>1</v>
      </c>
      <c r="S145" s="55"/>
      <c r="T145" s="55">
        <f>IFERROR(__xludf.DUMMYFUNCTION("""COMPUTED_VALUE"""),10.2)</f>
        <v>10.2</v>
      </c>
      <c r="U145" s="55"/>
      <c r="V145" s="55">
        <f>IFERROR(__xludf.DUMMYFUNCTION("""COMPUTED_VALUE"""),0.031)</f>
        <v>0.031</v>
      </c>
      <c r="W145" s="55">
        <f>IFERROR(__xludf.DUMMYFUNCTION("""COMPUTED_VALUE"""),72.99)</f>
        <v>72.99</v>
      </c>
      <c r="X145" s="55"/>
      <c r="Y145" s="55"/>
      <c r="Z145" s="55"/>
      <c r="AA145" s="55"/>
      <c r="AB145" s="55"/>
      <c r="AC145" s="55"/>
      <c r="AD145" s="55"/>
      <c r="AE145" s="55"/>
      <c r="AF145" s="55"/>
      <c r="AG145" s="55"/>
      <c r="AH145" s="55"/>
      <c r="AI145" s="55"/>
      <c r="AJ145" s="55"/>
      <c r="AK145" s="55"/>
      <c r="AL145" s="55"/>
      <c r="AM145" s="55" t="str">
        <f>IFERROR(__xludf.DUMMYFUNCTION("""COMPUTED_VALUE"""),"#4AifxUgtSwpNn87mKJShUz2vxfcEfxZMh7mg+RtZEQZ7TRidVPJ+HWrivQ2j4fs=")</f>
        <v>#4AifxUgtSwpNn87mKJShUz2vxfcEfxZMh7mg+RtZEQZ7TRidVPJ+HWrivQ2j4fs=</v>
      </c>
      <c r="AN145" s="55"/>
      <c r="AO145" s="55"/>
      <c r="AP145" s="55"/>
      <c r="AQ145" s="55"/>
      <c r="AR145" s="55"/>
      <c r="AS145" s="55"/>
      <c r="AT145" s="55"/>
      <c r="AU145" s="55"/>
      <c r="AV145" s="55"/>
      <c r="AW145" s="35"/>
      <c r="AX145" s="35"/>
      <c r="AY145" s="35"/>
      <c r="AZ145" s="35"/>
      <c r="BA145" s="35"/>
      <c r="BB145" s="35"/>
      <c r="BC145" s="35"/>
      <c r="BD145" s="35"/>
      <c r="BE145" s="35"/>
      <c r="BF145" s="35"/>
      <c r="BG145" s="35"/>
    </row>
    <row r="146" ht="15.75" customHeight="1">
      <c r="A146" s="55" t="str">
        <f>IFERROR(__xludf.DUMMYFUNCTION("""COMPUTED_VALUE"""),"Tiktok")</f>
        <v>Tiktok</v>
      </c>
      <c r="B146" s="56">
        <f>IFERROR(__xludf.DUMMYFUNCTION("""COMPUTED_VALUE"""),46204.0)</f>
        <v>46204</v>
      </c>
      <c r="C146" s="55" t="str">
        <f>IFERROR(__xludf.DUMMYFUNCTION("""COMPUTED_VALUE"""),"July")</f>
        <v>July</v>
      </c>
      <c r="D146" s="58" t="str">
        <f>IFERROR(__xludf.DUMMYFUNCTION("""COMPUTED_VALUE"""),"https://www.tiktok.com/@laurat.tok/video/7657621292656397581")</f>
        <v>https://www.tiktok.com/@laurat.tok/video/7657621292656397581</v>
      </c>
      <c r="E146" s="55" t="str">
        <f>IFERROR(__xludf.DUMMYFUNCTION("""COMPUTED_VALUE"""),"@laurat.tok")</f>
        <v>@laurat.tok</v>
      </c>
      <c r="F146" s="55"/>
      <c r="G146" s="55" t="str">
        <f>IFERROR(__xludf.DUMMYFUNCTION("""COMPUTED_VALUE"""),"Taste")</f>
        <v>Taste</v>
      </c>
      <c r="H146" s="55"/>
      <c r="I146" s="55">
        <f>IFERROR(__xludf.DUMMYFUNCTION("""COMPUTED_VALUE"""),23.3)</f>
        <v>23.3</v>
      </c>
      <c r="J146" s="55" t="str">
        <f>IFERROR(__xludf.DUMMYFUNCTION("""COMPUTED_VALUE"""),"No – Not Recommended")</f>
        <v>No – Not Recommended</v>
      </c>
      <c r="K146" s="55" t="str">
        <f>IFERROR(__xludf.DUMMYFUNCTION("""COMPUTED_VALUE"""),"No")</f>
        <v>No</v>
      </c>
      <c r="L146" s="55" t="str">
        <f>IFERROR(__xludf.DUMMYFUNCTION("""COMPUTED_VALUE"""),"Score 24.9 &lt; 30 threshold")</f>
        <v>Score 24.9 &lt; 30 threshold</v>
      </c>
      <c r="M146" s="55" t="str">
        <f>IFERROR(__xludf.DUMMYFUNCTION("""COMPUTED_VALUE"""),"No Ad Data")</f>
        <v>No Ad Data</v>
      </c>
      <c r="N146" s="55"/>
      <c r="O146" s="55"/>
      <c r="P146" s="55">
        <f>IFERROR(__xludf.DUMMYFUNCTION("""COMPUTED_VALUE"""),78.0)</f>
        <v>78</v>
      </c>
      <c r="Q146" s="55">
        <f>IFERROR(__xludf.DUMMYFUNCTION("""COMPUTED_VALUE"""),2.0)</f>
        <v>2</v>
      </c>
      <c r="R146" s="55"/>
      <c r="S146" s="55"/>
      <c r="T146" s="55">
        <f>IFERROR(__xludf.DUMMYFUNCTION("""COMPUTED_VALUE"""),7.8)</f>
        <v>7.8</v>
      </c>
      <c r="U146" s="55"/>
      <c r="V146" s="55">
        <f>IFERROR(__xludf.DUMMYFUNCTION("""COMPUTED_VALUE"""),0.025)</f>
        <v>0.025</v>
      </c>
      <c r="W146" s="55">
        <f>IFERROR(__xludf.DUMMYFUNCTION("""COMPUTED_VALUE"""),117.58)</f>
        <v>117.58</v>
      </c>
      <c r="X146" s="55"/>
      <c r="Y146" s="55"/>
      <c r="Z146" s="55"/>
      <c r="AA146" s="55"/>
      <c r="AB146" s="55"/>
      <c r="AC146" s="55"/>
      <c r="AD146" s="55"/>
      <c r="AE146" s="55"/>
      <c r="AF146" s="55"/>
      <c r="AG146" s="55"/>
      <c r="AH146" s="55"/>
      <c r="AI146" s="55"/>
      <c r="AJ146" s="55"/>
      <c r="AK146" s="55"/>
      <c r="AL146" s="55"/>
      <c r="AM146" s="55" t="str">
        <f>IFERROR(__xludf.DUMMYFUNCTION("""COMPUTED_VALUE"""),"#iE4nM01aDWoq/90UwYGLxQLsU2IvOv8fI1Ru3aNMtzaTrVW8I3CVV7ZjjwQGTX0=")</f>
        <v>#iE4nM01aDWoq/90UwYGLxQLsU2IvOv8fI1Ru3aNMtzaTrVW8I3CVV7ZjjwQGTX0=</v>
      </c>
      <c r="AN146" s="55"/>
      <c r="AO146" s="55"/>
      <c r="AP146" s="55"/>
      <c r="AQ146" s="55"/>
      <c r="AR146" s="55"/>
      <c r="AS146" s="55"/>
      <c r="AT146" s="55"/>
      <c r="AU146" s="55"/>
      <c r="AV146" s="55"/>
      <c r="AW146" s="35"/>
      <c r="AX146" s="35"/>
      <c r="AY146" s="35"/>
      <c r="AZ146" s="35"/>
      <c r="BA146" s="35"/>
      <c r="BB146" s="35"/>
      <c r="BC146" s="35"/>
      <c r="BD146" s="35"/>
      <c r="BE146" s="35"/>
      <c r="BF146" s="35"/>
      <c r="BG146" s="35"/>
    </row>
    <row r="147" ht="15.75" customHeight="1">
      <c r="A147" s="55" t="str">
        <f>IFERROR(__xludf.DUMMYFUNCTION("""COMPUTED_VALUE"""),"Tiktok")</f>
        <v>Tiktok</v>
      </c>
      <c r="B147" s="56">
        <f>IFERROR(__xludf.DUMMYFUNCTION("""COMPUTED_VALUE"""),46204.0)</f>
        <v>46204</v>
      </c>
      <c r="C147" s="55" t="str">
        <f>IFERROR(__xludf.DUMMYFUNCTION("""COMPUTED_VALUE"""),"July")</f>
        <v>July</v>
      </c>
      <c r="D147" s="58" t="str">
        <f>IFERROR(__xludf.DUMMYFUNCTION("""COMPUTED_VALUE"""),"https://www.tiktok.com/@britli.foley/video/7657318692140682526")</f>
        <v>https://www.tiktok.com/@britli.foley/video/7657318692140682526</v>
      </c>
      <c r="E147" s="55" t="str">
        <f>IFERROR(__xludf.DUMMYFUNCTION("""COMPUTED_VALUE"""),"@britli.foley")</f>
        <v>@britli.foley</v>
      </c>
      <c r="F147" s="55"/>
      <c r="G147" s="55" t="str">
        <f>IFERROR(__xludf.DUMMYFUNCTION("""COMPUTED_VALUE"""),"Cortisol")</f>
        <v>Cortisol</v>
      </c>
      <c r="H147" s="55"/>
      <c r="I147" s="55">
        <f>IFERROR(__xludf.DUMMYFUNCTION("""COMPUTED_VALUE"""),22.8)</f>
        <v>22.8</v>
      </c>
      <c r="J147" s="55" t="str">
        <f>IFERROR(__xludf.DUMMYFUNCTION("""COMPUTED_VALUE"""),"No – Not Recommended")</f>
        <v>No – Not Recommended</v>
      </c>
      <c r="K147" s="55" t="str">
        <f>IFERROR(__xludf.DUMMYFUNCTION("""COMPUTED_VALUE"""),"No")</f>
        <v>No</v>
      </c>
      <c r="L147" s="55" t="str">
        <f>IFERROR(__xludf.DUMMYFUNCTION("""COMPUTED_VALUE"""),"Score 24.5 &lt; 30 threshold")</f>
        <v>Score 24.5 &lt; 30 threshold</v>
      </c>
      <c r="M147" s="55" t="str">
        <f>IFERROR(__xludf.DUMMYFUNCTION("""COMPUTED_VALUE"""),"No Ad Data")</f>
        <v>No Ad Data</v>
      </c>
      <c r="N147" s="55"/>
      <c r="O147" s="55"/>
      <c r="P147" s="55">
        <f>IFERROR(__xludf.DUMMYFUNCTION("""COMPUTED_VALUE"""),85.0)</f>
        <v>85</v>
      </c>
      <c r="Q147" s="55">
        <f>IFERROR(__xludf.DUMMYFUNCTION("""COMPUTED_VALUE"""),2.0)</f>
        <v>2</v>
      </c>
      <c r="R147" s="55"/>
      <c r="S147" s="55"/>
      <c r="T147" s="55">
        <f>IFERROR(__xludf.DUMMYFUNCTION("""COMPUTED_VALUE"""),7.1)</f>
        <v>7.1</v>
      </c>
      <c r="U147" s="55"/>
      <c r="V147" s="55">
        <f>IFERROR(__xludf.DUMMYFUNCTION("""COMPUTED_VALUE"""),0.023)</f>
        <v>0.023</v>
      </c>
      <c r="W147" s="55">
        <f>IFERROR(__xludf.DUMMYFUNCTION("""COMPUTED_VALUE"""),117.58)</f>
        <v>117.58</v>
      </c>
      <c r="X147" s="55"/>
      <c r="Y147" s="55"/>
      <c r="Z147" s="55"/>
      <c r="AA147" s="55"/>
      <c r="AB147" s="55"/>
      <c r="AC147" s="55"/>
      <c r="AD147" s="55"/>
      <c r="AE147" s="55"/>
      <c r="AF147" s="55"/>
      <c r="AG147" s="55"/>
      <c r="AH147" s="55"/>
      <c r="AI147" s="55"/>
      <c r="AJ147" s="55"/>
      <c r="AK147" s="55"/>
      <c r="AL147" s="55"/>
      <c r="AM147" s="55" t="str">
        <f>IFERROR(__xludf.DUMMYFUNCTION("""COMPUTED_VALUE"""),"#A1UDMDviTo3KW+Ij+OGFxzRJqsFunBA0IInYlKWrPamiY4dtOKZROEoAnKyUFoI=")</f>
        <v>#A1UDMDviTo3KW+Ij+OGFxzRJqsFunBA0IInYlKWrPamiY4dtOKZROEoAnKyUFoI=</v>
      </c>
      <c r="AN147" s="55"/>
      <c r="AO147" s="55"/>
      <c r="AP147" s="55"/>
      <c r="AQ147" s="55"/>
      <c r="AR147" s="55"/>
      <c r="AS147" s="55"/>
      <c r="AT147" s="55"/>
      <c r="AU147" s="55"/>
      <c r="AV147" s="55"/>
      <c r="AW147" s="35"/>
      <c r="AX147" s="35"/>
      <c r="AY147" s="35"/>
      <c r="AZ147" s="35"/>
      <c r="BA147" s="35"/>
      <c r="BB147" s="35"/>
      <c r="BC147" s="35"/>
      <c r="BD147" s="35"/>
      <c r="BE147" s="35"/>
      <c r="BF147" s="35"/>
      <c r="BG147" s="35"/>
    </row>
    <row r="148" ht="15.75" customHeight="1">
      <c r="A148" s="55" t="str">
        <f>IFERROR(__xludf.DUMMYFUNCTION("""COMPUTED_VALUE"""),"Tiktok")</f>
        <v>Tiktok</v>
      </c>
      <c r="B148" s="56">
        <f>IFERROR(__xludf.DUMMYFUNCTION("""COMPUTED_VALUE"""),46206.0)</f>
        <v>46206</v>
      </c>
      <c r="C148" s="55" t="str">
        <f>IFERROR(__xludf.DUMMYFUNCTION("""COMPUTED_VALUE"""),"July")</f>
        <v>July</v>
      </c>
      <c r="D148" s="58" t="str">
        <f>IFERROR(__xludf.DUMMYFUNCTION("""COMPUTED_VALUE"""),"https://www.tiktok.com/@xtloves/video/7658071883140648206")</f>
        <v>https://www.tiktok.com/@xtloves/video/7658071883140648206</v>
      </c>
      <c r="E148" s="55" t="str">
        <f>IFERROR(__xludf.DUMMYFUNCTION("""COMPUTED_VALUE"""),"@xtloves")</f>
        <v>@xtloves</v>
      </c>
      <c r="F148" s="55"/>
      <c r="G148" s="55" t="str">
        <f>IFERROR(__xludf.DUMMYFUNCTION("""COMPUTED_VALUE"""),"Over 40/ High Performer")</f>
        <v>Over 40/ High Performer</v>
      </c>
      <c r="H148" s="55"/>
      <c r="I148" s="55">
        <f>IFERROR(__xludf.DUMMYFUNCTION("""COMPUTED_VALUE"""),20.4)</f>
        <v>20.4</v>
      </c>
      <c r="J148" s="55" t="str">
        <f>IFERROR(__xludf.DUMMYFUNCTION("""COMPUTED_VALUE"""),"No – Not Recommended")</f>
        <v>No – Not Recommended</v>
      </c>
      <c r="K148" s="55" t="str">
        <f>IFERROR(__xludf.DUMMYFUNCTION("""COMPUTED_VALUE"""),"No")</f>
        <v>No</v>
      </c>
      <c r="L148" s="55" t="str">
        <f>IFERROR(__xludf.DUMMYFUNCTION("""COMPUTED_VALUE"""),"Score 21.2 &lt; 30 threshold")</f>
        <v>Score 21.2 &lt; 30 threshold</v>
      </c>
      <c r="M148" s="55" t="str">
        <f>IFERROR(__xludf.DUMMYFUNCTION("""COMPUTED_VALUE"""),"No Ad Data")</f>
        <v>No Ad Data</v>
      </c>
      <c r="N148" s="55"/>
      <c r="O148" s="55"/>
      <c r="P148" s="55">
        <f>IFERROR(__xludf.DUMMYFUNCTION("""COMPUTED_VALUE"""),36.0)</f>
        <v>36</v>
      </c>
      <c r="Q148" s="55">
        <f>IFERROR(__xludf.DUMMYFUNCTION("""COMPUTED_VALUE"""),3.0)</f>
        <v>3</v>
      </c>
      <c r="R148" s="55"/>
      <c r="S148" s="55"/>
      <c r="T148" s="55">
        <f>IFERROR(__xludf.DUMMYFUNCTION("""COMPUTED_VALUE"""),29.5)</f>
        <v>29.5</v>
      </c>
      <c r="U148" s="55"/>
      <c r="V148" s="55">
        <f>IFERROR(__xludf.DUMMYFUNCTION("""COMPUTED_VALUE"""),0.138)</f>
        <v>0.138</v>
      </c>
      <c r="W148" s="55">
        <f>IFERROR(__xludf.DUMMYFUNCTION("""COMPUTED_VALUE"""),117.58)</f>
        <v>117.58</v>
      </c>
      <c r="X148" s="55"/>
      <c r="Y148" s="55"/>
      <c r="Z148" s="55"/>
      <c r="AA148" s="55"/>
      <c r="AB148" s="55"/>
      <c r="AC148" s="55"/>
      <c r="AD148" s="55"/>
      <c r="AE148" s="55"/>
      <c r="AF148" s="55"/>
      <c r="AG148" s="55"/>
      <c r="AH148" s="55"/>
      <c r="AI148" s="55"/>
      <c r="AJ148" s="55"/>
      <c r="AK148" s="55"/>
      <c r="AL148" s="55"/>
      <c r="AM148" s="55" t="str">
        <f>IFERROR(__xludf.DUMMYFUNCTION("""COMPUTED_VALUE"""),"#FnRzv4DChTvzobYGOUJQjCHKCcNs0eibQ7+5tCN07WgUXgOpCo1Wqs07ahlZydw=")</f>
        <v>#FnRzv4DChTvzobYGOUJQjCHKCcNs0eibQ7+5tCN07WgUXgOpCo1Wqs07ahlZydw=</v>
      </c>
      <c r="AN148" s="55"/>
      <c r="AO148" s="55"/>
      <c r="AP148" s="55"/>
      <c r="AQ148" s="55"/>
      <c r="AR148" s="55"/>
      <c r="AS148" s="55"/>
      <c r="AT148" s="55"/>
      <c r="AU148" s="55"/>
      <c r="AV148" s="55"/>
      <c r="AW148" s="35"/>
      <c r="AX148" s="35"/>
      <c r="AY148" s="35"/>
      <c r="AZ148" s="35"/>
      <c r="BA148" s="35"/>
      <c r="BB148" s="35"/>
      <c r="BC148" s="35"/>
      <c r="BD148" s="35"/>
      <c r="BE148" s="35"/>
      <c r="BF148" s="35"/>
      <c r="BG148" s="35"/>
    </row>
    <row r="149" ht="15.75" customHeight="1">
      <c r="A149" s="55" t="str">
        <f>IFERROR(__xludf.DUMMYFUNCTION("""COMPUTED_VALUE"""),"Tiktok")</f>
        <v>Tiktok</v>
      </c>
      <c r="B149" s="56">
        <f>IFERROR(__xludf.DUMMYFUNCTION("""COMPUTED_VALUE"""),46212.0)</f>
        <v>46212</v>
      </c>
      <c r="C149" s="55" t="str">
        <f>IFERROR(__xludf.DUMMYFUNCTION("""COMPUTED_VALUE"""),"July")</f>
        <v>July</v>
      </c>
      <c r="D149" s="58" t="str">
        <f>IFERROR(__xludf.DUMMYFUNCTION("""COMPUTED_VALUE"""),"https://www.tiktok.com/@kolletwharton/video/7660524739395472670")</f>
        <v>https://www.tiktok.com/@kolletwharton/video/7660524739395472670</v>
      </c>
      <c r="E149" s="55" t="str">
        <f>IFERROR(__xludf.DUMMYFUNCTION("""COMPUTED_VALUE"""),"@kolletwharton")</f>
        <v>@kolletwharton</v>
      </c>
      <c r="F149" s="55"/>
      <c r="G149" s="55" t="str">
        <f>IFERROR(__xludf.DUMMYFUNCTION("""COMPUTED_VALUE"""),"Mushroom Trend")</f>
        <v>Mushroom Trend</v>
      </c>
      <c r="H149" s="55"/>
      <c r="I149" s="55">
        <f>IFERROR(__xludf.DUMMYFUNCTION("""COMPUTED_VALUE"""),18.5)</f>
        <v>18.5</v>
      </c>
      <c r="J149" s="55" t="str">
        <f>IFERROR(__xludf.DUMMYFUNCTION("""COMPUTED_VALUE"""),"No – Not Recommended")</f>
        <v>No – Not Recommended</v>
      </c>
      <c r="K149" s="55" t="str">
        <f>IFERROR(__xludf.DUMMYFUNCTION("""COMPUTED_VALUE"""),"No")</f>
        <v>No</v>
      </c>
      <c r="L149" s="55" t="str">
        <f>IFERROR(__xludf.DUMMYFUNCTION("""COMPUTED_VALUE"""),"Score 20.9 &lt; 30 threshold")</f>
        <v>Score 20.9 &lt; 30 threshold</v>
      </c>
      <c r="M149" s="55" t="str">
        <f>IFERROR(__xludf.DUMMYFUNCTION("""COMPUTED_VALUE"""),"No Ad Data")</f>
        <v>No Ad Data</v>
      </c>
      <c r="N149" s="55"/>
      <c r="O149" s="55"/>
      <c r="P149" s="55">
        <f>IFERROR(__xludf.DUMMYFUNCTION("""COMPUTED_VALUE"""),213.0)</f>
        <v>213</v>
      </c>
      <c r="Q149" s="55">
        <f>IFERROR(__xludf.DUMMYFUNCTION("""COMPUTED_VALUE"""),19.0)</f>
        <v>19</v>
      </c>
      <c r="R149" s="55">
        <f>IFERROR(__xludf.DUMMYFUNCTION("""COMPUTED_VALUE"""),1.0)</f>
        <v>1</v>
      </c>
      <c r="S149" s="55"/>
      <c r="T149" s="55"/>
      <c r="U149" s="55"/>
      <c r="V149" s="55"/>
      <c r="W149" s="55">
        <f>IFERROR(__xludf.DUMMYFUNCTION("""COMPUTED_VALUE"""),117.58)</f>
        <v>117.58</v>
      </c>
      <c r="X149" s="55"/>
      <c r="Y149" s="55"/>
      <c r="Z149" s="55"/>
      <c r="AA149" s="55"/>
      <c r="AB149" s="55"/>
      <c r="AC149" s="55"/>
      <c r="AD149" s="55"/>
      <c r="AE149" s="55"/>
      <c r="AF149" s="55"/>
      <c r="AG149" s="55"/>
      <c r="AH149" s="55"/>
      <c r="AI149" s="55"/>
      <c r="AJ149" s="55"/>
      <c r="AK149" s="55"/>
      <c r="AL149" s="55"/>
      <c r="AM149" s="55" t="str">
        <f>IFERROR(__xludf.DUMMYFUNCTION("""COMPUTED_VALUE"""),"#cFqJ5y1cSB9akECQAJEO2dThfYF/vKd1KW8pMTSQvJLZINboYR7ou9cRIia/p+k=")</f>
        <v>#cFqJ5y1cSB9akECQAJEO2dThfYF/vKd1KW8pMTSQvJLZINboYR7ou9cRIia/p+k=</v>
      </c>
      <c r="AN149" s="55"/>
      <c r="AO149" s="55"/>
      <c r="AP149" s="55"/>
      <c r="AQ149" s="55"/>
      <c r="AR149" s="55"/>
      <c r="AS149" s="55"/>
      <c r="AT149" s="55"/>
      <c r="AU149" s="55"/>
      <c r="AV149" s="55"/>
      <c r="AW149" s="35"/>
      <c r="AX149" s="35"/>
      <c r="AY149" s="35"/>
      <c r="AZ149" s="35"/>
      <c r="BA149" s="35"/>
      <c r="BB149" s="35"/>
      <c r="BC149" s="35"/>
      <c r="BD149" s="35"/>
      <c r="BE149" s="35"/>
      <c r="BF149" s="35"/>
      <c r="BG149" s="35"/>
    </row>
    <row r="150" ht="15.75" customHeight="1">
      <c r="A150" s="55" t="str">
        <f>IFERROR(__xludf.DUMMYFUNCTION("""COMPUTED_VALUE"""),"Instagram")</f>
        <v>Instagram</v>
      </c>
      <c r="B150" s="56">
        <f>IFERROR(__xludf.DUMMYFUNCTION("""COMPUTED_VALUE"""),46212.0)</f>
        <v>46212</v>
      </c>
      <c r="C150" s="55" t="str">
        <f>IFERROR(__xludf.DUMMYFUNCTION("""COMPUTED_VALUE"""),"July")</f>
        <v>July</v>
      </c>
      <c r="D150" s="58" t="str">
        <f>IFERROR(__xludf.DUMMYFUNCTION("""COMPUTED_VALUE"""),"https://www.instagram.com/reels/DakVOTYicU9/")</f>
        <v>https://www.instagram.com/reels/DakVOTYicU9/</v>
      </c>
      <c r="E150" s="55" t="str">
        <f>IFERROR(__xludf.DUMMYFUNCTION("""COMPUTED_VALUE"""),"@na")</f>
        <v>@na</v>
      </c>
      <c r="F150" s="55"/>
      <c r="G150" s="55" t="str">
        <f>IFERROR(__xludf.DUMMYFUNCTION("""COMPUTED_VALUE"""),"Taste")</f>
        <v>Taste</v>
      </c>
      <c r="H150" s="55"/>
      <c r="I150" s="55">
        <f>IFERROR(__xludf.DUMMYFUNCTION("""COMPUTED_VALUE"""),18.7)</f>
        <v>18.7</v>
      </c>
      <c r="J150" s="55" t="str">
        <f>IFERROR(__xludf.DUMMYFUNCTION("""COMPUTED_VALUE"""),"No – Not Recommended")</f>
        <v>No – Not Recommended</v>
      </c>
      <c r="K150" s="55" t="str">
        <f>IFERROR(__xludf.DUMMYFUNCTION("""COMPUTED_VALUE"""),"No")</f>
        <v>No</v>
      </c>
      <c r="L150" s="55" t="str">
        <f>IFERROR(__xludf.DUMMYFUNCTION("""COMPUTED_VALUE"""),"Score 19.4 &lt; 20 threshold")</f>
        <v>Score 19.4 &lt; 20 threshold</v>
      </c>
      <c r="M150" s="55" t="str">
        <f>IFERROR(__xludf.DUMMYFUNCTION("""COMPUTED_VALUE"""),"No Ad Data")</f>
        <v>No Ad Data</v>
      </c>
      <c r="N150" s="55"/>
      <c r="O150" s="55"/>
      <c r="P150" s="55">
        <f>IFERROR(__xludf.DUMMYFUNCTION("""COMPUTED_VALUE"""),175.0)</f>
        <v>175</v>
      </c>
      <c r="Q150" s="55">
        <f>IFERROR(__xludf.DUMMYFUNCTION("""COMPUTED_VALUE"""),3.0)</f>
        <v>3</v>
      </c>
      <c r="R150" s="55"/>
      <c r="S150" s="55"/>
      <c r="T150" s="55"/>
      <c r="U150" s="55"/>
      <c r="V150" s="55"/>
      <c r="W150" s="55">
        <f>IFERROR(__xludf.DUMMYFUNCTION("""COMPUTED_VALUE"""),117.58)</f>
        <v>117.58</v>
      </c>
      <c r="X150" s="55"/>
      <c r="Y150" s="55"/>
      <c r="Z150" s="55"/>
      <c r="AA150" s="55"/>
      <c r="AB150" s="55"/>
      <c r="AC150" s="55"/>
      <c r="AD150" s="55"/>
      <c r="AE150" s="55"/>
      <c r="AF150" s="55"/>
      <c r="AG150" s="55"/>
      <c r="AH150" s="55"/>
      <c r="AI150" s="55"/>
      <c r="AJ150" s="55"/>
      <c r="AK150" s="55"/>
      <c r="AL150" s="55"/>
      <c r="AM150" s="55" t="str">
        <f>IFERROR(__xludf.DUMMYFUNCTION("""COMPUTED_VALUE"""),"Q9jTBBaZt9U1bwp0rxFmcE0_iWTc9P6nNiVvZKU-04RlpC09AlJDAwPrnTToBbBvJc8")</f>
        <v>Q9jTBBaZt9U1bwp0rxFmcE0_iWTc9P6nNiVvZKU-04RlpC09AlJDAwPrnTToBbBvJc8</v>
      </c>
      <c r="AN150" s="55"/>
      <c r="AO150" s="55"/>
      <c r="AP150" s="55"/>
      <c r="AQ150" s="55"/>
      <c r="AR150" s="55"/>
      <c r="AS150" s="55"/>
      <c r="AT150" s="55"/>
      <c r="AU150" s="55"/>
      <c r="AV150" s="55"/>
      <c r="AW150" s="35"/>
      <c r="AX150" s="35"/>
      <c r="AY150" s="35"/>
      <c r="AZ150" s="35"/>
      <c r="BA150" s="35"/>
      <c r="BB150" s="35"/>
      <c r="BC150" s="35"/>
      <c r="BD150" s="35"/>
      <c r="BE150" s="35"/>
      <c r="BF150" s="35"/>
      <c r="BG150" s="35"/>
    </row>
    <row r="151" ht="15.75" customHeight="1">
      <c r="A151" s="55" t="str">
        <f>IFERROR(__xludf.DUMMYFUNCTION("""COMPUTED_VALUE"""),"Tiktok")</f>
        <v>Tiktok</v>
      </c>
      <c r="B151" s="56">
        <f>IFERROR(__xludf.DUMMYFUNCTION("""COMPUTED_VALUE"""),46204.0)</f>
        <v>46204</v>
      </c>
      <c r="C151" s="55" t="str">
        <f>IFERROR(__xludf.DUMMYFUNCTION("""COMPUTED_VALUE"""),"July")</f>
        <v>July</v>
      </c>
      <c r="D151" s="58" t="str">
        <f>IFERROR(__xludf.DUMMYFUNCTION("""COMPUTED_VALUE"""),"https://www.tiktok.com/@itsjuliagold/video/7658061709340413197")</f>
        <v>https://www.tiktok.com/@itsjuliagold/video/7658061709340413197</v>
      </c>
      <c r="E151" s="55" t="str">
        <f>IFERROR(__xludf.DUMMYFUNCTION("""COMPUTED_VALUE"""),"@itsjuliagold")</f>
        <v>@itsjuliagold</v>
      </c>
      <c r="F151" s="55"/>
      <c r="G151" s="55" t="str">
        <f>IFERROR(__xludf.DUMMYFUNCTION("""COMPUTED_VALUE"""),"Target Shelf Showdown")</f>
        <v>Target Shelf Showdown</v>
      </c>
      <c r="H151" s="55"/>
      <c r="I151" s="55">
        <f>IFERROR(__xludf.DUMMYFUNCTION("""COMPUTED_VALUE"""),17.3)</f>
        <v>17.3</v>
      </c>
      <c r="J151" s="55" t="str">
        <f>IFERROR(__xludf.DUMMYFUNCTION("""COMPUTED_VALUE"""),"No – Not Recommended")</f>
        <v>No – Not Recommended</v>
      </c>
      <c r="K151" s="55" t="str">
        <f>IFERROR(__xludf.DUMMYFUNCTION("""COMPUTED_VALUE"""),"No")</f>
        <v>No</v>
      </c>
      <c r="L151" s="55" t="str">
        <f>IFERROR(__xludf.DUMMYFUNCTION("""COMPUTED_VALUE"""),"Score 18.9 &lt; 30 threshold")</f>
        <v>Score 18.9 &lt; 30 threshold</v>
      </c>
      <c r="M151" s="55" t="str">
        <f>IFERROR(__xludf.DUMMYFUNCTION("""COMPUTED_VALUE"""),"No Ad Data")</f>
        <v>No Ad Data</v>
      </c>
      <c r="N151" s="55"/>
      <c r="O151" s="55"/>
      <c r="P151" s="55">
        <f>IFERROR(__xludf.DUMMYFUNCTION("""COMPUTED_VALUE"""),92.0)</f>
        <v>92</v>
      </c>
      <c r="Q151" s="55">
        <f>IFERROR(__xludf.DUMMYFUNCTION("""COMPUTED_VALUE"""),1.0)</f>
        <v>1</v>
      </c>
      <c r="R151" s="55"/>
      <c r="S151" s="55"/>
      <c r="T151" s="55">
        <f>IFERROR(__xludf.DUMMYFUNCTION("""COMPUTED_VALUE"""),3.2)</f>
        <v>3.2</v>
      </c>
      <c r="U151" s="55"/>
      <c r="V151" s="55">
        <f>IFERROR(__xludf.DUMMYFUNCTION("""COMPUTED_VALUE"""),0.01)</f>
        <v>0.01</v>
      </c>
      <c r="W151" s="55">
        <f>IFERROR(__xludf.DUMMYFUNCTION("""COMPUTED_VALUE"""),72.99)</f>
        <v>72.99</v>
      </c>
      <c r="X151" s="55"/>
      <c r="Y151" s="55"/>
      <c r="Z151" s="55"/>
      <c r="AA151" s="55"/>
      <c r="AB151" s="55"/>
      <c r="AC151" s="55"/>
      <c r="AD151" s="55"/>
      <c r="AE151" s="55"/>
      <c r="AF151" s="55"/>
      <c r="AG151" s="55"/>
      <c r="AH151" s="55"/>
      <c r="AI151" s="55"/>
      <c r="AJ151" s="55"/>
      <c r="AK151" s="55"/>
      <c r="AL151" s="55"/>
      <c r="AM151" s="55" t="str">
        <f>IFERROR(__xludf.DUMMYFUNCTION("""COMPUTED_VALUE"""),"#RzDzYvq+pUYhhxApP+FsyE58YR4fq2JWnLoEq54wACVq5QInbHFyN43+kc6o3UU=")</f>
        <v>#RzDzYvq+pUYhhxApP+FsyE58YR4fq2JWnLoEq54wACVq5QInbHFyN43+kc6o3UU=</v>
      </c>
      <c r="AN151" s="55"/>
      <c r="AO151" s="55"/>
      <c r="AP151" s="55"/>
      <c r="AQ151" s="55"/>
      <c r="AR151" s="55"/>
      <c r="AS151" s="55"/>
      <c r="AT151" s="55"/>
      <c r="AU151" s="55"/>
      <c r="AV151" s="55"/>
      <c r="AW151" s="35"/>
      <c r="AX151" s="35"/>
      <c r="AY151" s="35"/>
      <c r="AZ151" s="35"/>
      <c r="BA151" s="35"/>
      <c r="BB151" s="35"/>
      <c r="BC151" s="35"/>
      <c r="BD151" s="35"/>
      <c r="BE151" s="35"/>
      <c r="BF151" s="35"/>
      <c r="BG151" s="35"/>
    </row>
    <row r="152" ht="15.75" customHeight="1">
      <c r="A152" s="55" t="str">
        <f>IFERROR(__xludf.DUMMYFUNCTION("""COMPUTED_VALUE"""),"Instagram")</f>
        <v>Instagram</v>
      </c>
      <c r="B152" s="56">
        <f>IFERROR(__xludf.DUMMYFUNCTION("""COMPUTED_VALUE"""),46204.0)</f>
        <v>46204</v>
      </c>
      <c r="C152" s="55" t="str">
        <f>IFERROR(__xludf.DUMMYFUNCTION("""COMPUTED_VALUE"""),"July")</f>
        <v>July</v>
      </c>
      <c r="D152" s="58" t="str">
        <f>IFERROR(__xludf.DUMMYFUNCTION("""COMPUTED_VALUE"""),"https://www.instagram.com/reel/DaPDeYdhung/")</f>
        <v>https://www.instagram.com/reel/DaPDeYdhung/</v>
      </c>
      <c r="E152" s="55" t="str">
        <f>IFERROR(__xludf.DUMMYFUNCTION("""COMPUTED_VALUE"""),"@na")</f>
        <v>@na</v>
      </c>
      <c r="F152" s="55"/>
      <c r="G152" s="55" t="str">
        <f>IFERROR(__xludf.DUMMYFUNCTION("""COMPUTED_VALUE"""),"Taste")</f>
        <v>Taste</v>
      </c>
      <c r="H152" s="55"/>
      <c r="I152" s="55">
        <f>IFERROR(__xludf.DUMMYFUNCTION("""COMPUTED_VALUE"""),18.4)</f>
        <v>18.4</v>
      </c>
      <c r="J152" s="55" t="str">
        <f>IFERROR(__xludf.DUMMYFUNCTION("""COMPUTED_VALUE"""),"No – Not Recommended")</f>
        <v>No – Not Recommended</v>
      </c>
      <c r="K152" s="55" t="str">
        <f>IFERROR(__xludf.DUMMYFUNCTION("""COMPUTED_VALUE"""),"No")</f>
        <v>No</v>
      </c>
      <c r="L152" s="55" t="str">
        <f>IFERROR(__xludf.DUMMYFUNCTION("""COMPUTED_VALUE"""),"Score 18.9 &lt; 20 threshold")</f>
        <v>Score 18.9 &lt; 20 threshold</v>
      </c>
      <c r="M152" s="55" t="str">
        <f>IFERROR(__xludf.DUMMYFUNCTION("""COMPUTED_VALUE"""),"No Ad Data")</f>
        <v>No Ad Data</v>
      </c>
      <c r="N152" s="55"/>
      <c r="O152" s="55"/>
      <c r="P152" s="55">
        <f>IFERROR(__xludf.DUMMYFUNCTION("""COMPUTED_VALUE"""),257.0)</f>
        <v>257</v>
      </c>
      <c r="Q152" s="55">
        <f>IFERROR(__xludf.DUMMYFUNCTION("""COMPUTED_VALUE"""),2.0)</f>
        <v>2</v>
      </c>
      <c r="R152" s="55"/>
      <c r="S152" s="55"/>
      <c r="T152" s="55"/>
      <c r="U152" s="55"/>
      <c r="V152" s="55"/>
      <c r="W152" s="55">
        <f>IFERROR(__xludf.DUMMYFUNCTION("""COMPUTED_VALUE"""),117.58)</f>
        <v>117.58</v>
      </c>
      <c r="X152" s="55"/>
      <c r="Y152" s="55"/>
      <c r="Z152" s="55"/>
      <c r="AA152" s="55"/>
      <c r="AB152" s="55"/>
      <c r="AC152" s="55"/>
      <c r="AD152" s="55"/>
      <c r="AE152" s="55"/>
      <c r="AF152" s="55"/>
      <c r="AG152" s="55"/>
      <c r="AH152" s="55"/>
      <c r="AI152" s="55"/>
      <c r="AJ152" s="55"/>
      <c r="AK152" s="55"/>
      <c r="AL152" s="55"/>
      <c r="AM152" s="55" t="str">
        <f>IFERROR(__xludf.DUMMYFUNCTION("""COMPUTED_VALUE"""),"Q9jTBBUlL-oY3c6NNEyQlhvT9SBVonyWnomZTXWDTaxhkI-tAi8LFwOw4NnsFVTTgPI")</f>
        <v>Q9jTBBUlL-oY3c6NNEyQlhvT9SBVonyWnomZTXWDTaxhkI-tAi8LFwOw4NnsFVTTgPI</v>
      </c>
      <c r="AN152" s="55"/>
      <c r="AO152" s="55"/>
      <c r="AP152" s="55"/>
      <c r="AQ152" s="55"/>
      <c r="AR152" s="55"/>
      <c r="AS152" s="55"/>
      <c r="AT152" s="55"/>
      <c r="AU152" s="55"/>
      <c r="AV152" s="55"/>
      <c r="AW152" s="35"/>
      <c r="AX152" s="35"/>
      <c r="AY152" s="35"/>
      <c r="AZ152" s="35"/>
      <c r="BA152" s="35"/>
      <c r="BB152" s="35"/>
      <c r="BC152" s="35"/>
      <c r="BD152" s="35"/>
      <c r="BE152" s="35"/>
      <c r="BF152" s="35"/>
      <c r="BG152" s="35"/>
    </row>
    <row r="153" ht="15.75" customHeight="1">
      <c r="A153" s="55" t="str">
        <f>IFERROR(__xludf.DUMMYFUNCTION("""COMPUTED_VALUE"""),"Tiktok")</f>
        <v>Tiktok</v>
      </c>
      <c r="B153" s="56">
        <f>IFERROR(__xludf.DUMMYFUNCTION("""COMPUTED_VALUE"""),46206.0)</f>
        <v>46206</v>
      </c>
      <c r="C153" s="55" t="str">
        <f>IFERROR(__xludf.DUMMYFUNCTION("""COMPUTED_VALUE"""),"July")</f>
        <v>July</v>
      </c>
      <c r="D153" s="58" t="str">
        <f>IFERROR(__xludf.DUMMYFUNCTION("""COMPUTED_VALUE"""),"https://www.tiktok.com/@the.kathy.alemar/video/7658327625676475678")</f>
        <v>https://www.tiktok.com/@the.kathy.alemar/video/7658327625676475678</v>
      </c>
      <c r="E153" s="55" t="str">
        <f>IFERROR(__xludf.DUMMYFUNCTION("""COMPUTED_VALUE"""),"@the.kathy.alemar")</f>
        <v>@the.kathy.alemar</v>
      </c>
      <c r="F153" s="55"/>
      <c r="G153" s="55" t="str">
        <f>IFERROR(__xludf.DUMMYFUNCTION("""COMPUTED_VALUE"""),"Over 40/ High Performer")</f>
        <v>Over 40/ High Performer</v>
      </c>
      <c r="H153" s="55"/>
      <c r="I153" s="55">
        <f>IFERROR(__xludf.DUMMYFUNCTION("""COMPUTED_VALUE"""),17.8)</f>
        <v>17.8</v>
      </c>
      <c r="J153" s="55" t="str">
        <f>IFERROR(__xludf.DUMMYFUNCTION("""COMPUTED_VALUE"""),"No – Not Recommended")</f>
        <v>No – Not Recommended</v>
      </c>
      <c r="K153" s="55" t="str">
        <f>IFERROR(__xludf.DUMMYFUNCTION("""COMPUTED_VALUE"""),"No")</f>
        <v>No</v>
      </c>
      <c r="L153" s="55" t="str">
        <f>IFERROR(__xludf.DUMMYFUNCTION("""COMPUTED_VALUE"""),"Score 18.5 &lt; 30 threshold")</f>
        <v>Score 18.5 &lt; 30 threshold</v>
      </c>
      <c r="M153" s="55" t="str">
        <f>IFERROR(__xludf.DUMMYFUNCTION("""COMPUTED_VALUE"""),"No Ad Data")</f>
        <v>No Ad Data</v>
      </c>
      <c r="N153" s="55"/>
      <c r="O153" s="55"/>
      <c r="P153" s="55">
        <f>IFERROR(__xludf.DUMMYFUNCTION("""COMPUTED_VALUE"""),19.0)</f>
        <v>19</v>
      </c>
      <c r="Q153" s="55">
        <f>IFERROR(__xludf.DUMMYFUNCTION("""COMPUTED_VALUE"""),11.0)</f>
        <v>11</v>
      </c>
      <c r="R153" s="55">
        <f>IFERROR(__xludf.DUMMYFUNCTION("""COMPUTED_VALUE"""),1.0)</f>
        <v>1</v>
      </c>
      <c r="S153" s="55"/>
      <c r="T153" s="55">
        <f>IFERROR(__xludf.DUMMYFUNCTION("""COMPUTED_VALUE"""),10.7)</f>
        <v>10.7</v>
      </c>
      <c r="U153" s="55"/>
      <c r="V153" s="55">
        <f>IFERROR(__xludf.DUMMYFUNCTION("""COMPUTED_VALUE"""),0.121)</f>
        <v>0.121</v>
      </c>
      <c r="W153" s="55">
        <f>IFERROR(__xludf.DUMMYFUNCTION("""COMPUTED_VALUE"""),117.58)</f>
        <v>117.58</v>
      </c>
      <c r="X153" s="55"/>
      <c r="Y153" s="55"/>
      <c r="Z153" s="55"/>
      <c r="AA153" s="55"/>
      <c r="AB153" s="55"/>
      <c r="AC153" s="55"/>
      <c r="AD153" s="55"/>
      <c r="AE153" s="55"/>
      <c r="AF153" s="55"/>
      <c r="AG153" s="55"/>
      <c r="AH153" s="55"/>
      <c r="AI153" s="55"/>
      <c r="AJ153" s="55"/>
      <c r="AK153" s="55"/>
      <c r="AL153" s="55"/>
      <c r="AM153" s="55" t="str">
        <f>IFERROR(__xludf.DUMMYFUNCTION("""COMPUTED_VALUE"""),"#k0MvY/mbFBsXmtH4mpKQfDFSNlXEk4mNj/wxDNwwtW5XH0qdbyRiej1WJkdYWz8=")</f>
        <v>#k0MvY/mbFBsXmtH4mpKQfDFSNlXEk4mNj/wxDNwwtW5XH0qdbyRiej1WJkdYWz8=</v>
      </c>
      <c r="AN153" s="55"/>
      <c r="AO153" s="55"/>
      <c r="AP153" s="55"/>
      <c r="AQ153" s="55"/>
      <c r="AR153" s="55"/>
      <c r="AS153" s="55"/>
      <c r="AT153" s="55"/>
      <c r="AU153" s="55"/>
      <c r="AV153" s="55"/>
      <c r="AW153" s="35"/>
      <c r="AX153" s="35"/>
      <c r="AY153" s="35"/>
      <c r="AZ153" s="35"/>
      <c r="BA153" s="35"/>
      <c r="BB153" s="35"/>
      <c r="BC153" s="35"/>
      <c r="BD153" s="35"/>
      <c r="BE153" s="35"/>
      <c r="BF153" s="35"/>
      <c r="BG153" s="35"/>
    </row>
    <row r="154" ht="15.75" customHeight="1">
      <c r="A154" s="55" t="str">
        <f>IFERROR(__xludf.DUMMYFUNCTION("""COMPUTED_VALUE"""),"Instagram")</f>
        <v>Instagram</v>
      </c>
      <c r="B154" s="56">
        <f>IFERROR(__xludf.DUMMYFUNCTION("""COMPUTED_VALUE"""),46205.0)</f>
        <v>46205</v>
      </c>
      <c r="C154" s="55" t="str">
        <f>IFERROR(__xludf.DUMMYFUNCTION("""COMPUTED_VALUE"""),"July")</f>
        <v>July</v>
      </c>
      <c r="D154" s="58" t="str">
        <f>IFERROR(__xludf.DUMMYFUNCTION("""COMPUTED_VALUE"""),"https://www.instagram.com/reel/DaNsUjVQacW/")</f>
        <v>https://www.instagram.com/reel/DaNsUjVQacW/</v>
      </c>
      <c r="E154" s="55" t="str">
        <f>IFERROR(__xludf.DUMMYFUNCTION("""COMPUTED_VALUE"""),"@na")</f>
        <v>@na</v>
      </c>
      <c r="F154" s="55"/>
      <c r="G154" s="55" t="str">
        <f>IFERROR(__xludf.DUMMYFUNCTION("""COMPUTED_VALUE"""),"Target Shelf Showdown")</f>
        <v>Target Shelf Showdown</v>
      </c>
      <c r="H154" s="55"/>
      <c r="I154" s="55">
        <f>IFERROR(__xludf.DUMMYFUNCTION("""COMPUTED_VALUE"""),18.1)</f>
        <v>18.1</v>
      </c>
      <c r="J154" s="55" t="str">
        <f>IFERROR(__xludf.DUMMYFUNCTION("""COMPUTED_VALUE"""),"No – Not Recommended")</f>
        <v>No – Not Recommended</v>
      </c>
      <c r="K154" s="55" t="str">
        <f>IFERROR(__xludf.DUMMYFUNCTION("""COMPUTED_VALUE"""),"No")</f>
        <v>No</v>
      </c>
      <c r="L154" s="55" t="str">
        <f>IFERROR(__xludf.DUMMYFUNCTION("""COMPUTED_VALUE"""),"Score 18.6 &lt; 20 threshold")</f>
        <v>Score 18.6 &lt; 20 threshold</v>
      </c>
      <c r="M154" s="55" t="str">
        <f>IFERROR(__xludf.DUMMYFUNCTION("""COMPUTED_VALUE"""),"No Ad Data")</f>
        <v>No Ad Data</v>
      </c>
      <c r="N154" s="55"/>
      <c r="O154" s="55"/>
      <c r="P154" s="55">
        <f>IFERROR(__xludf.DUMMYFUNCTION("""COMPUTED_VALUE"""),226.0)</f>
        <v>226</v>
      </c>
      <c r="Q154" s="55">
        <f>IFERROR(__xludf.DUMMYFUNCTION("""COMPUTED_VALUE"""),2.0)</f>
        <v>2</v>
      </c>
      <c r="R154" s="55"/>
      <c r="S154" s="55"/>
      <c r="T154" s="55"/>
      <c r="U154" s="55"/>
      <c r="V154" s="55"/>
      <c r="W154" s="55">
        <f>IFERROR(__xludf.DUMMYFUNCTION("""COMPUTED_VALUE"""),72.99)</f>
        <v>72.99</v>
      </c>
      <c r="X154" s="55"/>
      <c r="Y154" s="55"/>
      <c r="Z154" s="55"/>
      <c r="AA154" s="55"/>
      <c r="AB154" s="55"/>
      <c r="AC154" s="55"/>
      <c r="AD154" s="55"/>
      <c r="AE154" s="55"/>
      <c r="AF154" s="55"/>
      <c r="AG154" s="55"/>
      <c r="AH154" s="55"/>
      <c r="AI154" s="55"/>
      <c r="AJ154" s="55"/>
      <c r="AK154" s="55"/>
      <c r="AL154" s="55"/>
      <c r="AM154" s="55" t="str">
        <f>IFERROR(__xludf.DUMMYFUNCTION("""COMPUTED_VALUE"""),"Q9jTBBXPZecRow9TW0NVthOoZktDphdpIhelnsEu2PxPTBf9Icujgab4DUry0GCFjQg")</f>
        <v>Q9jTBBXPZecRow9TW0NVthOoZktDphdpIhelnsEu2PxPTBf9Icujgab4DUry0GCFjQg</v>
      </c>
      <c r="AN154" s="55"/>
      <c r="AO154" s="55"/>
      <c r="AP154" s="55"/>
      <c r="AQ154" s="55"/>
      <c r="AR154" s="55"/>
      <c r="AS154" s="55"/>
      <c r="AT154" s="55"/>
      <c r="AU154" s="55"/>
      <c r="AV154" s="55"/>
      <c r="AW154" s="35"/>
      <c r="AX154" s="35"/>
      <c r="AY154" s="35"/>
      <c r="AZ154" s="35"/>
      <c r="BA154" s="35"/>
      <c r="BB154" s="35"/>
      <c r="BC154" s="35"/>
      <c r="BD154" s="35"/>
      <c r="BE154" s="35"/>
      <c r="BF154" s="35"/>
      <c r="BG154" s="35"/>
    </row>
    <row r="155" ht="15.75" customHeight="1">
      <c r="A155" s="55" t="str">
        <f>IFERROR(__xludf.DUMMYFUNCTION("""COMPUTED_VALUE"""),"Instagram")</f>
        <v>Instagram</v>
      </c>
      <c r="B155" s="56">
        <f>IFERROR(__xludf.DUMMYFUNCTION("""COMPUTED_VALUE"""),46204.0)</f>
        <v>46204</v>
      </c>
      <c r="C155" s="55" t="str">
        <f>IFERROR(__xludf.DUMMYFUNCTION("""COMPUTED_VALUE"""),"July")</f>
        <v>July</v>
      </c>
      <c r="D155" s="58" t="str">
        <f>IFERROR(__xludf.DUMMYFUNCTION("""COMPUTED_VALUE"""),"https://www.instagram.com/reel/DaQ7jaqyu1D/")</f>
        <v>https://www.instagram.com/reel/DaQ7jaqyu1D/</v>
      </c>
      <c r="E155" s="55" t="str">
        <f>IFERROR(__xludf.DUMMYFUNCTION("""COMPUTED_VALUE"""),"@na")</f>
        <v>@na</v>
      </c>
      <c r="F155" s="55"/>
      <c r="G155" s="55" t="str">
        <f>IFERROR(__xludf.DUMMYFUNCTION("""COMPUTED_VALUE"""),"Gummies vs Coffee")</f>
        <v>Gummies vs Coffee</v>
      </c>
      <c r="H155" s="55"/>
      <c r="I155" s="55">
        <f>IFERROR(__xludf.DUMMYFUNCTION("""COMPUTED_VALUE"""),17.8)</f>
        <v>17.8</v>
      </c>
      <c r="J155" s="55" t="str">
        <f>IFERROR(__xludf.DUMMYFUNCTION("""COMPUTED_VALUE"""),"No – Not Recommended")</f>
        <v>No – Not Recommended</v>
      </c>
      <c r="K155" s="55" t="str">
        <f>IFERROR(__xludf.DUMMYFUNCTION("""COMPUTED_VALUE"""),"No")</f>
        <v>No</v>
      </c>
      <c r="L155" s="55" t="str">
        <f>IFERROR(__xludf.DUMMYFUNCTION("""COMPUTED_VALUE"""),"Score 18.6 &lt; 20 threshold")</f>
        <v>Score 18.6 &lt; 20 threshold</v>
      </c>
      <c r="M155" s="55" t="str">
        <f>IFERROR(__xludf.DUMMYFUNCTION("""COMPUTED_VALUE"""),"No Ad Data")</f>
        <v>No Ad Data</v>
      </c>
      <c r="N155" s="55"/>
      <c r="O155" s="55"/>
      <c r="P155" s="55">
        <f>IFERROR(__xludf.DUMMYFUNCTION("""COMPUTED_VALUE"""),123.0)</f>
        <v>123</v>
      </c>
      <c r="Q155" s="55">
        <f>IFERROR(__xludf.DUMMYFUNCTION("""COMPUTED_VALUE"""),3.0)</f>
        <v>3</v>
      </c>
      <c r="R155" s="55"/>
      <c r="S155" s="55"/>
      <c r="T155" s="55"/>
      <c r="U155" s="55"/>
      <c r="V155" s="55"/>
      <c r="W155" s="55">
        <f>IFERROR(__xludf.DUMMYFUNCTION("""COMPUTED_VALUE"""),72.99)</f>
        <v>72.99</v>
      </c>
      <c r="X155" s="55"/>
      <c r="Y155" s="55"/>
      <c r="Z155" s="55"/>
      <c r="AA155" s="55"/>
      <c r="AB155" s="55"/>
      <c r="AC155" s="55"/>
      <c r="AD155" s="55"/>
      <c r="AE155" s="55"/>
      <c r="AF155" s="55"/>
      <c r="AG155" s="55"/>
      <c r="AH155" s="55"/>
      <c r="AI155" s="55"/>
      <c r="AJ155" s="55"/>
      <c r="AK155" s="55"/>
      <c r="AL155" s="55"/>
      <c r="AM155" s="55" t="str">
        <f>IFERROR(__xludf.DUMMYFUNCTION("""COMPUTED_VALUE"""),"Q9jTBBV481g8mzxLH0m0Q_uFZE2LD8aLEEaMAIQaQroPC4W-yt6ALvZiV5RuPqJLoOI")</f>
        <v>Q9jTBBV481g8mzxLH0m0Q_uFZE2LD8aLEEaMAIQaQroPC4W-yt6ALvZiV5RuPqJLoOI</v>
      </c>
      <c r="AN155" s="55"/>
      <c r="AO155" s="55"/>
      <c r="AP155" s="55"/>
      <c r="AQ155" s="55"/>
      <c r="AR155" s="55"/>
      <c r="AS155" s="55"/>
      <c r="AT155" s="55"/>
      <c r="AU155" s="55"/>
      <c r="AV155" s="55"/>
      <c r="AW155" s="35"/>
      <c r="AX155" s="35"/>
      <c r="AY155" s="35"/>
      <c r="AZ155" s="35"/>
      <c r="BA155" s="35"/>
      <c r="BB155" s="35"/>
      <c r="BC155" s="35"/>
      <c r="BD155" s="35"/>
      <c r="BE155" s="35"/>
      <c r="BF155" s="35"/>
      <c r="BG155" s="35"/>
    </row>
    <row r="156" ht="15.75" customHeight="1">
      <c r="A156" s="55" t="str">
        <f>IFERROR(__xludf.DUMMYFUNCTION("""COMPUTED_VALUE"""),"Instagram")</f>
        <v>Instagram</v>
      </c>
      <c r="B156" s="56">
        <f>IFERROR(__xludf.DUMMYFUNCTION("""COMPUTED_VALUE"""),46207.0)</f>
        <v>46207</v>
      </c>
      <c r="C156" s="55" t="str">
        <f>IFERROR(__xludf.DUMMYFUNCTION("""COMPUTED_VALUE"""),"July")</f>
        <v>July</v>
      </c>
      <c r="D156" s="58" t="str">
        <f>IFERROR(__xludf.DUMMYFUNCTION("""COMPUTED_VALUE"""),"https://www.instagram.com/reel/DaWG8geCix2/")</f>
        <v>https://www.instagram.com/reel/DaWG8geCix2/</v>
      </c>
      <c r="E156" s="55" t="str">
        <f>IFERROR(__xludf.DUMMYFUNCTION("""COMPUTED_VALUE"""),"@na")</f>
        <v>@na</v>
      </c>
      <c r="F156" s="55"/>
      <c r="G156" s="55" t="str">
        <f>IFERROR(__xludf.DUMMYFUNCTION("""COMPUTED_VALUE"""),"Countering Mushroom Coffee Trend")</f>
        <v>Countering Mushroom Coffee Trend</v>
      </c>
      <c r="H156" s="55"/>
      <c r="I156" s="55">
        <f>IFERROR(__xludf.DUMMYFUNCTION("""COMPUTED_VALUE"""),17.6)</f>
        <v>17.6</v>
      </c>
      <c r="J156" s="55" t="str">
        <f>IFERROR(__xludf.DUMMYFUNCTION("""COMPUTED_VALUE"""),"No – Not Recommended")</f>
        <v>No – Not Recommended</v>
      </c>
      <c r="K156" s="55" t="str">
        <f>IFERROR(__xludf.DUMMYFUNCTION("""COMPUTED_VALUE"""),"No")</f>
        <v>No</v>
      </c>
      <c r="L156" s="55" t="str">
        <f>IFERROR(__xludf.DUMMYFUNCTION("""COMPUTED_VALUE"""),"Score 18.2 &lt; 20 threshold")</f>
        <v>Score 18.2 &lt; 20 threshold</v>
      </c>
      <c r="M156" s="55" t="str">
        <f>IFERROR(__xludf.DUMMYFUNCTION("""COMPUTED_VALUE"""),"No Ad Data")</f>
        <v>No Ad Data</v>
      </c>
      <c r="N156" s="55"/>
      <c r="O156" s="55"/>
      <c r="P156" s="55">
        <f>IFERROR(__xludf.DUMMYFUNCTION("""COMPUTED_VALUE"""),187.0)</f>
        <v>187</v>
      </c>
      <c r="Q156" s="55">
        <f>IFERROR(__xludf.DUMMYFUNCTION("""COMPUTED_VALUE"""),2.0)</f>
        <v>2</v>
      </c>
      <c r="R156" s="55"/>
      <c r="S156" s="55"/>
      <c r="T156" s="55"/>
      <c r="U156" s="55"/>
      <c r="V156" s="55"/>
      <c r="W156" s="55">
        <f>IFERROR(__xludf.DUMMYFUNCTION("""COMPUTED_VALUE"""),117.58)</f>
        <v>117.58</v>
      </c>
      <c r="X156" s="55"/>
      <c r="Y156" s="55"/>
      <c r="Z156" s="55"/>
      <c r="AA156" s="55"/>
      <c r="AB156" s="55"/>
      <c r="AC156" s="55"/>
      <c r="AD156" s="55"/>
      <c r="AE156" s="55"/>
      <c r="AF156" s="55"/>
      <c r="AG156" s="55"/>
      <c r="AH156" s="55"/>
      <c r="AI156" s="55"/>
      <c r="AJ156" s="55"/>
      <c r="AK156" s="55"/>
      <c r="AL156" s="55"/>
      <c r="AM156" s="55" t="str">
        <f>IFERROR(__xludf.DUMMYFUNCTION("""COMPUTED_VALUE"""),"Q9jTBBV62_uAULpWdgK5Zl0Z18qbN46rowvT3uGaXlJ5iK-ddhKNUzjD8v2HbNPRBGY")</f>
        <v>Q9jTBBV62_uAULpWdgK5Zl0Z18qbN46rowvT3uGaXlJ5iK-ddhKNUzjD8v2HbNPRBGY</v>
      </c>
      <c r="AN156" s="55"/>
      <c r="AO156" s="55"/>
      <c r="AP156" s="55"/>
      <c r="AQ156" s="55"/>
      <c r="AR156" s="55"/>
      <c r="AS156" s="55"/>
      <c r="AT156" s="55"/>
      <c r="AU156" s="55"/>
      <c r="AV156" s="55"/>
      <c r="AW156" s="35"/>
      <c r="AX156" s="35"/>
      <c r="AY156" s="35"/>
      <c r="AZ156" s="35"/>
      <c r="BA156" s="35"/>
      <c r="BB156" s="35"/>
      <c r="BC156" s="35"/>
      <c r="BD156" s="35"/>
      <c r="BE156" s="35"/>
      <c r="BF156" s="35"/>
      <c r="BG156" s="35"/>
    </row>
    <row r="157" ht="15.75" customHeight="1">
      <c r="A157" s="55" t="str">
        <f>IFERROR(__xludf.DUMMYFUNCTION("""COMPUTED_VALUE"""),"Instagram")</f>
        <v>Instagram</v>
      </c>
      <c r="B157" s="56">
        <f>IFERROR(__xludf.DUMMYFUNCTION("""COMPUTED_VALUE"""),46205.0)</f>
        <v>46205</v>
      </c>
      <c r="C157" s="55" t="str">
        <f>IFERROR(__xludf.DUMMYFUNCTION("""COMPUTED_VALUE"""),"July")</f>
        <v>July</v>
      </c>
      <c r="D157" s="58" t="str">
        <f>IFERROR(__xludf.DUMMYFUNCTION("""COMPUTED_VALUE"""),"https://www.instagram.com/reel/DaRDmw_RuHs/")</f>
        <v>https://www.instagram.com/reel/DaRDmw_RuHs/</v>
      </c>
      <c r="E157" s="55" t="str">
        <f>IFERROR(__xludf.DUMMYFUNCTION("""COMPUTED_VALUE"""),"@na")</f>
        <v>@na</v>
      </c>
      <c r="F157" s="55"/>
      <c r="G157" s="55" t="str">
        <f>IFERROR(__xludf.DUMMYFUNCTION("""COMPUTED_VALUE"""),"Target Shelf Showdown")</f>
        <v>Target Shelf Showdown</v>
      </c>
      <c r="H157" s="55"/>
      <c r="I157" s="55">
        <f>IFERROR(__xludf.DUMMYFUNCTION("""COMPUTED_VALUE"""),16.7)</f>
        <v>16.7</v>
      </c>
      <c r="J157" s="55" t="str">
        <f>IFERROR(__xludf.DUMMYFUNCTION("""COMPUTED_VALUE"""),"No – Not Recommended")</f>
        <v>No – Not Recommended</v>
      </c>
      <c r="K157" s="55" t="str">
        <f>IFERROR(__xludf.DUMMYFUNCTION("""COMPUTED_VALUE"""),"No")</f>
        <v>No</v>
      </c>
      <c r="L157" s="55" t="str">
        <f>IFERROR(__xludf.DUMMYFUNCTION("""COMPUTED_VALUE"""),"Score 17.0 &lt; 20 threshold")</f>
        <v>Score 17.0 &lt; 20 threshold</v>
      </c>
      <c r="M157" s="55" t="str">
        <f>IFERROR(__xludf.DUMMYFUNCTION("""COMPUTED_VALUE"""),"No Ad Data")</f>
        <v>No Ad Data</v>
      </c>
      <c r="N157" s="55"/>
      <c r="O157" s="55"/>
      <c r="P157" s="55">
        <f>IFERROR(__xludf.DUMMYFUNCTION("""COMPUTED_VALUE"""),261.0)</f>
        <v>261</v>
      </c>
      <c r="Q157" s="55">
        <f>IFERROR(__xludf.DUMMYFUNCTION("""COMPUTED_VALUE"""),1.0)</f>
        <v>1</v>
      </c>
      <c r="R157" s="55"/>
      <c r="S157" s="55"/>
      <c r="T157" s="55"/>
      <c r="U157" s="55"/>
      <c r="V157" s="55"/>
      <c r="W157" s="55">
        <f>IFERROR(__xludf.DUMMYFUNCTION("""COMPUTED_VALUE"""),72.99)</f>
        <v>72.99</v>
      </c>
      <c r="X157" s="55"/>
      <c r="Y157" s="55"/>
      <c r="Z157" s="55"/>
      <c r="AA157" s="55"/>
      <c r="AB157" s="55"/>
      <c r="AC157" s="55"/>
      <c r="AD157" s="55"/>
      <c r="AE157" s="55"/>
      <c r="AF157" s="55"/>
      <c r="AG157" s="55"/>
      <c r="AH157" s="55"/>
      <c r="AI157" s="55"/>
      <c r="AJ157" s="55"/>
      <c r="AK157" s="55"/>
      <c r="AL157" s="55"/>
      <c r="AM157" s="55" t="str">
        <f>IFERROR(__xludf.DUMMYFUNCTION("""COMPUTED_VALUE"""),"Q9jTBBX9SyqJRCY0bwP6T8zAs_bWb1Epxjq3YLP-1t5lOM8bDToxJhkQoHy9vpJp")</f>
        <v>Q9jTBBX9SyqJRCY0bwP6T8zAs_bWb1Epxjq3YLP-1t5lOM8bDToxJhkQoHy9vpJp</v>
      </c>
      <c r="AN157" s="55"/>
      <c r="AO157" s="55"/>
      <c r="AP157" s="55"/>
      <c r="AQ157" s="55"/>
      <c r="AR157" s="55"/>
      <c r="AS157" s="55"/>
      <c r="AT157" s="55"/>
      <c r="AU157" s="55"/>
      <c r="AV157" s="55"/>
      <c r="AW157" s="35"/>
      <c r="AX157" s="35"/>
      <c r="AY157" s="35"/>
      <c r="AZ157" s="35"/>
      <c r="BA157" s="35"/>
      <c r="BB157" s="35"/>
      <c r="BC157" s="35"/>
      <c r="BD157" s="35"/>
      <c r="BE157" s="35"/>
      <c r="BF157" s="35"/>
      <c r="BG157" s="35"/>
    </row>
    <row r="158" ht="15.75" customHeight="1">
      <c r="A158" s="55" t="str">
        <f>IFERROR(__xludf.DUMMYFUNCTION("""COMPUTED_VALUE"""),"Tiktok")</f>
        <v>Tiktok</v>
      </c>
      <c r="B158" s="56">
        <f>IFERROR(__xludf.DUMMYFUNCTION("""COMPUTED_VALUE"""),46204.0)</f>
        <v>46204</v>
      </c>
      <c r="C158" s="55" t="str">
        <f>IFERROR(__xludf.DUMMYFUNCTION("""COMPUTED_VALUE"""),"July")</f>
        <v>July</v>
      </c>
      <c r="D158" s="58" t="str">
        <f>IFERROR(__xludf.DUMMYFUNCTION("""COMPUTED_VALUE"""),"https://www.tiktok.com/@goch_ugc/video/7658824716475534623")</f>
        <v>https://www.tiktok.com/@goch_ugc/video/7658824716475534623</v>
      </c>
      <c r="E158" s="55" t="str">
        <f>IFERROR(__xludf.DUMMYFUNCTION("""COMPUTED_VALUE"""),"@goch_ugc")</f>
        <v>@goch_ugc</v>
      </c>
      <c r="F158" s="55"/>
      <c r="G158" s="55" t="str">
        <f>IFERROR(__xludf.DUMMYFUNCTION("""COMPUTED_VALUE"""),"Target Shelf Showdown")</f>
        <v>Target Shelf Showdown</v>
      </c>
      <c r="H158" s="55"/>
      <c r="I158" s="55">
        <f>IFERROR(__xludf.DUMMYFUNCTION("""COMPUTED_VALUE"""),15.1)</f>
        <v>15.1</v>
      </c>
      <c r="J158" s="55" t="str">
        <f>IFERROR(__xludf.DUMMYFUNCTION("""COMPUTED_VALUE"""),"No – Not Recommended")</f>
        <v>No – Not Recommended</v>
      </c>
      <c r="K158" s="55" t="str">
        <f>IFERROR(__xludf.DUMMYFUNCTION("""COMPUTED_VALUE"""),"No")</f>
        <v>No</v>
      </c>
      <c r="L158" s="55" t="str">
        <f>IFERROR(__xludf.DUMMYFUNCTION("""COMPUTED_VALUE"""),"Score 16.7 &lt; 30 threshold")</f>
        <v>Score 16.7 &lt; 30 threshold</v>
      </c>
      <c r="M158" s="55" t="str">
        <f>IFERROR(__xludf.DUMMYFUNCTION("""COMPUTED_VALUE"""),"No Ad Data")</f>
        <v>No Ad Data</v>
      </c>
      <c r="N158" s="55"/>
      <c r="O158" s="55"/>
      <c r="P158" s="55">
        <f>IFERROR(__xludf.DUMMYFUNCTION("""COMPUTED_VALUE"""),105.0)</f>
        <v>105</v>
      </c>
      <c r="Q158" s="55">
        <f>IFERROR(__xludf.DUMMYFUNCTION("""COMPUTED_VALUE"""),1.0)</f>
        <v>1</v>
      </c>
      <c r="R158" s="55">
        <f>IFERROR(__xludf.DUMMYFUNCTION("""COMPUTED_VALUE"""),0.083)</f>
        <v>0.083</v>
      </c>
      <c r="S158" s="55"/>
      <c r="T158" s="55">
        <f>IFERROR(__xludf.DUMMYFUNCTION("""COMPUTED_VALUE"""),1.9)</f>
        <v>1.9</v>
      </c>
      <c r="U158" s="55"/>
      <c r="V158" s="55"/>
      <c r="W158" s="55">
        <f>IFERROR(__xludf.DUMMYFUNCTION("""COMPUTED_VALUE"""),72.99)</f>
        <v>72.99</v>
      </c>
      <c r="X158" s="55"/>
      <c r="Y158" s="55"/>
      <c r="Z158" s="55"/>
      <c r="AA158" s="55"/>
      <c r="AB158" s="55"/>
      <c r="AC158" s="55"/>
      <c r="AD158" s="55"/>
      <c r="AE158" s="55"/>
      <c r="AF158" s="55"/>
      <c r="AG158" s="55"/>
      <c r="AH158" s="55"/>
      <c r="AI158" s="55"/>
      <c r="AJ158" s="55"/>
      <c r="AK158" s="55"/>
      <c r="AL158" s="55"/>
      <c r="AM158" s="55" t="str">
        <f>IFERROR(__xludf.DUMMYFUNCTION("""COMPUTED_VALUE"""),"#ZsnLqjQFl91JAZYD3A6IHfsiO9jp2ZdBY+CggFyNCaGvwW8SBOoPZhOZKaiJXdY=")</f>
        <v>#ZsnLqjQFl91JAZYD3A6IHfsiO9jp2ZdBY+CggFyNCaGvwW8SBOoPZhOZKaiJXdY=</v>
      </c>
      <c r="AN158" s="55"/>
      <c r="AO158" s="55"/>
      <c r="AP158" s="55"/>
      <c r="AQ158" s="55"/>
      <c r="AR158" s="55"/>
      <c r="AS158" s="55"/>
      <c r="AT158" s="55"/>
      <c r="AU158" s="55"/>
      <c r="AV158" s="55"/>
      <c r="AW158" s="35"/>
      <c r="AX158" s="35"/>
      <c r="AY158" s="35"/>
      <c r="AZ158" s="35"/>
      <c r="BA158" s="35"/>
      <c r="BB158" s="35"/>
      <c r="BC158" s="35"/>
      <c r="BD158" s="35"/>
      <c r="BE158" s="35"/>
      <c r="BF158" s="35"/>
      <c r="BG158" s="35"/>
    </row>
    <row r="159" ht="15.75" customHeight="1">
      <c r="A159" s="55" t="str">
        <f>IFERROR(__xludf.DUMMYFUNCTION("""COMPUTED_VALUE"""),"Instagram")</f>
        <v>Instagram</v>
      </c>
      <c r="B159" s="56">
        <f>IFERROR(__xludf.DUMMYFUNCTION("""COMPUTED_VALUE"""),46206.0)</f>
        <v>46206</v>
      </c>
      <c r="C159" s="55" t="str">
        <f>IFERROR(__xludf.DUMMYFUNCTION("""COMPUTED_VALUE"""),"July")</f>
        <v>July</v>
      </c>
      <c r="D159" s="58" t="str">
        <f>IFERROR(__xludf.DUMMYFUNCTION("""COMPUTED_VALUE"""),"https://www.instagram.com/reel/DaSweh4u5tN/")</f>
        <v>https://www.instagram.com/reel/DaSweh4u5tN/</v>
      </c>
      <c r="E159" s="55" t="str">
        <f>IFERROR(__xludf.DUMMYFUNCTION("""COMPUTED_VALUE"""),"@na")</f>
        <v>@na</v>
      </c>
      <c r="F159" s="55"/>
      <c r="G159" s="55" t="str">
        <f>IFERROR(__xludf.DUMMYFUNCTION("""COMPUTED_VALUE"""),"Cortisol")</f>
        <v>Cortisol</v>
      </c>
      <c r="H159" s="55"/>
      <c r="I159" s="55">
        <f>IFERROR(__xludf.DUMMYFUNCTION("""COMPUTED_VALUE"""),15.9)</f>
        <v>15.9</v>
      </c>
      <c r="J159" s="55" t="str">
        <f>IFERROR(__xludf.DUMMYFUNCTION("""COMPUTED_VALUE"""),"No – Not Recommended")</f>
        <v>No – Not Recommended</v>
      </c>
      <c r="K159" s="55" t="str">
        <f>IFERROR(__xludf.DUMMYFUNCTION("""COMPUTED_VALUE"""),"No")</f>
        <v>No</v>
      </c>
      <c r="L159" s="55" t="str">
        <f>IFERROR(__xludf.DUMMYFUNCTION("""COMPUTED_VALUE"""),"Score 16.2 &lt; 20 threshold")</f>
        <v>Score 16.2 &lt; 20 threshold</v>
      </c>
      <c r="M159" s="55" t="str">
        <f>IFERROR(__xludf.DUMMYFUNCTION("""COMPUTED_VALUE"""),"No Ad Data")</f>
        <v>No Ad Data</v>
      </c>
      <c r="N159" s="55"/>
      <c r="O159" s="55"/>
      <c r="P159" s="55">
        <f>IFERROR(__xludf.DUMMYFUNCTION("""COMPUTED_VALUE"""),188.0)</f>
        <v>188</v>
      </c>
      <c r="Q159" s="55">
        <f>IFERROR(__xludf.DUMMYFUNCTION("""COMPUTED_VALUE"""),1.0)</f>
        <v>1</v>
      </c>
      <c r="R159" s="55"/>
      <c r="S159" s="55"/>
      <c r="T159" s="55"/>
      <c r="U159" s="55"/>
      <c r="V159" s="55"/>
      <c r="W159" s="55">
        <f>IFERROR(__xludf.DUMMYFUNCTION("""COMPUTED_VALUE"""),117.58)</f>
        <v>117.58</v>
      </c>
      <c r="X159" s="55"/>
      <c r="Y159" s="55"/>
      <c r="Z159" s="55"/>
      <c r="AA159" s="55"/>
      <c r="AB159" s="55"/>
      <c r="AC159" s="55"/>
      <c r="AD159" s="55"/>
      <c r="AE159" s="55"/>
      <c r="AF159" s="55"/>
      <c r="AG159" s="55"/>
      <c r="AH159" s="55"/>
      <c r="AI159" s="55"/>
      <c r="AJ159" s="55"/>
      <c r="AK159" s="55"/>
      <c r="AL159" s="55"/>
      <c r="AM159" s="55" t="str">
        <f>IFERROR(__xludf.DUMMYFUNCTION("""COMPUTED_VALUE"""),"Q9jTBBXvzl28OqEAASDWvIMUaF5Ezv8sG7cWuXZaNWCuP5Ayuin1PtwtyHNZJtnGCg")</f>
        <v>Q9jTBBXvzl28OqEAASDWvIMUaF5Ezv8sG7cWuXZaNWCuP5Ayuin1PtwtyHNZJtnGCg</v>
      </c>
      <c r="AN159" s="55"/>
      <c r="AO159" s="55"/>
      <c r="AP159" s="55"/>
      <c r="AQ159" s="55"/>
      <c r="AR159" s="55"/>
      <c r="AS159" s="55"/>
      <c r="AT159" s="55"/>
      <c r="AU159" s="55"/>
      <c r="AV159" s="55"/>
      <c r="AW159" s="35"/>
      <c r="AX159" s="35"/>
      <c r="AY159" s="35"/>
      <c r="AZ159" s="35"/>
      <c r="BA159" s="35"/>
      <c r="BB159" s="35"/>
      <c r="BC159" s="35"/>
      <c r="BD159" s="35"/>
      <c r="BE159" s="35"/>
      <c r="BF159" s="35"/>
      <c r="BG159" s="35"/>
    </row>
    <row r="160" ht="15.75" customHeight="1">
      <c r="A160" s="55" t="str">
        <f>IFERROR(__xludf.DUMMYFUNCTION("""COMPUTED_VALUE"""),"Tiktok")</f>
        <v>Tiktok</v>
      </c>
      <c r="B160" s="56">
        <f>IFERROR(__xludf.DUMMYFUNCTION("""COMPUTED_VALUE"""),46213.0)</f>
        <v>46213</v>
      </c>
      <c r="C160" s="55" t="str">
        <f>IFERROR(__xludf.DUMMYFUNCTION("""COMPUTED_VALUE"""),"July")</f>
        <v>July</v>
      </c>
      <c r="D160" s="58" t="str">
        <f>IFERROR(__xludf.DUMMYFUNCTION("""COMPUTED_VALUE"""),"https://www.tiktok.com/@beautiffulcrazymomlife/video/7660605505286573325")</f>
        <v>https://www.tiktok.com/@beautiffulcrazymomlife/video/7660605505286573325</v>
      </c>
      <c r="E160" s="55" t="str">
        <f>IFERROR(__xludf.DUMMYFUNCTION("""COMPUTED_VALUE"""),"@beautiffulcrazymomlife")</f>
        <v>@beautiffulcrazymomlife</v>
      </c>
      <c r="F160" s="55"/>
      <c r="G160" s="55" t="str">
        <f>IFERROR(__xludf.DUMMYFUNCTION("""COMPUTED_VALUE"""),"Mushroom Trend")</f>
        <v>Mushroom Trend</v>
      </c>
      <c r="H160" s="55"/>
      <c r="I160" s="55">
        <f>IFERROR(__xludf.DUMMYFUNCTION("""COMPUTED_VALUE"""),14.7)</f>
        <v>14.7</v>
      </c>
      <c r="J160" s="55" t="str">
        <f>IFERROR(__xludf.DUMMYFUNCTION("""COMPUTED_VALUE"""),"No – Not Recommended")</f>
        <v>No – Not Recommended</v>
      </c>
      <c r="K160" s="55" t="str">
        <f>IFERROR(__xludf.DUMMYFUNCTION("""COMPUTED_VALUE"""),"No")</f>
        <v>No</v>
      </c>
      <c r="L160" s="55" t="str">
        <f>IFERROR(__xludf.DUMMYFUNCTION("""COMPUTED_VALUE"""),"Score 16.4 &lt; 30 threshold")</f>
        <v>Score 16.4 &lt; 30 threshold</v>
      </c>
      <c r="M160" s="55" t="str">
        <f>IFERROR(__xludf.DUMMYFUNCTION("""COMPUTED_VALUE"""),"No Ad Data")</f>
        <v>No Ad Data</v>
      </c>
      <c r="N160" s="55"/>
      <c r="O160" s="55"/>
      <c r="P160" s="55">
        <f>IFERROR(__xludf.DUMMYFUNCTION("""COMPUTED_VALUE"""),121.0)</f>
        <v>121</v>
      </c>
      <c r="Q160" s="55">
        <f>IFERROR(__xludf.DUMMYFUNCTION("""COMPUTED_VALUE"""),13.0)</f>
        <v>13</v>
      </c>
      <c r="R160" s="55">
        <f>IFERROR(__xludf.DUMMYFUNCTION("""COMPUTED_VALUE"""),8.0)</f>
        <v>8</v>
      </c>
      <c r="S160" s="55"/>
      <c r="T160" s="55"/>
      <c r="U160" s="55"/>
      <c r="V160" s="55"/>
      <c r="W160" s="55">
        <f>IFERROR(__xludf.DUMMYFUNCTION("""COMPUTED_VALUE"""),117.58)</f>
        <v>117.58</v>
      </c>
      <c r="X160" s="55"/>
      <c r="Y160" s="55"/>
      <c r="Z160" s="55"/>
      <c r="AA160" s="55"/>
      <c r="AB160" s="55"/>
      <c r="AC160" s="55"/>
      <c r="AD160" s="55"/>
      <c r="AE160" s="55"/>
      <c r="AF160" s="55"/>
      <c r="AG160" s="55"/>
      <c r="AH160" s="55"/>
      <c r="AI160" s="55"/>
      <c r="AJ160" s="55"/>
      <c r="AK160" s="55"/>
      <c r="AL160" s="55"/>
      <c r="AM160" s="55" t="str">
        <f>IFERROR(__xludf.DUMMYFUNCTION("""COMPUTED_VALUE"""),"#UD9PVRnePpy+k1AJNQcPVns5yGAvsAOlPaziFODsnUfkrx4TTw/cWIRkJlqOj+4=")</f>
        <v>#UD9PVRnePpy+k1AJNQcPVns5yGAvsAOlPaziFODsnUfkrx4TTw/cWIRkJlqOj+4=</v>
      </c>
      <c r="AN160" s="55"/>
      <c r="AO160" s="55"/>
      <c r="AP160" s="55"/>
      <c r="AQ160" s="55"/>
      <c r="AR160" s="55"/>
      <c r="AS160" s="55"/>
      <c r="AT160" s="55"/>
      <c r="AU160" s="55"/>
      <c r="AV160" s="55"/>
      <c r="AW160" s="35"/>
      <c r="AX160" s="35"/>
      <c r="AY160" s="35"/>
      <c r="AZ160" s="35"/>
      <c r="BA160" s="35"/>
      <c r="BB160" s="35"/>
      <c r="BC160" s="35"/>
      <c r="BD160" s="35"/>
      <c r="BE160" s="35"/>
      <c r="BF160" s="35"/>
      <c r="BG160" s="35"/>
    </row>
    <row r="161" ht="15.75" customHeight="1">
      <c r="A161" s="55" t="str">
        <f>IFERROR(__xludf.DUMMYFUNCTION("""COMPUTED_VALUE"""),"Instagram")</f>
        <v>Instagram</v>
      </c>
      <c r="B161" s="56">
        <f>IFERROR(__xludf.DUMMYFUNCTION("""COMPUTED_VALUE"""),46212.0)</f>
        <v>46212</v>
      </c>
      <c r="C161" s="55" t="str">
        <f>IFERROR(__xludf.DUMMYFUNCTION("""COMPUTED_VALUE"""),"July")</f>
        <v>July</v>
      </c>
      <c r="D161" s="58" t="str">
        <f>IFERROR(__xludf.DUMMYFUNCTION("""COMPUTED_VALUE"""),"https://www.instagram.com/reels/DakpyX-u6OI/")</f>
        <v>https://www.instagram.com/reels/DakpyX-u6OI/</v>
      </c>
      <c r="E161" s="55" t="str">
        <f>IFERROR(__xludf.DUMMYFUNCTION("""COMPUTED_VALUE"""),"@na")</f>
        <v>@na</v>
      </c>
      <c r="F161" s="55"/>
      <c r="G161" s="55" t="str">
        <f>IFERROR(__xludf.DUMMYFUNCTION("""COMPUTED_VALUE"""),"Taste")</f>
        <v>Taste</v>
      </c>
      <c r="H161" s="55"/>
      <c r="I161" s="55">
        <f>IFERROR(__xludf.DUMMYFUNCTION("""COMPUTED_VALUE"""),14.5)</f>
        <v>14.5</v>
      </c>
      <c r="J161" s="55" t="str">
        <f>IFERROR(__xludf.DUMMYFUNCTION("""COMPUTED_VALUE"""),"No – Not Recommended")</f>
        <v>No – Not Recommended</v>
      </c>
      <c r="K161" s="55" t="str">
        <f>IFERROR(__xludf.DUMMYFUNCTION("""COMPUTED_VALUE"""),"No")</f>
        <v>No</v>
      </c>
      <c r="L161" s="55" t="str">
        <f>IFERROR(__xludf.DUMMYFUNCTION("""COMPUTED_VALUE"""),"Score 14.5 &lt; 20 threshold")</f>
        <v>Score 14.5 &lt; 20 threshold</v>
      </c>
      <c r="M161" s="55" t="str">
        <f>IFERROR(__xludf.DUMMYFUNCTION("""COMPUTED_VALUE"""),"No Ad Data")</f>
        <v>No Ad Data</v>
      </c>
      <c r="N161" s="55"/>
      <c r="O161" s="55"/>
      <c r="P161" s="55">
        <f>IFERROR(__xludf.DUMMYFUNCTION("""COMPUTED_VALUE"""),377.0)</f>
        <v>377</v>
      </c>
      <c r="Q161" s="55"/>
      <c r="R161" s="55"/>
      <c r="S161" s="55"/>
      <c r="T161" s="55"/>
      <c r="U161" s="55"/>
      <c r="V161" s="55"/>
      <c r="W161" s="55">
        <f>IFERROR(__xludf.DUMMYFUNCTION("""COMPUTED_VALUE"""),117.58)</f>
        <v>117.58</v>
      </c>
      <c r="X161" s="55"/>
      <c r="Y161" s="55"/>
      <c r="Z161" s="55"/>
      <c r="AA161" s="55"/>
      <c r="AB161" s="55"/>
      <c r="AC161" s="55"/>
      <c r="AD161" s="55"/>
      <c r="AE161" s="55"/>
      <c r="AF161" s="55"/>
      <c r="AG161" s="55"/>
      <c r="AH161" s="55"/>
      <c r="AI161" s="55"/>
      <c r="AJ161" s="55"/>
      <c r="AK161" s="55"/>
      <c r="AL161" s="55"/>
      <c r="AM161" s="55" t="str">
        <f>IFERROR(__xludf.DUMMYFUNCTION("""COMPUTED_VALUE"""),"Q9jTBBbDQZIczlO1p_aHzhNIVSfS0YNHps89_wyMDZxI8kwvllJvL9LhYoNWzl2tjxE")</f>
        <v>Q9jTBBbDQZIczlO1p_aHzhNIVSfS0YNHps89_wyMDZxI8kwvllJvL9LhYoNWzl2tjxE</v>
      </c>
      <c r="AN161" s="55"/>
      <c r="AO161" s="55"/>
      <c r="AP161" s="55"/>
      <c r="AQ161" s="55"/>
      <c r="AR161" s="55"/>
      <c r="AS161" s="55"/>
      <c r="AT161" s="55"/>
      <c r="AU161" s="55"/>
      <c r="AV161" s="55"/>
      <c r="AW161" s="35"/>
      <c r="AX161" s="35"/>
      <c r="AY161" s="35"/>
      <c r="AZ161" s="35"/>
      <c r="BA161" s="35"/>
      <c r="BB161" s="35"/>
      <c r="BC161" s="35"/>
      <c r="BD161" s="35"/>
      <c r="BE161" s="35"/>
      <c r="BF161" s="35"/>
      <c r="BG161" s="35"/>
    </row>
    <row r="162" ht="15.75" customHeight="1">
      <c r="A162" s="55" t="str">
        <f>IFERROR(__xludf.DUMMYFUNCTION("""COMPUTED_VALUE"""),"Instagram")</f>
        <v>Instagram</v>
      </c>
      <c r="B162" s="56">
        <f>IFERROR(__xludf.DUMMYFUNCTION("""COMPUTED_VALUE"""),46205.0)</f>
        <v>46205</v>
      </c>
      <c r="C162" s="55" t="str">
        <f>IFERROR(__xludf.DUMMYFUNCTION("""COMPUTED_VALUE"""),"July")</f>
        <v>July</v>
      </c>
      <c r="D162" s="58" t="str">
        <f>IFERROR(__xludf.DUMMYFUNCTION("""COMPUTED_VALUE"""),"https://www.instagram.com/reel/DaRTOnoOFz2/")</f>
        <v>https://www.instagram.com/reel/DaRTOnoOFz2/</v>
      </c>
      <c r="E162" s="55" t="str">
        <f>IFERROR(__xludf.DUMMYFUNCTION("""COMPUTED_VALUE"""),"@na")</f>
        <v>@na</v>
      </c>
      <c r="F162" s="55"/>
      <c r="G162" s="55" t="str">
        <f>IFERROR(__xludf.DUMMYFUNCTION("""COMPUTED_VALUE"""),"Cortisol")</f>
        <v>Cortisol</v>
      </c>
      <c r="H162" s="55"/>
      <c r="I162" s="55">
        <f>IFERROR(__xludf.DUMMYFUNCTION("""COMPUTED_VALUE"""),14.2)</f>
        <v>14.2</v>
      </c>
      <c r="J162" s="55" t="str">
        <f>IFERROR(__xludf.DUMMYFUNCTION("""COMPUTED_VALUE"""),"No – Not Recommended")</f>
        <v>No – Not Recommended</v>
      </c>
      <c r="K162" s="55" t="str">
        <f>IFERROR(__xludf.DUMMYFUNCTION("""COMPUTED_VALUE"""),"No")</f>
        <v>No</v>
      </c>
      <c r="L162" s="55" t="str">
        <f>IFERROR(__xludf.DUMMYFUNCTION("""COMPUTED_VALUE"""),"Score 14.8 &lt; 20 threshold")</f>
        <v>Score 14.8 &lt; 20 threshold</v>
      </c>
      <c r="M162" s="55" t="str">
        <f>IFERROR(__xludf.DUMMYFUNCTION("""COMPUTED_VALUE"""),"No Ad Data")</f>
        <v>No Ad Data</v>
      </c>
      <c r="N162" s="55"/>
      <c r="O162" s="55"/>
      <c r="P162" s="55">
        <f>IFERROR(__xludf.DUMMYFUNCTION("""COMPUTED_VALUE"""),92.0)</f>
        <v>92</v>
      </c>
      <c r="Q162" s="55">
        <f>IFERROR(__xludf.DUMMYFUNCTION("""COMPUTED_VALUE"""),6.0)</f>
        <v>6</v>
      </c>
      <c r="R162" s="55">
        <f>IFERROR(__xludf.DUMMYFUNCTION("""COMPUTED_VALUE"""),1.0)</f>
        <v>1</v>
      </c>
      <c r="S162" s="55"/>
      <c r="T162" s="55"/>
      <c r="U162" s="55"/>
      <c r="V162" s="55"/>
      <c r="W162" s="55">
        <f>IFERROR(__xludf.DUMMYFUNCTION("""COMPUTED_VALUE"""),117.58)</f>
        <v>117.58</v>
      </c>
      <c r="X162" s="55"/>
      <c r="Y162" s="55"/>
      <c r="Z162" s="55"/>
      <c r="AA162" s="55"/>
      <c r="AB162" s="55"/>
      <c r="AC162" s="55"/>
      <c r="AD162" s="55"/>
      <c r="AE162" s="55"/>
      <c r="AF162" s="55"/>
      <c r="AG162" s="55"/>
      <c r="AH162" s="55"/>
      <c r="AI162" s="55"/>
      <c r="AJ162" s="55"/>
      <c r="AK162" s="55"/>
      <c r="AL162" s="55"/>
      <c r="AM162" s="55" t="str">
        <f>IFERROR(__xludf.DUMMYFUNCTION("""COMPUTED_VALUE"""),"Q9jTBBWVaY3Fy3nb8tt0GKHwAV79HR0XFH3dKxiz-RZPZsYKXOkNLFNhsfPkEMy1f9k")</f>
        <v>Q9jTBBWVaY3Fy3nb8tt0GKHwAV79HR0XFH3dKxiz-RZPZsYKXOkNLFNhsfPkEMy1f9k</v>
      </c>
      <c r="AN162" s="55"/>
      <c r="AO162" s="55"/>
      <c r="AP162" s="55"/>
      <c r="AQ162" s="55"/>
      <c r="AR162" s="55"/>
      <c r="AS162" s="55"/>
      <c r="AT162" s="55"/>
      <c r="AU162" s="55"/>
      <c r="AV162" s="55"/>
      <c r="AW162" s="35"/>
      <c r="AX162" s="35"/>
      <c r="AY162" s="35"/>
      <c r="AZ162" s="35"/>
      <c r="BA162" s="35"/>
      <c r="BB162" s="35"/>
      <c r="BC162" s="35"/>
      <c r="BD162" s="35"/>
      <c r="BE162" s="35"/>
      <c r="BF162" s="35"/>
      <c r="BG162" s="35"/>
    </row>
    <row r="163" ht="15.75" customHeight="1">
      <c r="A163" s="55" t="str">
        <f>IFERROR(__xludf.DUMMYFUNCTION("""COMPUTED_VALUE"""),"Instagram")</f>
        <v>Instagram</v>
      </c>
      <c r="B163" s="56">
        <f>IFERROR(__xludf.DUMMYFUNCTION("""COMPUTED_VALUE"""),46205.0)</f>
        <v>46205</v>
      </c>
      <c r="C163" s="55" t="str">
        <f>IFERROR(__xludf.DUMMYFUNCTION("""COMPUTED_VALUE"""),"July")</f>
        <v>July</v>
      </c>
      <c r="D163" s="58" t="str">
        <f>IFERROR(__xludf.DUMMYFUNCTION("""COMPUTED_VALUE"""),"https://www.instagram.com/reel/DaRvKlMopjG/")</f>
        <v>https://www.instagram.com/reel/DaRvKlMopjG/</v>
      </c>
      <c r="E163" s="55" t="str">
        <f>IFERROR(__xludf.DUMMYFUNCTION("""COMPUTED_VALUE"""),"@na")</f>
        <v>@na</v>
      </c>
      <c r="F163" s="55"/>
      <c r="G163" s="55" t="str">
        <f>IFERROR(__xludf.DUMMYFUNCTION("""COMPUTED_VALUE"""),"Target Shelf Showdown")</f>
        <v>Target Shelf Showdown</v>
      </c>
      <c r="H163" s="55"/>
      <c r="I163" s="55">
        <f>IFERROR(__xludf.DUMMYFUNCTION("""COMPUTED_VALUE"""),13.1)</f>
        <v>13.1</v>
      </c>
      <c r="J163" s="55" t="str">
        <f>IFERROR(__xludf.DUMMYFUNCTION("""COMPUTED_VALUE"""),"No – Not Recommended")</f>
        <v>No – Not Recommended</v>
      </c>
      <c r="K163" s="55" t="str">
        <f>IFERROR(__xludf.DUMMYFUNCTION("""COMPUTED_VALUE"""),"No")</f>
        <v>No</v>
      </c>
      <c r="L163" s="55" t="str">
        <f>IFERROR(__xludf.DUMMYFUNCTION("""COMPUTED_VALUE"""),"Score 13.1 &lt; 20 threshold")</f>
        <v>Score 13.1 &lt; 20 threshold</v>
      </c>
      <c r="M163" s="55" t="str">
        <f>IFERROR(__xludf.DUMMYFUNCTION("""COMPUTED_VALUE"""),"No Ad Data")</f>
        <v>No Ad Data</v>
      </c>
      <c r="N163" s="55"/>
      <c r="O163" s="55"/>
      <c r="P163" s="55">
        <f>IFERROR(__xludf.DUMMYFUNCTION("""COMPUTED_VALUE"""),211.0)</f>
        <v>211</v>
      </c>
      <c r="Q163" s="55"/>
      <c r="R163" s="55"/>
      <c r="S163" s="55"/>
      <c r="T163" s="55"/>
      <c r="U163" s="55"/>
      <c r="V163" s="55"/>
      <c r="W163" s="55">
        <f>IFERROR(__xludf.DUMMYFUNCTION("""COMPUTED_VALUE"""),72.99)</f>
        <v>72.99</v>
      </c>
      <c r="X163" s="55"/>
      <c r="Y163" s="55"/>
      <c r="Z163" s="55"/>
      <c r="AA163" s="55"/>
      <c r="AB163" s="55"/>
      <c r="AC163" s="55"/>
      <c r="AD163" s="55"/>
      <c r="AE163" s="55"/>
      <c r="AF163" s="55"/>
      <c r="AG163" s="55"/>
      <c r="AH163" s="55"/>
      <c r="AI163" s="55"/>
      <c r="AJ163" s="55"/>
      <c r="AK163" s="55"/>
      <c r="AL163" s="55"/>
      <c r="AM163" s="55" t="str">
        <f>IFERROR(__xludf.DUMMYFUNCTION("""COMPUTED_VALUE"""),"Q9jTBBXEEt4i9n8qDbKS_5kGsP8_vMRZ_DDfaiJuPyy8X3czphcxtX-rRe76orVfCg")</f>
        <v>Q9jTBBXEEt4i9n8qDbKS_5kGsP8_vMRZ_DDfaiJuPyy8X3czphcxtX-rRe76orVfCg</v>
      </c>
      <c r="AN163" s="55"/>
      <c r="AO163" s="55"/>
      <c r="AP163" s="55"/>
      <c r="AQ163" s="55"/>
      <c r="AR163" s="55"/>
      <c r="AS163" s="55"/>
      <c r="AT163" s="55"/>
      <c r="AU163" s="55"/>
      <c r="AV163" s="55"/>
      <c r="AW163" s="35"/>
      <c r="AX163" s="35"/>
      <c r="AY163" s="35"/>
      <c r="AZ163" s="35"/>
      <c r="BA163" s="35"/>
      <c r="BB163" s="35"/>
      <c r="BC163" s="35"/>
      <c r="BD163" s="35"/>
      <c r="BE163" s="35"/>
      <c r="BF163" s="35"/>
      <c r="BG163" s="35"/>
    </row>
    <row r="164" ht="15.75" customHeight="1">
      <c r="A164" s="55" t="str">
        <f>IFERROR(__xludf.DUMMYFUNCTION("""COMPUTED_VALUE"""),"Tiktok")</f>
        <v>Tiktok</v>
      </c>
      <c r="B164" s="56">
        <f>IFERROR(__xludf.DUMMYFUNCTION("""COMPUTED_VALUE"""),46212.0)</f>
        <v>46212</v>
      </c>
      <c r="C164" s="55" t="str">
        <f>IFERROR(__xludf.DUMMYFUNCTION("""COMPUTED_VALUE"""),"July")</f>
        <v>July</v>
      </c>
      <c r="D164" s="58" t="str">
        <f>IFERROR(__xludf.DUMMYFUNCTION("""COMPUTED_VALUE"""),"https://www.tiktok.com/@alexwrightt9/video/7660587486296411423")</f>
        <v>https://www.tiktok.com/@alexwrightt9/video/7660587486296411423</v>
      </c>
      <c r="E164" s="55" t="str">
        <f>IFERROR(__xludf.DUMMYFUNCTION("""COMPUTED_VALUE"""),"@alexwrightt9")</f>
        <v>@alexwrightt9</v>
      </c>
      <c r="F164" s="55"/>
      <c r="G164" s="55" t="str">
        <f>IFERROR(__xludf.DUMMYFUNCTION("""COMPUTED_VALUE"""),"Mushroom Trend")</f>
        <v>Mushroom Trend</v>
      </c>
      <c r="H164" s="55"/>
      <c r="I164" s="55">
        <f>IFERROR(__xludf.DUMMYFUNCTION("""COMPUTED_VALUE"""),11.8)</f>
        <v>11.8</v>
      </c>
      <c r="J164" s="55" t="str">
        <f>IFERROR(__xludf.DUMMYFUNCTION("""COMPUTED_VALUE"""),"No – Not Recommended")</f>
        <v>No – Not Recommended</v>
      </c>
      <c r="K164" s="55" t="str">
        <f>IFERROR(__xludf.DUMMYFUNCTION("""COMPUTED_VALUE"""),"No")</f>
        <v>No</v>
      </c>
      <c r="L164" s="55" t="str">
        <f>IFERROR(__xludf.DUMMYFUNCTION("""COMPUTED_VALUE"""),"Score 13.4 &lt; 30 threshold")</f>
        <v>Score 13.4 &lt; 30 threshold</v>
      </c>
      <c r="M164" s="55" t="str">
        <f>IFERROR(__xludf.DUMMYFUNCTION("""COMPUTED_VALUE"""),"No Ad Data")</f>
        <v>No Ad Data</v>
      </c>
      <c r="N164" s="55"/>
      <c r="O164" s="55"/>
      <c r="P164" s="55">
        <f>IFERROR(__xludf.DUMMYFUNCTION("""COMPUTED_VALUE"""),88.0)</f>
        <v>88</v>
      </c>
      <c r="Q164" s="55">
        <f>IFERROR(__xludf.DUMMYFUNCTION("""COMPUTED_VALUE"""),7.0)</f>
        <v>7</v>
      </c>
      <c r="R164" s="55">
        <f>IFERROR(__xludf.DUMMYFUNCTION("""COMPUTED_VALUE"""),1.0)</f>
        <v>1</v>
      </c>
      <c r="S164" s="55"/>
      <c r="T164" s="55"/>
      <c r="U164" s="55"/>
      <c r="V164" s="55">
        <f>IFERROR(__xludf.DUMMYFUNCTION("""COMPUTED_VALUE"""),0.09)</f>
        <v>0.09</v>
      </c>
      <c r="W164" s="55">
        <f>IFERROR(__xludf.DUMMYFUNCTION("""COMPUTED_VALUE"""),117.58)</f>
        <v>117.58</v>
      </c>
      <c r="X164" s="55"/>
      <c r="Y164" s="55"/>
      <c r="Z164" s="55"/>
      <c r="AA164" s="55"/>
      <c r="AB164" s="55"/>
      <c r="AC164" s="55"/>
      <c r="AD164" s="55"/>
      <c r="AE164" s="55"/>
      <c r="AF164" s="55"/>
      <c r="AG164" s="55"/>
      <c r="AH164" s="55"/>
      <c r="AI164" s="55"/>
      <c r="AJ164" s="55"/>
      <c r="AK164" s="55"/>
      <c r="AL164" s="55"/>
      <c r="AM164" s="55" t="str">
        <f>IFERROR(__xludf.DUMMYFUNCTION("""COMPUTED_VALUE"""),"#PxaK8qq5gvm4A4U+bBfEIHAeFb5Sp5U7GxpuhCmgOk9rD0qEYkpVlzy8L/Ago8E=")</f>
        <v>#PxaK8qq5gvm4A4U+bBfEIHAeFb5Sp5U7GxpuhCmgOk9rD0qEYkpVlzy8L/Ago8E=</v>
      </c>
      <c r="AN164" s="55"/>
      <c r="AO164" s="55"/>
      <c r="AP164" s="55"/>
      <c r="AQ164" s="55"/>
      <c r="AR164" s="55"/>
      <c r="AS164" s="55"/>
      <c r="AT164" s="55"/>
      <c r="AU164" s="55"/>
      <c r="AV164" s="55"/>
      <c r="AW164" s="35"/>
      <c r="AX164" s="35"/>
      <c r="AY164" s="35"/>
      <c r="AZ164" s="35"/>
      <c r="BA164" s="35"/>
      <c r="BB164" s="35"/>
      <c r="BC164" s="35"/>
      <c r="BD164" s="35"/>
      <c r="BE164" s="35"/>
      <c r="BF164" s="35"/>
      <c r="BG164" s="35"/>
    </row>
    <row r="165" ht="15.75" customHeight="1">
      <c r="A165" s="55" t="str">
        <f>IFERROR(__xludf.DUMMYFUNCTION("""COMPUTED_VALUE"""),"Tiktok")</f>
        <v>Tiktok</v>
      </c>
      <c r="B165" s="56">
        <f>IFERROR(__xludf.DUMMYFUNCTION("""COMPUTED_VALUE"""),46204.0)</f>
        <v>46204</v>
      </c>
      <c r="C165" s="55" t="str">
        <f>IFERROR(__xludf.DUMMYFUNCTION("""COMPUTED_VALUE"""),"July")</f>
        <v>July</v>
      </c>
      <c r="D165" s="58" t="str">
        <f>IFERROR(__xludf.DUMMYFUNCTION("""COMPUTED_VALUE"""),"https://www.tiktok.com/@mrpepperoffical0/video/7657586566230969613")</f>
        <v>https://www.tiktok.com/@mrpepperoffical0/video/7657586566230969613</v>
      </c>
      <c r="E165" s="55" t="str">
        <f>IFERROR(__xludf.DUMMYFUNCTION("""COMPUTED_VALUE"""),"@mrpepperoffical0")</f>
        <v>@mrpepperoffical0</v>
      </c>
      <c r="F165" s="55"/>
      <c r="G165" s="55" t="str">
        <f>IFERROR(__xludf.DUMMYFUNCTION("""COMPUTED_VALUE"""),"Gummies vs Coffee")</f>
        <v>Gummies vs Coffee</v>
      </c>
      <c r="H165" s="55"/>
      <c r="I165" s="55">
        <f>IFERROR(__xludf.DUMMYFUNCTION("""COMPUTED_VALUE"""),11.3)</f>
        <v>11.3</v>
      </c>
      <c r="J165" s="55" t="str">
        <f>IFERROR(__xludf.DUMMYFUNCTION("""COMPUTED_VALUE"""),"No – Not Recommended")</f>
        <v>No – Not Recommended</v>
      </c>
      <c r="K165" s="55" t="str">
        <f>IFERROR(__xludf.DUMMYFUNCTION("""COMPUTED_VALUE"""),"No")</f>
        <v>No</v>
      </c>
      <c r="L165" s="55" t="str">
        <f>IFERROR(__xludf.DUMMYFUNCTION("""COMPUTED_VALUE"""),"Score 13.2 &lt; 30 threshold")</f>
        <v>Score 13.2 &lt; 30 threshold</v>
      </c>
      <c r="M165" s="55" t="str">
        <f>IFERROR(__xludf.DUMMYFUNCTION("""COMPUTED_VALUE"""),"No Ad Data")</f>
        <v>No Ad Data</v>
      </c>
      <c r="N165" s="55"/>
      <c r="O165" s="55"/>
      <c r="P165" s="55">
        <f>IFERROR(__xludf.DUMMYFUNCTION("""COMPUTED_VALUE"""),159.0)</f>
        <v>159</v>
      </c>
      <c r="Q165" s="55">
        <f>IFERROR(__xludf.DUMMYFUNCTION("""COMPUTED_VALUE"""),5.0)</f>
        <v>5</v>
      </c>
      <c r="R165" s="55"/>
      <c r="S165" s="55"/>
      <c r="T165" s="55"/>
      <c r="U165" s="55"/>
      <c r="V165" s="55"/>
      <c r="W165" s="55">
        <f>IFERROR(__xludf.DUMMYFUNCTION("""COMPUTED_VALUE"""),72.99)</f>
        <v>72.99</v>
      </c>
      <c r="X165" s="55"/>
      <c r="Y165" s="55"/>
      <c r="Z165" s="55"/>
      <c r="AA165" s="55"/>
      <c r="AB165" s="55"/>
      <c r="AC165" s="55"/>
      <c r="AD165" s="55"/>
      <c r="AE165" s="55"/>
      <c r="AF165" s="55"/>
      <c r="AG165" s="55"/>
      <c r="AH165" s="55"/>
      <c r="AI165" s="55"/>
      <c r="AJ165" s="55"/>
      <c r="AK165" s="55"/>
      <c r="AL165" s="55"/>
      <c r="AM165" s="55" t="str">
        <f>IFERROR(__xludf.DUMMYFUNCTION("""COMPUTED_VALUE"""),"#BSi3C+Ci5F8kc1lZHNLFGta4KWxQKap6GMkgBs5OJjrnaqonMHk2qH3EHYjVHic=")</f>
        <v>#BSi3C+Ci5F8kc1lZHNLFGta4KWxQKap6GMkgBs5OJjrnaqonMHk2qH3EHYjVHic=</v>
      </c>
      <c r="AN165" s="55"/>
      <c r="AO165" s="55"/>
      <c r="AP165" s="55"/>
      <c r="AQ165" s="55"/>
      <c r="AR165" s="55"/>
      <c r="AS165" s="55"/>
      <c r="AT165" s="55"/>
      <c r="AU165" s="55"/>
      <c r="AV165" s="55"/>
      <c r="AW165" s="35"/>
      <c r="AX165" s="35"/>
      <c r="AY165" s="35"/>
      <c r="AZ165" s="35"/>
      <c r="BA165" s="35"/>
      <c r="BB165" s="35"/>
      <c r="BC165" s="35"/>
      <c r="BD165" s="35"/>
      <c r="BE165" s="35"/>
      <c r="BF165" s="35"/>
      <c r="BG165" s="35"/>
    </row>
    <row r="166" ht="15.75" customHeight="1">
      <c r="A166" s="55" t="str">
        <f>IFERROR(__xludf.DUMMYFUNCTION("""COMPUTED_VALUE"""),"Instagram")</f>
        <v>Instagram</v>
      </c>
      <c r="B166" s="56">
        <f>IFERROR(__xludf.DUMMYFUNCTION("""COMPUTED_VALUE"""),46205.0)</f>
        <v>46205</v>
      </c>
      <c r="C166" s="55" t="str">
        <f>IFERROR(__xludf.DUMMYFUNCTION("""COMPUTED_VALUE"""),"July")</f>
        <v>July</v>
      </c>
      <c r="D166" s="58" t="str">
        <f>IFERROR(__xludf.DUMMYFUNCTION("""COMPUTED_VALUE"""),"https://www.instagram.com/reel/DaQTHTkOKz_/")</f>
        <v>https://www.instagram.com/reel/DaQTHTkOKz_/</v>
      </c>
      <c r="E166" s="55" t="str">
        <f>IFERROR(__xludf.DUMMYFUNCTION("""COMPUTED_VALUE"""),"@na")</f>
        <v>@na</v>
      </c>
      <c r="F166" s="55"/>
      <c r="G166" s="55" t="str">
        <f>IFERROR(__xludf.DUMMYFUNCTION("""COMPUTED_VALUE"""),"Countering Mushroom Coffee Trend")</f>
        <v>Countering Mushroom Coffee Trend</v>
      </c>
      <c r="H166" s="55"/>
      <c r="I166" s="55">
        <f>IFERROR(__xludf.DUMMYFUNCTION("""COMPUTED_VALUE"""),12.0)</f>
        <v>12</v>
      </c>
      <c r="J166" s="55" t="str">
        <f>IFERROR(__xludf.DUMMYFUNCTION("""COMPUTED_VALUE"""),"No – Not Recommended")</f>
        <v>No – Not Recommended</v>
      </c>
      <c r="K166" s="55" t="str">
        <f>IFERROR(__xludf.DUMMYFUNCTION("""COMPUTED_VALUE"""),"No")</f>
        <v>No</v>
      </c>
      <c r="L166" s="55" t="str">
        <f>IFERROR(__xludf.DUMMYFUNCTION("""COMPUTED_VALUE"""),"Score 12.6 &lt; 20 threshold")</f>
        <v>Score 12.6 &lt; 20 threshold</v>
      </c>
      <c r="M166" s="55" t="str">
        <f>IFERROR(__xludf.DUMMYFUNCTION("""COMPUTED_VALUE"""),"No Ad Data")</f>
        <v>No Ad Data</v>
      </c>
      <c r="N166" s="55"/>
      <c r="O166" s="55"/>
      <c r="P166" s="55">
        <f>IFERROR(__xludf.DUMMYFUNCTION("""COMPUTED_VALUE"""),90.0)</f>
        <v>90</v>
      </c>
      <c r="Q166" s="55">
        <f>IFERROR(__xludf.DUMMYFUNCTION("""COMPUTED_VALUE"""),4.0)</f>
        <v>4</v>
      </c>
      <c r="R166" s="55"/>
      <c r="S166" s="55"/>
      <c r="T166" s="55"/>
      <c r="U166" s="55"/>
      <c r="V166" s="55"/>
      <c r="W166" s="55">
        <f>IFERROR(__xludf.DUMMYFUNCTION("""COMPUTED_VALUE"""),117.58)</f>
        <v>117.58</v>
      </c>
      <c r="X166" s="55"/>
      <c r="Y166" s="55"/>
      <c r="Z166" s="55"/>
      <c r="AA166" s="55"/>
      <c r="AB166" s="55"/>
      <c r="AC166" s="55"/>
      <c r="AD166" s="55"/>
      <c r="AE166" s="55"/>
      <c r="AF166" s="55"/>
      <c r="AG166" s="55"/>
      <c r="AH166" s="55"/>
      <c r="AI166" s="55"/>
      <c r="AJ166" s="55"/>
      <c r="AK166" s="55"/>
      <c r="AL166" s="55"/>
      <c r="AM166" s="55" t="str">
        <f>IFERROR(__xludf.DUMMYFUNCTION("""COMPUTED_VALUE"""),"Q9jTBBVYLGE7rlNnPv-ggJUGDjwp-jsn1QtZ3IRJoeebLUIwAr6jGtEwflGcFaJcgVY")</f>
        <v>Q9jTBBVYLGE7rlNnPv-ggJUGDjwp-jsn1QtZ3IRJoeebLUIwAr6jGtEwflGcFaJcgVY</v>
      </c>
      <c r="AN166" s="55"/>
      <c r="AO166" s="55"/>
      <c r="AP166" s="55"/>
      <c r="AQ166" s="55"/>
      <c r="AR166" s="55"/>
      <c r="AS166" s="55"/>
      <c r="AT166" s="55"/>
      <c r="AU166" s="55"/>
      <c r="AV166" s="55"/>
      <c r="AW166" s="35"/>
      <c r="AX166" s="35"/>
      <c r="AY166" s="35"/>
      <c r="AZ166" s="35"/>
      <c r="BA166" s="35"/>
      <c r="BB166" s="35"/>
      <c r="BC166" s="35"/>
      <c r="BD166" s="35"/>
      <c r="BE166" s="35"/>
      <c r="BF166" s="35"/>
      <c r="BG166" s="35"/>
    </row>
    <row r="167" ht="15.75" customHeight="1">
      <c r="A167" s="55" t="str">
        <f>IFERROR(__xludf.DUMMYFUNCTION("""COMPUTED_VALUE"""),"Instagram")</f>
        <v>Instagram</v>
      </c>
      <c r="B167" s="56">
        <f>IFERROR(__xludf.DUMMYFUNCTION("""COMPUTED_VALUE"""),46206.0)</f>
        <v>46206</v>
      </c>
      <c r="C167" s="55" t="str">
        <f>IFERROR(__xludf.DUMMYFUNCTION("""COMPUTED_VALUE"""),"July")</f>
        <v>July</v>
      </c>
      <c r="D167" s="58" t="str">
        <f>IFERROR(__xludf.DUMMYFUNCTION("""COMPUTED_VALUE"""),"https://www.instagram.com/reel/DaVy3HehlKs/")</f>
        <v>https://www.instagram.com/reel/DaVy3HehlKs/</v>
      </c>
      <c r="E167" s="55" t="str">
        <f>IFERROR(__xludf.DUMMYFUNCTION("""COMPUTED_VALUE"""),"@na")</f>
        <v>@na</v>
      </c>
      <c r="F167" s="55"/>
      <c r="G167" s="55" t="str">
        <f>IFERROR(__xludf.DUMMYFUNCTION("""COMPUTED_VALUE"""),"Countering Mushroom Coffee Trend")</f>
        <v>Countering Mushroom Coffee Trend</v>
      </c>
      <c r="H167" s="55"/>
      <c r="I167" s="55">
        <f>IFERROR(__xludf.DUMMYFUNCTION("""COMPUTED_VALUE"""),11.4)</f>
        <v>11.4</v>
      </c>
      <c r="J167" s="55" t="str">
        <f>IFERROR(__xludf.DUMMYFUNCTION("""COMPUTED_VALUE"""),"No – Not Recommended")</f>
        <v>No – Not Recommended</v>
      </c>
      <c r="K167" s="55" t="str">
        <f>IFERROR(__xludf.DUMMYFUNCTION("""COMPUTED_VALUE"""),"No")</f>
        <v>No</v>
      </c>
      <c r="L167" s="55" t="str">
        <f>IFERROR(__xludf.DUMMYFUNCTION("""COMPUTED_VALUE"""),"Score 11.9 &lt; 20 threshold")</f>
        <v>Score 11.9 &lt; 20 threshold</v>
      </c>
      <c r="M167" s="55" t="str">
        <f>IFERROR(__xludf.DUMMYFUNCTION("""COMPUTED_VALUE"""),"No Ad Data")</f>
        <v>No Ad Data</v>
      </c>
      <c r="N167" s="55"/>
      <c r="O167" s="55"/>
      <c r="P167" s="55">
        <f>IFERROR(__xludf.DUMMYFUNCTION("""COMPUTED_VALUE"""),60.0)</f>
        <v>60</v>
      </c>
      <c r="Q167" s="55">
        <f>IFERROR(__xludf.DUMMYFUNCTION("""COMPUTED_VALUE"""),4.0)</f>
        <v>4</v>
      </c>
      <c r="R167" s="55"/>
      <c r="S167" s="55"/>
      <c r="T167" s="55"/>
      <c r="U167" s="55"/>
      <c r="V167" s="55"/>
      <c r="W167" s="55">
        <f>IFERROR(__xludf.DUMMYFUNCTION("""COMPUTED_VALUE"""),117.58)</f>
        <v>117.58</v>
      </c>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35"/>
      <c r="AX167" s="35"/>
      <c r="AY167" s="35"/>
      <c r="AZ167" s="35"/>
      <c r="BA167" s="35"/>
      <c r="BB167" s="35"/>
      <c r="BC167" s="35"/>
      <c r="BD167" s="35"/>
      <c r="BE167" s="35"/>
      <c r="BF167" s="35"/>
      <c r="BG167" s="35"/>
    </row>
    <row r="168" ht="15.75" customHeight="1">
      <c r="A168" s="55" t="str">
        <f>IFERROR(__xludf.DUMMYFUNCTION("""COMPUTED_VALUE"""),"Instagram")</f>
        <v>Instagram</v>
      </c>
      <c r="B168" s="56">
        <f>IFERROR(__xludf.DUMMYFUNCTION("""COMPUTED_VALUE"""),46212.0)</f>
        <v>46212</v>
      </c>
      <c r="C168" s="55" t="str">
        <f>IFERROR(__xludf.DUMMYFUNCTION("""COMPUTED_VALUE"""),"July")</f>
        <v>July</v>
      </c>
      <c r="D168" s="58" t="str">
        <f>IFERROR(__xludf.DUMMYFUNCTION("""COMPUTED_VALUE"""),"https://www.instagram.com/reels/Dak2BmBxzTl/")</f>
        <v>https://www.instagram.com/reels/Dak2BmBxzTl/</v>
      </c>
      <c r="E168" s="55" t="str">
        <f>IFERROR(__xludf.DUMMYFUNCTION("""COMPUTED_VALUE"""),"@na")</f>
        <v>@na</v>
      </c>
      <c r="F168" s="55"/>
      <c r="G168" s="55" t="str">
        <f>IFERROR(__xludf.DUMMYFUNCTION("""COMPUTED_VALUE"""),"Taste")</f>
        <v>Taste</v>
      </c>
      <c r="H168" s="55"/>
      <c r="I168" s="55">
        <f>IFERROR(__xludf.DUMMYFUNCTION("""COMPUTED_VALUE"""),9.2)</f>
        <v>9.2</v>
      </c>
      <c r="J168" s="55" t="str">
        <f>IFERROR(__xludf.DUMMYFUNCTION("""COMPUTED_VALUE"""),"No – Not Recommended")</f>
        <v>No – Not Recommended</v>
      </c>
      <c r="K168" s="55" t="str">
        <f>IFERROR(__xludf.DUMMYFUNCTION("""COMPUTED_VALUE"""),"No")</f>
        <v>No</v>
      </c>
      <c r="L168" s="55" t="str">
        <f>IFERROR(__xludf.DUMMYFUNCTION("""COMPUTED_VALUE"""),"Score 9.6 &lt; 20 threshold")</f>
        <v>Score 9.6 &lt; 20 threshold</v>
      </c>
      <c r="M168" s="55" t="str">
        <f>IFERROR(__xludf.DUMMYFUNCTION("""COMPUTED_VALUE"""),"No Ad Data")</f>
        <v>No Ad Data</v>
      </c>
      <c r="N168" s="55"/>
      <c r="O168" s="55"/>
      <c r="P168" s="55">
        <f>IFERROR(__xludf.DUMMYFUNCTION("""COMPUTED_VALUE"""),39.0)</f>
        <v>39</v>
      </c>
      <c r="Q168" s="55">
        <f>IFERROR(__xludf.DUMMYFUNCTION("""COMPUTED_VALUE"""),2.0)</f>
        <v>2</v>
      </c>
      <c r="R168" s="55"/>
      <c r="S168" s="55"/>
      <c r="T168" s="55"/>
      <c r="U168" s="55"/>
      <c r="V168" s="55"/>
      <c r="W168" s="55">
        <f>IFERROR(__xludf.DUMMYFUNCTION("""COMPUTED_VALUE"""),117.58)</f>
        <v>117.58</v>
      </c>
      <c r="X168" s="55"/>
      <c r="Y168" s="55"/>
      <c r="Z168" s="55"/>
      <c r="AA168" s="55"/>
      <c r="AB168" s="55"/>
      <c r="AC168" s="55"/>
      <c r="AD168" s="55"/>
      <c r="AE168" s="55"/>
      <c r="AF168" s="55"/>
      <c r="AG168" s="55"/>
      <c r="AH168" s="55"/>
      <c r="AI168" s="55"/>
      <c r="AJ168" s="55"/>
      <c r="AK168" s="55"/>
      <c r="AL168" s="55"/>
      <c r="AM168" s="55" t="str">
        <f>IFERROR(__xludf.DUMMYFUNCTION("""COMPUTED_VALUE"""),"Q9jTBBZGOxT2jzAP8Ay40SGlsizUN7z75L1ZKuae5h_llavx2Ofpv5V2UwFFPIDc-A")</f>
        <v>Q9jTBBZGOxT2jzAP8Ay40SGlsizUN7z75L1ZKuae5h_llavx2Ofpv5V2UwFFPIDc-A</v>
      </c>
      <c r="AN168" s="55"/>
      <c r="AO168" s="55"/>
      <c r="AP168" s="55"/>
      <c r="AQ168" s="55"/>
      <c r="AR168" s="55"/>
      <c r="AS168" s="55"/>
      <c r="AT168" s="55"/>
      <c r="AU168" s="55"/>
      <c r="AV168" s="55"/>
      <c r="AW168" s="35"/>
      <c r="AX168" s="35"/>
      <c r="AY168" s="35"/>
      <c r="AZ168" s="35"/>
      <c r="BA168" s="35"/>
      <c r="BB168" s="35"/>
      <c r="BC168" s="35"/>
      <c r="BD168" s="35"/>
      <c r="BE168" s="35"/>
      <c r="BF168" s="35"/>
      <c r="BG168" s="35"/>
    </row>
    <row r="169" ht="15.75" customHeight="1">
      <c r="A169" s="55" t="str">
        <f>IFERROR(__xludf.DUMMYFUNCTION("""COMPUTED_VALUE"""),"Tiktok")</f>
        <v>Tiktok</v>
      </c>
      <c r="B169" s="56">
        <f>IFERROR(__xludf.DUMMYFUNCTION("""COMPUTED_VALUE"""),46213.0)</f>
        <v>46213</v>
      </c>
      <c r="C169" s="55" t="str">
        <f>IFERROR(__xludf.DUMMYFUNCTION("""COMPUTED_VALUE"""),"July")</f>
        <v>July</v>
      </c>
      <c r="D169" s="58" t="str">
        <f>IFERROR(__xludf.DUMMYFUNCTION("""COMPUTED_VALUE"""),"https://www.tiktok.com/@yo_conecto/video/7659522745050483998")</f>
        <v>https://www.tiktok.com/@yo_conecto/video/7659522745050483998</v>
      </c>
      <c r="E169" s="55" t="str">
        <f>IFERROR(__xludf.DUMMYFUNCTION("""COMPUTED_VALUE"""),"@yo_conecto")</f>
        <v>@yo_conecto</v>
      </c>
      <c r="F169" s="55"/>
      <c r="G169" s="55" t="str">
        <f>IFERROR(__xludf.DUMMYFUNCTION("""COMPUTED_VALUE"""),"Mushroom Trend")</f>
        <v>Mushroom Trend</v>
      </c>
      <c r="H169" s="55"/>
      <c r="I169" s="55">
        <f>IFERROR(__xludf.DUMMYFUNCTION("""COMPUTED_VALUE"""),7.1)</f>
        <v>7.1</v>
      </c>
      <c r="J169" s="55" t="str">
        <f>IFERROR(__xludf.DUMMYFUNCTION("""COMPUTED_VALUE"""),"No – Not Recommended")</f>
        <v>No – Not Recommended</v>
      </c>
      <c r="K169" s="55" t="str">
        <f>IFERROR(__xludf.DUMMYFUNCTION("""COMPUTED_VALUE"""),"No")</f>
        <v>No</v>
      </c>
      <c r="L169" s="55" t="str">
        <f>IFERROR(__xludf.DUMMYFUNCTION("""COMPUTED_VALUE"""),"Score 8.6 &lt; 30 threshold")</f>
        <v>Score 8.6 &lt; 30 threshold</v>
      </c>
      <c r="M169" s="55" t="str">
        <f>IFERROR(__xludf.DUMMYFUNCTION("""COMPUTED_VALUE"""),"No Ad Data")</f>
        <v>No Ad Data</v>
      </c>
      <c r="N169" s="55"/>
      <c r="O169" s="55"/>
      <c r="P169" s="55">
        <f>IFERROR(__xludf.DUMMYFUNCTION("""COMPUTED_VALUE"""),62.0)</f>
        <v>62</v>
      </c>
      <c r="Q169" s="55"/>
      <c r="R169" s="55">
        <f>IFERROR(__xludf.DUMMYFUNCTION("""COMPUTED_VALUE"""),1.0)</f>
        <v>1</v>
      </c>
      <c r="S169" s="55"/>
      <c r="T169" s="55"/>
      <c r="U169" s="55"/>
      <c r="V169" s="55"/>
      <c r="W169" s="55">
        <f>IFERROR(__xludf.DUMMYFUNCTION("""COMPUTED_VALUE"""),117.58)</f>
        <v>117.58</v>
      </c>
      <c r="X169" s="55"/>
      <c r="Y169" s="55"/>
      <c r="Z169" s="55"/>
      <c r="AA169" s="55"/>
      <c r="AB169" s="55"/>
      <c r="AC169" s="55"/>
      <c r="AD169" s="55"/>
      <c r="AE169" s="55"/>
      <c r="AF169" s="55"/>
      <c r="AG169" s="55"/>
      <c r="AH169" s="55"/>
      <c r="AI169" s="55"/>
      <c r="AJ169" s="55"/>
      <c r="AK169" s="55"/>
      <c r="AL169" s="55"/>
      <c r="AM169" s="55" t="str">
        <f>IFERROR(__xludf.DUMMYFUNCTION("""COMPUTED_VALUE"""),"#U1nZ7rRvjyaxXiiMDI+9cPdO+9qVCas8roASQzcqbiWlz4QRF31efxWSIrHJtvI=")</f>
        <v>#U1nZ7rRvjyaxXiiMDI+9cPdO+9qVCas8roASQzcqbiWlz4QRF31efxWSIrHJtvI=</v>
      </c>
      <c r="AN169" s="55"/>
      <c r="AO169" s="55"/>
      <c r="AP169" s="55"/>
      <c r="AQ169" s="55"/>
      <c r="AR169" s="55"/>
      <c r="AS169" s="55"/>
      <c r="AT169" s="55"/>
      <c r="AU169" s="55"/>
      <c r="AV169" s="55"/>
      <c r="AW169" s="35"/>
      <c r="AX169" s="35"/>
      <c r="AY169" s="35"/>
      <c r="AZ169" s="35"/>
      <c r="BA169" s="35"/>
      <c r="BB169" s="35"/>
      <c r="BC169" s="35"/>
      <c r="BD169" s="35"/>
      <c r="BE169" s="35"/>
      <c r="BF169" s="35"/>
      <c r="BG169" s="35"/>
    </row>
    <row r="170" ht="15.75" customHeight="1">
      <c r="A170" s="55" t="str">
        <f>IFERROR(__xludf.DUMMYFUNCTION("""COMPUTED_VALUE"""),"Instagram")</f>
        <v>Instagram</v>
      </c>
      <c r="B170" s="56">
        <f>IFERROR(__xludf.DUMMYFUNCTION("""COMPUTED_VALUE"""),46206.0)</f>
        <v>46206</v>
      </c>
      <c r="C170" s="55" t="str">
        <f>IFERROR(__xludf.DUMMYFUNCTION("""COMPUTED_VALUE"""),"July")</f>
        <v>July</v>
      </c>
      <c r="D170" s="58" t="str">
        <f>IFERROR(__xludf.DUMMYFUNCTION("""COMPUTED_VALUE"""),"https://www.instagram.com/reel/DaS3gFotEEA/")</f>
        <v>https://www.instagram.com/reel/DaS3gFotEEA/</v>
      </c>
      <c r="E170" s="55" t="str">
        <f>IFERROR(__xludf.DUMMYFUNCTION("""COMPUTED_VALUE"""),"@na")</f>
        <v>@na</v>
      </c>
      <c r="F170" s="55"/>
      <c r="G170" s="55" t="str">
        <f>IFERROR(__xludf.DUMMYFUNCTION("""COMPUTED_VALUE"""),"Countering Mushroom Coffee Trend")</f>
        <v>Countering Mushroom Coffee Trend</v>
      </c>
      <c r="H170" s="55"/>
      <c r="I170" s="55">
        <f>IFERROR(__xludf.DUMMYFUNCTION("""COMPUTED_VALUE"""),8.0)</f>
        <v>8</v>
      </c>
      <c r="J170" s="55" t="str">
        <f>IFERROR(__xludf.DUMMYFUNCTION("""COMPUTED_VALUE"""),"No – Not Recommended")</f>
        <v>No – Not Recommended</v>
      </c>
      <c r="K170" s="55" t="str">
        <f>IFERROR(__xludf.DUMMYFUNCTION("""COMPUTED_VALUE"""),"No")</f>
        <v>No</v>
      </c>
      <c r="L170" s="55" t="str">
        <f>IFERROR(__xludf.DUMMYFUNCTION("""COMPUTED_VALUE"""),"Score 8.3 &lt; 20 threshold")</f>
        <v>Score 8.3 &lt; 20 threshold</v>
      </c>
      <c r="M170" s="55" t="str">
        <f>IFERROR(__xludf.DUMMYFUNCTION("""COMPUTED_VALUE"""),"No Ad Data")</f>
        <v>No Ad Data</v>
      </c>
      <c r="N170" s="55"/>
      <c r="O170" s="55"/>
      <c r="P170" s="55">
        <f>IFERROR(__xludf.DUMMYFUNCTION("""COMPUTED_VALUE"""),39.0)</f>
        <v>39</v>
      </c>
      <c r="Q170" s="55">
        <f>IFERROR(__xludf.DUMMYFUNCTION("""COMPUTED_VALUE"""),1.0)</f>
        <v>1</v>
      </c>
      <c r="R170" s="55"/>
      <c r="S170" s="55"/>
      <c r="T170" s="55"/>
      <c r="U170" s="55"/>
      <c r="V170" s="55"/>
      <c r="W170" s="55">
        <f>IFERROR(__xludf.DUMMYFUNCTION("""COMPUTED_VALUE"""),117.58)</f>
        <v>117.58</v>
      </c>
      <c r="X170" s="55"/>
      <c r="Y170" s="55"/>
      <c r="Z170" s="55"/>
      <c r="AA170" s="55"/>
      <c r="AB170" s="55"/>
      <c r="AC170" s="55"/>
      <c r="AD170" s="55"/>
      <c r="AE170" s="55"/>
      <c r="AF170" s="55"/>
      <c r="AG170" s="55"/>
      <c r="AH170" s="55"/>
      <c r="AI170" s="55"/>
      <c r="AJ170" s="55"/>
      <c r="AK170" s="55"/>
      <c r="AL170" s="55"/>
      <c r="AM170" s="55" t="str">
        <f>IFERROR(__xludf.DUMMYFUNCTION("""COMPUTED_VALUE"""),"Q9jTBBWNsXahYvcYFLfSL6HAxKqhRlxJmX1Q8xbLVSYfZ1bkVAS6AnaFsKs0tHIAO0I")</f>
        <v>Q9jTBBWNsXahYvcYFLfSL6HAxKqhRlxJmX1Q8xbLVSYfZ1bkVAS6AnaFsKs0tHIAO0I</v>
      </c>
      <c r="AN170" s="55"/>
      <c r="AO170" s="55"/>
      <c r="AP170" s="55"/>
      <c r="AQ170" s="55"/>
      <c r="AR170" s="55"/>
      <c r="AS170" s="55"/>
      <c r="AT170" s="55"/>
      <c r="AU170" s="55"/>
      <c r="AV170" s="55"/>
      <c r="AW170" s="35"/>
      <c r="AX170" s="35"/>
      <c r="AY170" s="35"/>
      <c r="AZ170" s="35"/>
      <c r="BA170" s="35"/>
      <c r="BB170" s="35"/>
      <c r="BC170" s="35"/>
      <c r="BD170" s="35"/>
      <c r="BE170" s="35"/>
      <c r="BF170" s="35"/>
      <c r="BG170" s="35"/>
    </row>
    <row r="171" ht="15.75" customHeight="1">
      <c r="A171" s="55" t="str">
        <f>IFERROR(__xludf.DUMMYFUNCTION("""COMPUTED_VALUE"""),"Instagram")</f>
        <v>Instagram</v>
      </c>
      <c r="B171" s="56">
        <f>IFERROR(__xludf.DUMMYFUNCTION("""COMPUTED_VALUE"""),46212.0)</f>
        <v>46212</v>
      </c>
      <c r="C171" s="55" t="str">
        <f>IFERROR(__xludf.DUMMYFUNCTION("""COMPUTED_VALUE"""),"July")</f>
        <v>July</v>
      </c>
      <c r="D171" s="58" t="str">
        <f>IFERROR(__xludf.DUMMYFUNCTION("""COMPUTED_VALUE"""),"https://www.instagram.com/p/DalmncpuPQo/")</f>
        <v>https://www.instagram.com/p/DalmncpuPQo/</v>
      </c>
      <c r="E171" s="55" t="str">
        <f>IFERROR(__xludf.DUMMYFUNCTION("""COMPUTED_VALUE"""),"@na")</f>
        <v>@na</v>
      </c>
      <c r="F171" s="55"/>
      <c r="G171" s="55" t="str">
        <f>IFERROR(__xludf.DUMMYFUNCTION("""COMPUTED_VALUE"""),"Mushroom Trend")</f>
        <v>Mushroom Trend</v>
      </c>
      <c r="H171" s="55"/>
      <c r="I171" s="55">
        <f>IFERROR(__xludf.DUMMYFUNCTION("""COMPUTED_VALUE"""),8.0)</f>
        <v>8</v>
      </c>
      <c r="J171" s="55" t="str">
        <f>IFERROR(__xludf.DUMMYFUNCTION("""COMPUTED_VALUE"""),"No – Not Recommended")</f>
        <v>No – Not Recommended</v>
      </c>
      <c r="K171" s="55" t="str">
        <f>IFERROR(__xludf.DUMMYFUNCTION("""COMPUTED_VALUE"""),"No")</f>
        <v>No</v>
      </c>
      <c r="L171" s="55" t="str">
        <f>IFERROR(__xludf.DUMMYFUNCTION("""COMPUTED_VALUE"""),"Score 8.2 &lt; 20 threshold")</f>
        <v>Score 8.2 &lt; 20 threshold</v>
      </c>
      <c r="M171" s="55" t="str">
        <f>IFERROR(__xludf.DUMMYFUNCTION("""COMPUTED_VALUE"""),"No Ad Data")</f>
        <v>No Ad Data</v>
      </c>
      <c r="N171" s="55"/>
      <c r="O171" s="55"/>
      <c r="P171" s="55">
        <f>IFERROR(__xludf.DUMMYFUNCTION("""COMPUTED_VALUE"""),38.0)</f>
        <v>38</v>
      </c>
      <c r="Q171" s="55">
        <f>IFERROR(__xludf.DUMMYFUNCTION("""COMPUTED_VALUE"""),1.0)</f>
        <v>1</v>
      </c>
      <c r="R171" s="55"/>
      <c r="S171" s="55"/>
      <c r="T171" s="55"/>
      <c r="U171" s="55"/>
      <c r="V171" s="55"/>
      <c r="W171" s="55">
        <f>IFERROR(__xludf.DUMMYFUNCTION("""COMPUTED_VALUE"""),117.58)</f>
        <v>117.58</v>
      </c>
      <c r="X171" s="55"/>
      <c r="Y171" s="55"/>
      <c r="Z171" s="55"/>
      <c r="AA171" s="55"/>
      <c r="AB171" s="55"/>
      <c r="AC171" s="55"/>
      <c r="AD171" s="55"/>
      <c r="AE171" s="55"/>
      <c r="AF171" s="55"/>
      <c r="AG171" s="55"/>
      <c r="AH171" s="55"/>
      <c r="AI171" s="55"/>
      <c r="AJ171" s="55"/>
      <c r="AK171" s="55"/>
      <c r="AL171" s="55"/>
      <c r="AM171" s="55" t="str">
        <f>IFERROR(__xludf.DUMMYFUNCTION("""COMPUTED_VALUE"""),"Q9jTBBZv_86rLBUN_jGTH2MLwF9mXkPDX_GyQJxIMM8E82nMnr5O1srA3gMCLVpXgJM")</f>
        <v>Q9jTBBZv_86rLBUN_jGTH2MLwF9mXkPDX_GyQJxIMM8E82nMnr5O1srA3gMCLVpXgJM</v>
      </c>
      <c r="AN171" s="55"/>
      <c r="AO171" s="55"/>
      <c r="AP171" s="55"/>
      <c r="AQ171" s="55"/>
      <c r="AR171" s="55"/>
      <c r="AS171" s="55"/>
      <c r="AT171" s="55"/>
      <c r="AU171" s="55"/>
      <c r="AV171" s="55"/>
      <c r="AW171" s="35"/>
      <c r="AX171" s="35"/>
      <c r="AY171" s="35"/>
      <c r="AZ171" s="35"/>
      <c r="BA171" s="35"/>
      <c r="BB171" s="35"/>
      <c r="BC171" s="35"/>
      <c r="BD171" s="35"/>
      <c r="BE171" s="35"/>
      <c r="BF171" s="35"/>
      <c r="BG171" s="35"/>
    </row>
    <row r="172" ht="15.75" customHeight="1">
      <c r="A172" s="55" t="str">
        <f>IFERROR(__xludf.DUMMYFUNCTION("""COMPUTED_VALUE"""),"Tiktok")</f>
        <v>Tiktok</v>
      </c>
      <c r="B172" s="56">
        <f>IFERROR(__xludf.DUMMYFUNCTION("""COMPUTED_VALUE"""),46212.0)</f>
        <v>46212</v>
      </c>
      <c r="C172" s="55" t="str">
        <f>IFERROR(__xludf.DUMMYFUNCTION("""COMPUTED_VALUE"""),"July")</f>
        <v>July</v>
      </c>
      <c r="D172" s="58" t="str">
        <f>IFERROR(__xludf.DUMMYFUNCTION("""COMPUTED_VALUE"""),"https://www.tiktok.com/@kendraconnelly77/video/7660497940321963278")</f>
        <v>https://www.tiktok.com/@kendraconnelly77/video/7660497940321963278</v>
      </c>
      <c r="E172" s="55" t="str">
        <f>IFERROR(__xludf.DUMMYFUNCTION("""COMPUTED_VALUE"""),"@kendraconnelly77")</f>
        <v>@kendraconnelly77</v>
      </c>
      <c r="F172" s="55"/>
      <c r="G172" s="55" t="str">
        <f>IFERROR(__xludf.DUMMYFUNCTION("""COMPUTED_VALUE"""),"Taste")</f>
        <v>Taste</v>
      </c>
      <c r="H172" s="55"/>
      <c r="I172" s="55">
        <f>IFERROR(__xludf.DUMMYFUNCTION("""COMPUTED_VALUE"""),6.9)</f>
        <v>6.9</v>
      </c>
      <c r="J172" s="55" t="str">
        <f>IFERROR(__xludf.DUMMYFUNCTION("""COMPUTED_VALUE"""),"No – Not Recommended")</f>
        <v>No – Not Recommended</v>
      </c>
      <c r="K172" s="55" t="str">
        <f>IFERROR(__xludf.DUMMYFUNCTION("""COMPUTED_VALUE"""),"No")</f>
        <v>No</v>
      </c>
      <c r="L172" s="55" t="str">
        <f>IFERROR(__xludf.DUMMYFUNCTION("""COMPUTED_VALUE"""),"Score 7.7 &lt; 30 threshold")</f>
        <v>Score 7.7 &lt; 30 threshold</v>
      </c>
      <c r="M172" s="55" t="str">
        <f>IFERROR(__xludf.DUMMYFUNCTION("""COMPUTED_VALUE"""),"No Ad Data")</f>
        <v>No Ad Data</v>
      </c>
      <c r="N172" s="55"/>
      <c r="O172" s="55"/>
      <c r="P172" s="55">
        <f>IFERROR(__xludf.DUMMYFUNCTION("""COMPUTED_VALUE"""),36.0)</f>
        <v>36</v>
      </c>
      <c r="Q172" s="55">
        <f>IFERROR(__xludf.DUMMYFUNCTION("""COMPUTED_VALUE"""),5.0)</f>
        <v>5</v>
      </c>
      <c r="R172" s="55">
        <f>IFERROR(__xludf.DUMMYFUNCTION("""COMPUTED_VALUE"""),3.0)</f>
        <v>3</v>
      </c>
      <c r="S172" s="55"/>
      <c r="T172" s="55"/>
      <c r="U172" s="55"/>
      <c r="V172" s="55"/>
      <c r="W172" s="55">
        <f>IFERROR(__xludf.DUMMYFUNCTION("""COMPUTED_VALUE"""),117.58)</f>
        <v>117.58</v>
      </c>
      <c r="X172" s="55"/>
      <c r="Y172" s="55"/>
      <c r="Z172" s="55"/>
      <c r="AA172" s="55"/>
      <c r="AB172" s="55"/>
      <c r="AC172" s="55"/>
      <c r="AD172" s="55"/>
      <c r="AE172" s="55"/>
      <c r="AF172" s="55"/>
      <c r="AG172" s="55"/>
      <c r="AH172" s="55"/>
      <c r="AI172" s="55"/>
      <c r="AJ172" s="55"/>
      <c r="AK172" s="55"/>
      <c r="AL172" s="55"/>
      <c r="AM172" s="55" t="str">
        <f>IFERROR(__xludf.DUMMYFUNCTION("""COMPUTED_VALUE"""),"#pllHvoGYoNolzMkPJh6edTVsNcGg3cZNo+RKAyb/cj+Ukn6XLDOMU03neFIZjhw=")</f>
        <v>#pllHvoGYoNolzMkPJh6edTVsNcGg3cZNo+RKAyb/cj+Ukn6XLDOMU03neFIZjhw=</v>
      </c>
      <c r="AN172" s="55"/>
      <c r="AO172" s="55"/>
      <c r="AP172" s="55"/>
      <c r="AQ172" s="55"/>
      <c r="AR172" s="55"/>
      <c r="AS172" s="55"/>
      <c r="AT172" s="55"/>
      <c r="AU172" s="55"/>
      <c r="AV172" s="55"/>
      <c r="AW172" s="35"/>
      <c r="AX172" s="35"/>
      <c r="AY172" s="35"/>
      <c r="AZ172" s="35"/>
      <c r="BA172" s="35"/>
      <c r="BB172" s="35"/>
      <c r="BC172" s="35"/>
      <c r="BD172" s="35"/>
      <c r="BE172" s="35"/>
      <c r="BF172" s="35"/>
      <c r="BG172" s="35"/>
    </row>
    <row r="173" ht="15.75" customHeight="1">
      <c r="A173" s="55" t="str">
        <f>IFERROR(__xludf.DUMMYFUNCTION("""COMPUTED_VALUE"""),"Tiktok")</f>
        <v>Tiktok</v>
      </c>
      <c r="B173" s="56">
        <f>IFERROR(__xludf.DUMMYFUNCTION("""COMPUTED_VALUE"""),46213.0)</f>
        <v>46213</v>
      </c>
      <c r="C173" s="55" t="str">
        <f>IFERROR(__xludf.DUMMYFUNCTION("""COMPUTED_VALUE"""),"July")</f>
        <v>July</v>
      </c>
      <c r="D173" s="58" t="str">
        <f>IFERROR(__xludf.DUMMYFUNCTION("""COMPUTED_VALUE"""),"https://www.tiktok.com/@astoldbybri2/video/7660648729170447630")</f>
        <v>https://www.tiktok.com/@astoldbybri2/video/7660648729170447630</v>
      </c>
      <c r="E173" s="55" t="str">
        <f>IFERROR(__xludf.DUMMYFUNCTION("""COMPUTED_VALUE"""),"@astoldbybri2")</f>
        <v>@astoldbybri2</v>
      </c>
      <c r="F173" s="55"/>
      <c r="G173" s="55" t="str">
        <f>IFERROR(__xludf.DUMMYFUNCTION("""COMPUTED_VALUE"""),"Mushroom Trend")</f>
        <v>Mushroom Trend</v>
      </c>
      <c r="H173" s="55"/>
      <c r="I173" s="55">
        <f>IFERROR(__xludf.DUMMYFUNCTION("""COMPUTED_VALUE"""),6.6)</f>
        <v>6.6</v>
      </c>
      <c r="J173" s="55" t="str">
        <f>IFERROR(__xludf.DUMMYFUNCTION("""COMPUTED_VALUE"""),"No – Not Recommended")</f>
        <v>No – Not Recommended</v>
      </c>
      <c r="K173" s="55" t="str">
        <f>IFERROR(__xludf.DUMMYFUNCTION("""COMPUTED_VALUE"""),"No")</f>
        <v>No</v>
      </c>
      <c r="L173" s="55" t="str">
        <f>IFERROR(__xludf.DUMMYFUNCTION("""COMPUTED_VALUE"""),"Score 7.5 &lt; 30 threshold")</f>
        <v>Score 7.5 &lt; 30 threshold</v>
      </c>
      <c r="M173" s="55" t="str">
        <f>IFERROR(__xludf.DUMMYFUNCTION("""COMPUTED_VALUE"""),"No Ad Data")</f>
        <v>No Ad Data</v>
      </c>
      <c r="N173" s="55"/>
      <c r="O173" s="55"/>
      <c r="P173" s="55">
        <f>IFERROR(__xludf.DUMMYFUNCTION("""COMPUTED_VALUE"""),47.0)</f>
        <v>47</v>
      </c>
      <c r="Q173" s="55">
        <f>IFERROR(__xludf.DUMMYFUNCTION("""COMPUTED_VALUE"""),4.0)</f>
        <v>4</v>
      </c>
      <c r="R173" s="55">
        <f>IFERROR(__xludf.DUMMYFUNCTION("""COMPUTED_VALUE"""),2.0)</f>
        <v>2</v>
      </c>
      <c r="S173" s="55"/>
      <c r="T173" s="55"/>
      <c r="U173" s="55"/>
      <c r="V173" s="55"/>
      <c r="W173" s="55">
        <f>IFERROR(__xludf.DUMMYFUNCTION("""COMPUTED_VALUE"""),117.58)</f>
        <v>117.58</v>
      </c>
      <c r="X173" s="55"/>
      <c r="Y173" s="55"/>
      <c r="Z173" s="55"/>
      <c r="AA173" s="55"/>
      <c r="AB173" s="55"/>
      <c r="AC173" s="55"/>
      <c r="AD173" s="55"/>
      <c r="AE173" s="55"/>
      <c r="AF173" s="55"/>
      <c r="AG173" s="55"/>
      <c r="AH173" s="55"/>
      <c r="AI173" s="55"/>
      <c r="AJ173" s="55"/>
      <c r="AK173" s="55"/>
      <c r="AL173" s="55"/>
      <c r="AM173" s="55" t="str">
        <f>IFERROR(__xludf.DUMMYFUNCTION("""COMPUTED_VALUE"""),"#p87IikWy0T9B4Duhik4lpH340DofKKw8zqEV76fLrUmaGLVUxhx+zVlDfjeN0ng=")</f>
        <v>#p87IikWy0T9B4Duhik4lpH340DofKKw8zqEV76fLrUmaGLVUxhx+zVlDfjeN0ng=</v>
      </c>
      <c r="AN173" s="55"/>
      <c r="AO173" s="55"/>
      <c r="AP173" s="55"/>
      <c r="AQ173" s="55"/>
      <c r="AR173" s="55"/>
      <c r="AS173" s="55"/>
      <c r="AT173" s="55"/>
      <c r="AU173" s="55"/>
      <c r="AV173" s="55"/>
      <c r="AW173" s="35"/>
      <c r="AX173" s="35"/>
      <c r="AY173" s="35"/>
      <c r="AZ173" s="35"/>
      <c r="BA173" s="35"/>
      <c r="BB173" s="35"/>
      <c r="BC173" s="35"/>
      <c r="BD173" s="35"/>
      <c r="BE173" s="35"/>
      <c r="BF173" s="35"/>
      <c r="BG173" s="35"/>
    </row>
    <row r="174" ht="15.75" customHeight="1">
      <c r="A174" s="55" t="str">
        <f>IFERROR(__xludf.DUMMYFUNCTION("""COMPUTED_VALUE"""),"Instagram")</f>
        <v>Instagram</v>
      </c>
      <c r="B174" s="56">
        <f>IFERROR(__xludf.DUMMYFUNCTION("""COMPUTED_VALUE"""),46204.0)</f>
        <v>46204</v>
      </c>
      <c r="C174" s="55" t="str">
        <f>IFERROR(__xludf.DUMMYFUNCTION("""COMPUTED_VALUE"""),"July")</f>
        <v>July</v>
      </c>
      <c r="D174" s="58" t="str">
        <f>IFERROR(__xludf.DUMMYFUNCTION("""COMPUTED_VALUE"""),"https://www.instagram.com/reel/DaQCXZcxeJg/")</f>
        <v>https://www.instagram.com/reel/DaQCXZcxeJg/</v>
      </c>
      <c r="E174" s="55" t="str">
        <f>IFERROR(__xludf.DUMMYFUNCTION("""COMPUTED_VALUE"""),"@na")</f>
        <v>@na</v>
      </c>
      <c r="F174" s="55"/>
      <c r="G174" s="55" t="str">
        <f>IFERROR(__xludf.DUMMYFUNCTION("""COMPUTED_VALUE"""),"Taste")</f>
        <v>Taste</v>
      </c>
      <c r="H174" s="55"/>
      <c r="I174" s="55">
        <f>IFERROR(__xludf.DUMMYFUNCTION("""COMPUTED_VALUE"""),7.1)</f>
        <v>7.1</v>
      </c>
      <c r="J174" s="55" t="str">
        <f>IFERROR(__xludf.DUMMYFUNCTION("""COMPUTED_VALUE"""),"No – Not Recommended")</f>
        <v>No – Not Recommended</v>
      </c>
      <c r="K174" s="55" t="str">
        <f>IFERROR(__xludf.DUMMYFUNCTION("""COMPUTED_VALUE"""),"No")</f>
        <v>No</v>
      </c>
      <c r="L174" s="55" t="str">
        <f>IFERROR(__xludf.DUMMYFUNCTION("""COMPUTED_VALUE"""),"Score 7.1 &lt; 20 threshold")</f>
        <v>Score 7.1 &lt; 20 threshold</v>
      </c>
      <c r="M174" s="55" t="str">
        <f>IFERROR(__xludf.DUMMYFUNCTION("""COMPUTED_VALUE"""),"No Ad Data")</f>
        <v>No Ad Data</v>
      </c>
      <c r="N174" s="55"/>
      <c r="O174" s="55"/>
      <c r="P174" s="55">
        <f>IFERROR(__xludf.DUMMYFUNCTION("""COMPUTED_VALUE"""),75.0)</f>
        <v>75</v>
      </c>
      <c r="Q174" s="55"/>
      <c r="R174" s="55"/>
      <c r="S174" s="55"/>
      <c r="T174" s="55"/>
      <c r="U174" s="55"/>
      <c r="V174" s="55"/>
      <c r="W174" s="55">
        <f>IFERROR(__xludf.DUMMYFUNCTION("""COMPUTED_VALUE"""),117.58)</f>
        <v>117.58</v>
      </c>
      <c r="X174" s="55"/>
      <c r="Y174" s="55"/>
      <c r="Z174" s="55"/>
      <c r="AA174" s="55"/>
      <c r="AB174" s="55"/>
      <c r="AC174" s="55"/>
      <c r="AD174" s="55"/>
      <c r="AE174" s="55"/>
      <c r="AF174" s="55"/>
      <c r="AG174" s="55"/>
      <c r="AH174" s="55"/>
      <c r="AI174" s="55"/>
      <c r="AJ174" s="55"/>
      <c r="AK174" s="55"/>
      <c r="AL174" s="55"/>
      <c r="AM174" s="55" t="str">
        <f>IFERROR(__xludf.DUMMYFUNCTION("""COMPUTED_VALUE"""),"Q9jTBBVqN80s4a90Y7u4zXkhZ2mr61tqFVNBiSj9nbm6A6jVfaRLx2Nq3Avq7jKpUA")</f>
        <v>Q9jTBBVqN80s4a90Y7u4zXkhZ2mr61tqFVNBiSj9nbm6A6jVfaRLx2Nq3Avq7jKpUA</v>
      </c>
      <c r="AN174" s="55"/>
      <c r="AO174" s="55"/>
      <c r="AP174" s="55"/>
      <c r="AQ174" s="55"/>
      <c r="AR174" s="55"/>
      <c r="AS174" s="55"/>
      <c r="AT174" s="55"/>
      <c r="AU174" s="55"/>
      <c r="AV174" s="55"/>
      <c r="AW174" s="35"/>
      <c r="AX174" s="35"/>
      <c r="AY174" s="35"/>
      <c r="AZ174" s="35"/>
      <c r="BA174" s="35"/>
      <c r="BB174" s="35"/>
      <c r="BC174" s="35"/>
      <c r="BD174" s="35"/>
      <c r="BE174" s="35"/>
      <c r="BF174" s="35"/>
      <c r="BG174" s="35"/>
    </row>
    <row r="175" ht="15.75" customHeight="1">
      <c r="A175" s="55" t="str">
        <f>IFERROR(__xludf.DUMMYFUNCTION("""COMPUTED_VALUE"""),"Tiktok")</f>
        <v>Tiktok</v>
      </c>
      <c r="B175" s="56">
        <f>IFERROR(__xludf.DUMMYFUNCTION("""COMPUTED_VALUE"""),46212.0)</f>
        <v>46212</v>
      </c>
      <c r="C175" s="55" t="str">
        <f>IFERROR(__xludf.DUMMYFUNCTION("""COMPUTED_VALUE"""),"July")</f>
        <v>July</v>
      </c>
      <c r="D175" s="58" t="str">
        <f>IFERROR(__xludf.DUMMYFUNCTION("""COMPUTED_VALUE"""),"https://www.tiktok.com/@liz63785/video/7660524617316011294")</f>
        <v>https://www.tiktok.com/@liz63785/video/7660524617316011294</v>
      </c>
      <c r="E175" s="55" t="str">
        <f>IFERROR(__xludf.DUMMYFUNCTION("""COMPUTED_VALUE"""),"@liz63785")</f>
        <v>@liz63785</v>
      </c>
      <c r="F175" s="55"/>
      <c r="G175" s="55" t="str">
        <f>IFERROR(__xludf.DUMMYFUNCTION("""COMPUTED_VALUE"""),"Over 40/ High Performer")</f>
        <v>Over 40/ High Performer</v>
      </c>
      <c r="H175" s="55"/>
      <c r="I175" s="55">
        <f>IFERROR(__xludf.DUMMYFUNCTION("""COMPUTED_VALUE"""),5.4)</f>
        <v>5.4</v>
      </c>
      <c r="J175" s="55" t="str">
        <f>IFERROR(__xludf.DUMMYFUNCTION("""COMPUTED_VALUE"""),"No – Not Recommended")</f>
        <v>No – Not Recommended</v>
      </c>
      <c r="K175" s="55" t="str">
        <f>IFERROR(__xludf.DUMMYFUNCTION("""COMPUTED_VALUE"""),"No")</f>
        <v>No</v>
      </c>
      <c r="L175" s="55" t="str">
        <f>IFERROR(__xludf.DUMMYFUNCTION("""COMPUTED_VALUE"""),"Score 7.0 &lt; 30 threshold")</f>
        <v>Score 7.0 &lt; 30 threshold</v>
      </c>
      <c r="M175" s="55" t="str">
        <f>IFERROR(__xludf.DUMMYFUNCTION("""COMPUTED_VALUE"""),"No Ad Data")</f>
        <v>No Ad Data</v>
      </c>
      <c r="N175" s="55"/>
      <c r="O175" s="55"/>
      <c r="P175" s="55">
        <f>IFERROR(__xludf.DUMMYFUNCTION("""COMPUTED_VALUE"""),83.0)</f>
        <v>83</v>
      </c>
      <c r="Q175" s="55"/>
      <c r="R175" s="55"/>
      <c r="S175" s="55"/>
      <c r="T175" s="55"/>
      <c r="U175" s="55"/>
      <c r="V175" s="55"/>
      <c r="W175" s="55">
        <f>IFERROR(__xludf.DUMMYFUNCTION("""COMPUTED_VALUE"""),117.58)</f>
        <v>117.58</v>
      </c>
      <c r="X175" s="55"/>
      <c r="Y175" s="55"/>
      <c r="Z175" s="55"/>
      <c r="AA175" s="55"/>
      <c r="AB175" s="55"/>
      <c r="AC175" s="55"/>
      <c r="AD175" s="55"/>
      <c r="AE175" s="55"/>
      <c r="AF175" s="55"/>
      <c r="AG175" s="55"/>
      <c r="AH175" s="55"/>
      <c r="AI175" s="55"/>
      <c r="AJ175" s="55"/>
      <c r="AK175" s="55"/>
      <c r="AL175" s="55"/>
      <c r="AM175" s="55" t="str">
        <f>IFERROR(__xludf.DUMMYFUNCTION("""COMPUTED_VALUE"""),"#1y2zYame6evXIa5zvIiuUDS3jkGTYoM8X5QNZN30osy9fu1e0WW2f8o2ZFdgl+c=")</f>
        <v>#1y2zYame6evXIa5zvIiuUDS3jkGTYoM8X5QNZN30osy9fu1e0WW2f8o2ZFdgl+c=</v>
      </c>
      <c r="AN175" s="55"/>
      <c r="AO175" s="55"/>
      <c r="AP175" s="55"/>
      <c r="AQ175" s="55"/>
      <c r="AR175" s="55"/>
      <c r="AS175" s="55"/>
      <c r="AT175" s="55"/>
      <c r="AU175" s="55"/>
      <c r="AV175" s="55"/>
      <c r="AW175" s="35"/>
      <c r="AX175" s="35"/>
      <c r="AY175" s="35"/>
      <c r="AZ175" s="35"/>
      <c r="BA175" s="35"/>
      <c r="BB175" s="35"/>
      <c r="BC175" s="35"/>
      <c r="BD175" s="35"/>
      <c r="BE175" s="35"/>
      <c r="BF175" s="35"/>
      <c r="BG175" s="35"/>
    </row>
    <row r="176" ht="15.75" customHeight="1">
      <c r="A176" s="55" t="str">
        <f>IFERROR(__xludf.DUMMYFUNCTION("""COMPUTED_VALUE"""),"Tiktok")</f>
        <v>Tiktok</v>
      </c>
      <c r="B176" s="56">
        <f>IFERROR(__xludf.DUMMYFUNCTION("""COMPUTED_VALUE"""),46205.0)</f>
        <v>46205</v>
      </c>
      <c r="C176" s="55" t="str">
        <f>IFERROR(__xludf.DUMMYFUNCTION("""COMPUTED_VALUE"""),"July")</f>
        <v>July</v>
      </c>
      <c r="D176" s="58" t="str">
        <f>IFERROR(__xludf.DUMMYFUNCTION("""COMPUTED_VALUE"""),"https://www.tiktok.com/@are.wahoo/video/7655005795507096846")</f>
        <v>https://www.tiktok.com/@are.wahoo/video/7655005795507096846</v>
      </c>
      <c r="E176" s="55" t="str">
        <f>IFERROR(__xludf.DUMMYFUNCTION("""COMPUTED_VALUE"""),"@are.wahoo")</f>
        <v>@are.wahoo</v>
      </c>
      <c r="F176" s="55"/>
      <c r="G176" s="55" t="str">
        <f>IFERROR(__xludf.DUMMYFUNCTION("""COMPUTED_VALUE"""),"Cortisol")</f>
        <v>Cortisol</v>
      </c>
      <c r="H176" s="55"/>
      <c r="I176" s="55">
        <f>IFERROR(__xludf.DUMMYFUNCTION("""COMPUTED_VALUE"""),5.3)</f>
        <v>5.3</v>
      </c>
      <c r="J176" s="55" t="str">
        <f>IFERROR(__xludf.DUMMYFUNCTION("""COMPUTED_VALUE"""),"No – Not Recommended")</f>
        <v>No – Not Recommended</v>
      </c>
      <c r="K176" s="55" t="str">
        <f>IFERROR(__xludf.DUMMYFUNCTION("""COMPUTED_VALUE"""),"No")</f>
        <v>No</v>
      </c>
      <c r="L176" s="55" t="str">
        <f>IFERROR(__xludf.DUMMYFUNCTION("""COMPUTED_VALUE"""),"Score 6.8 &lt; 30 threshold")</f>
        <v>Score 6.8 &lt; 30 threshold</v>
      </c>
      <c r="M176" s="55" t="str">
        <f>IFERROR(__xludf.DUMMYFUNCTION("""COMPUTED_VALUE"""),"No Ad Data")</f>
        <v>No Ad Data</v>
      </c>
      <c r="N176" s="55"/>
      <c r="O176" s="55"/>
      <c r="P176" s="55">
        <f>IFERROR(__xludf.DUMMYFUNCTION("""COMPUTED_VALUE"""),74.0)</f>
        <v>74</v>
      </c>
      <c r="Q176" s="55"/>
      <c r="R176" s="55"/>
      <c r="S176" s="55"/>
      <c r="T176" s="55"/>
      <c r="U176" s="55"/>
      <c r="V176" s="55"/>
      <c r="W176" s="55">
        <f>IFERROR(__xludf.DUMMYFUNCTION("""COMPUTED_VALUE"""),117.58)</f>
        <v>117.58</v>
      </c>
      <c r="X176" s="55"/>
      <c r="Y176" s="55"/>
      <c r="Z176" s="55"/>
      <c r="AA176" s="55"/>
      <c r="AB176" s="55"/>
      <c r="AC176" s="55"/>
      <c r="AD176" s="55"/>
      <c r="AE176" s="55"/>
      <c r="AF176" s="55"/>
      <c r="AG176" s="55"/>
      <c r="AH176" s="55"/>
      <c r="AI176" s="55"/>
      <c r="AJ176" s="55"/>
      <c r="AK176" s="55"/>
      <c r="AL176" s="55"/>
      <c r="AM176" s="55" t="str">
        <f>IFERROR(__xludf.DUMMYFUNCTION("""COMPUTED_VALUE"""),"#3+FfxNFM6VW8CzW/qdSUXLtAhvxfgG3ERvL0HUwG9W8w89I599QEQCLGVStKLx8=")</f>
        <v>#3+FfxNFM6VW8CzW/qdSUXLtAhvxfgG3ERvL0HUwG9W8w89I599QEQCLGVStKLx8=</v>
      </c>
      <c r="AN176" s="55"/>
      <c r="AO176" s="55"/>
      <c r="AP176" s="55"/>
      <c r="AQ176" s="55"/>
      <c r="AR176" s="55"/>
      <c r="AS176" s="55"/>
      <c r="AT176" s="55"/>
      <c r="AU176" s="55"/>
      <c r="AV176" s="55"/>
      <c r="AW176" s="35"/>
      <c r="AX176" s="35"/>
      <c r="AY176" s="35"/>
      <c r="AZ176" s="35"/>
      <c r="BA176" s="35"/>
      <c r="BB176" s="35"/>
      <c r="BC176" s="35"/>
      <c r="BD176" s="35"/>
      <c r="BE176" s="35"/>
      <c r="BF176" s="35"/>
      <c r="BG176" s="35"/>
    </row>
    <row r="177" ht="15.75" customHeight="1">
      <c r="A177" s="55" t="str">
        <f>IFERROR(__xludf.DUMMYFUNCTION("""COMPUTED_VALUE"""),"Instagram")</f>
        <v>Instagram</v>
      </c>
      <c r="B177" s="56">
        <f>IFERROR(__xludf.DUMMYFUNCTION("""COMPUTED_VALUE"""),46212.0)</f>
        <v>46212</v>
      </c>
      <c r="C177" s="55" t="str">
        <f>IFERROR(__xludf.DUMMYFUNCTION("""COMPUTED_VALUE"""),"July")</f>
        <v>July</v>
      </c>
      <c r="D177" s="58" t="str">
        <f>IFERROR(__xludf.DUMMYFUNCTION("""COMPUTED_VALUE"""),"https://www.instagram.com/reels/Dam1UY0xjYw/")</f>
        <v>https://www.instagram.com/reels/Dam1UY0xjYw/</v>
      </c>
      <c r="E177" s="55" t="str">
        <f>IFERROR(__xludf.DUMMYFUNCTION("""COMPUTED_VALUE"""),"@na")</f>
        <v>@na</v>
      </c>
      <c r="F177" s="55"/>
      <c r="G177" s="55" t="str">
        <f>IFERROR(__xludf.DUMMYFUNCTION("""COMPUTED_VALUE"""),"Over 40/ High Performer")</f>
        <v>Over 40/ High Performer</v>
      </c>
      <c r="H177" s="55"/>
      <c r="I177" s="55">
        <f>IFERROR(__xludf.DUMMYFUNCTION("""COMPUTED_VALUE"""),5.8)</f>
        <v>5.8</v>
      </c>
      <c r="J177" s="55" t="str">
        <f>IFERROR(__xludf.DUMMYFUNCTION("""COMPUTED_VALUE"""),"No – Not Recommended")</f>
        <v>No – Not Recommended</v>
      </c>
      <c r="K177" s="55" t="str">
        <f>IFERROR(__xludf.DUMMYFUNCTION("""COMPUTED_VALUE"""),"No")</f>
        <v>No</v>
      </c>
      <c r="L177" s="55" t="str">
        <f>IFERROR(__xludf.DUMMYFUNCTION("""COMPUTED_VALUE"""),"Score 5.8 &lt; 20 threshold")</f>
        <v>Score 5.8 &lt; 20 threshold</v>
      </c>
      <c r="M177" s="55" t="str">
        <f>IFERROR(__xludf.DUMMYFUNCTION("""COMPUTED_VALUE"""),"No Ad Data")</f>
        <v>No Ad Data</v>
      </c>
      <c r="N177" s="55"/>
      <c r="O177" s="55"/>
      <c r="P177" s="55">
        <f>IFERROR(__xludf.DUMMYFUNCTION("""COMPUTED_VALUE"""),33.0)</f>
        <v>33</v>
      </c>
      <c r="Q177" s="55"/>
      <c r="R177" s="55"/>
      <c r="S177" s="55"/>
      <c r="T177" s="55"/>
      <c r="U177" s="55"/>
      <c r="V177" s="55"/>
      <c r="W177" s="55">
        <f>IFERROR(__xludf.DUMMYFUNCTION("""COMPUTED_VALUE"""),117.58)</f>
        <v>117.58</v>
      </c>
      <c r="X177" s="55"/>
      <c r="Y177" s="55"/>
      <c r="Z177" s="55"/>
      <c r="AA177" s="55"/>
      <c r="AB177" s="55"/>
      <c r="AC177" s="55"/>
      <c r="AD177" s="55"/>
      <c r="AE177" s="55"/>
      <c r="AF177" s="55"/>
      <c r="AG177" s="55"/>
      <c r="AH177" s="55"/>
      <c r="AI177" s="55"/>
      <c r="AJ177" s="55"/>
      <c r="AK177" s="55"/>
      <c r="AL177" s="55"/>
      <c r="AM177" s="55" t="str">
        <f>IFERROR(__xludf.DUMMYFUNCTION("""COMPUTED_VALUE"""),"Q9jTBBZIb9yUtGlN6nxkbhhxbI0b9jFuA0LzWrcIiis7NyF58F_PRkPINztDgWx-kCs")</f>
        <v>Q9jTBBZIb9yUtGlN6nxkbhhxbI0b9jFuA0LzWrcIiis7NyF58F_PRkPINztDgWx-kCs</v>
      </c>
      <c r="AN177" s="55"/>
      <c r="AO177" s="55"/>
      <c r="AP177" s="55"/>
      <c r="AQ177" s="55"/>
      <c r="AR177" s="55"/>
      <c r="AS177" s="55"/>
      <c r="AT177" s="55"/>
      <c r="AU177" s="55"/>
      <c r="AV177" s="55"/>
      <c r="AW177" s="35"/>
      <c r="AX177" s="35"/>
      <c r="AY177" s="35"/>
      <c r="AZ177" s="35"/>
      <c r="BA177" s="35"/>
      <c r="BB177" s="35"/>
      <c r="BC177" s="35"/>
      <c r="BD177" s="35"/>
      <c r="BE177" s="35"/>
      <c r="BF177" s="35"/>
      <c r="BG177" s="35"/>
    </row>
    <row r="178" ht="15.75" customHeight="1">
      <c r="A178" s="55" t="str">
        <f>IFERROR(__xludf.DUMMYFUNCTION("""COMPUTED_VALUE"""),"Tiktok")</f>
        <v>Tiktok</v>
      </c>
      <c r="B178" s="56">
        <f>IFERROR(__xludf.DUMMYFUNCTION("""COMPUTED_VALUE"""),46213.0)</f>
        <v>46213</v>
      </c>
      <c r="C178" s="55" t="str">
        <f>IFERROR(__xludf.DUMMYFUNCTION("""COMPUTED_VALUE"""),"July")</f>
        <v>July</v>
      </c>
      <c r="D178" s="58" t="str">
        <f>IFERROR(__xludf.DUMMYFUNCTION("""COMPUTED_VALUE"""),"https://www.tiktok.com/@chelsealeerock/video/7660653780039388429")</f>
        <v>https://www.tiktok.com/@chelsealeerock/video/7660653780039388429</v>
      </c>
      <c r="E178" s="55" t="str">
        <f>IFERROR(__xludf.DUMMYFUNCTION("""COMPUTED_VALUE"""),"@chelsealeerock")</f>
        <v>@chelsealeerock</v>
      </c>
      <c r="F178" s="55"/>
      <c r="G178" s="55" t="str">
        <f>IFERROR(__xludf.DUMMYFUNCTION("""COMPUTED_VALUE"""),"Content + Posting: TikTok videos")</f>
        <v>Content + Posting: TikTok videos</v>
      </c>
      <c r="H178" s="55"/>
      <c r="I178" s="55">
        <f>IFERROR(__xludf.DUMMYFUNCTION("""COMPUTED_VALUE"""),4.1)</f>
        <v>4.1</v>
      </c>
      <c r="J178" s="55" t="str">
        <f>IFERROR(__xludf.DUMMYFUNCTION("""COMPUTED_VALUE"""),"No – Not Recommended")</f>
        <v>No – Not Recommended</v>
      </c>
      <c r="K178" s="55" t="str">
        <f>IFERROR(__xludf.DUMMYFUNCTION("""COMPUTED_VALUE"""),"No")</f>
        <v>No</v>
      </c>
      <c r="L178" s="55" t="str">
        <f>IFERROR(__xludf.DUMMYFUNCTION("""COMPUTED_VALUE"""),"Score 4.9 &lt; 30 threshold")</f>
        <v>Score 4.9 &lt; 30 threshold</v>
      </c>
      <c r="M178" s="55" t="str">
        <f>IFERROR(__xludf.DUMMYFUNCTION("""COMPUTED_VALUE"""),"No Ad Data")</f>
        <v>No Ad Data</v>
      </c>
      <c r="N178" s="55"/>
      <c r="O178" s="55"/>
      <c r="P178" s="55">
        <f>IFERROR(__xludf.DUMMYFUNCTION("""COMPUTED_VALUE"""),35.0)</f>
        <v>35</v>
      </c>
      <c r="Q178" s="55">
        <f>IFERROR(__xludf.DUMMYFUNCTION("""COMPUTED_VALUE"""),1.0)</f>
        <v>1</v>
      </c>
      <c r="R178" s="55"/>
      <c r="S178" s="55"/>
      <c r="T178" s="55"/>
      <c r="U178" s="55"/>
      <c r="V178" s="55">
        <f>IFERROR(__xludf.DUMMYFUNCTION("""COMPUTED_VALUE"""),0.028)</f>
        <v>0.028</v>
      </c>
      <c r="W178" s="55">
        <f>IFERROR(__xludf.DUMMYFUNCTION("""COMPUTED_VALUE"""),67.58)</f>
        <v>67.58</v>
      </c>
      <c r="X178" s="55"/>
      <c r="Y178" s="55"/>
      <c r="Z178" s="55"/>
      <c r="AA178" s="55"/>
      <c r="AB178" s="55"/>
      <c r="AC178" s="55"/>
      <c r="AD178" s="55"/>
      <c r="AE178" s="55"/>
      <c r="AF178" s="55"/>
      <c r="AG178" s="55"/>
      <c r="AH178" s="55"/>
      <c r="AI178" s="55"/>
      <c r="AJ178" s="55"/>
      <c r="AK178" s="55"/>
      <c r="AL178" s="55"/>
      <c r="AM178" s="55" t="str">
        <f>IFERROR(__xludf.DUMMYFUNCTION("""COMPUTED_VALUE"""),"#XetRty6tLe2GEJHe0xH4viovRGOvNOn5tXaCGlcRelzfgMq173QziHmZiHrR81s=")</f>
        <v>#XetRty6tLe2GEJHe0xH4viovRGOvNOn5tXaCGlcRelzfgMq173QziHmZiHrR81s=</v>
      </c>
      <c r="AN178" s="55"/>
      <c r="AO178" s="55"/>
      <c r="AP178" s="55"/>
      <c r="AQ178" s="55"/>
      <c r="AR178" s="55"/>
      <c r="AS178" s="55"/>
      <c r="AT178" s="55"/>
      <c r="AU178" s="55"/>
      <c r="AV178" s="55"/>
      <c r="AW178" s="35"/>
      <c r="AX178" s="35"/>
      <c r="AY178" s="35"/>
      <c r="AZ178" s="35"/>
      <c r="BA178" s="35"/>
      <c r="BB178" s="35"/>
      <c r="BC178" s="35"/>
      <c r="BD178" s="35"/>
      <c r="BE178" s="35"/>
      <c r="BF178" s="35"/>
      <c r="BG178" s="35"/>
    </row>
    <row r="179" ht="15.75" customHeight="1">
      <c r="A179" s="55" t="str">
        <f>IFERROR(__xludf.DUMMYFUNCTION("""COMPUTED_VALUE"""),"Instagram")</f>
        <v>Instagram</v>
      </c>
      <c r="B179" s="56">
        <f>IFERROR(__xludf.DUMMYFUNCTION("""COMPUTED_VALUE"""),46212.0)</f>
        <v>46212</v>
      </c>
      <c r="C179" s="55" t="str">
        <f>IFERROR(__xludf.DUMMYFUNCTION("""COMPUTED_VALUE"""),"July")</f>
        <v>July</v>
      </c>
      <c r="D179" s="58" t="str">
        <f>IFERROR(__xludf.DUMMYFUNCTION("""COMPUTED_VALUE"""),"https://www.instagram.com/reels/DalTe6Dp42l/")</f>
        <v>https://www.instagram.com/reels/DalTe6Dp42l/</v>
      </c>
      <c r="E179" s="55" t="str">
        <f>IFERROR(__xludf.DUMMYFUNCTION("""COMPUTED_VALUE"""),"@na")</f>
        <v>@na</v>
      </c>
      <c r="F179" s="55"/>
      <c r="G179" s="55" t="str">
        <f>IFERROR(__xludf.DUMMYFUNCTION("""COMPUTED_VALUE"""),"Over 40/ High Performer")</f>
        <v>Over 40/ High Performer</v>
      </c>
      <c r="H179" s="55"/>
      <c r="I179" s="55">
        <f>IFERROR(__xludf.DUMMYFUNCTION("""COMPUTED_VALUE"""),4.5)</f>
        <v>4.5</v>
      </c>
      <c r="J179" s="55" t="str">
        <f>IFERROR(__xludf.DUMMYFUNCTION("""COMPUTED_VALUE"""),"No – Not Recommended")</f>
        <v>No – Not Recommended</v>
      </c>
      <c r="K179" s="55" t="str">
        <f>IFERROR(__xludf.DUMMYFUNCTION("""COMPUTED_VALUE"""),"No")</f>
        <v>No</v>
      </c>
      <c r="L179" s="55" t="str">
        <f>IFERROR(__xludf.DUMMYFUNCTION("""COMPUTED_VALUE"""),"Score 4.5 &lt; 20 threshold")</f>
        <v>Score 4.5 &lt; 20 threshold</v>
      </c>
      <c r="M179" s="55" t="str">
        <f>IFERROR(__xludf.DUMMYFUNCTION("""COMPUTED_VALUE"""),"No Ad Data")</f>
        <v>No Ad Data</v>
      </c>
      <c r="N179" s="55"/>
      <c r="O179" s="55"/>
      <c r="P179" s="55">
        <f>IFERROR(__xludf.DUMMYFUNCTION("""COMPUTED_VALUE"""),15.0)</f>
        <v>15</v>
      </c>
      <c r="Q179" s="55"/>
      <c r="R179" s="55"/>
      <c r="S179" s="55"/>
      <c r="T179" s="55"/>
      <c r="U179" s="55"/>
      <c r="V179" s="55"/>
      <c r="W179" s="55">
        <f>IFERROR(__xludf.DUMMYFUNCTION("""COMPUTED_VALUE"""),117.58)</f>
        <v>117.58</v>
      </c>
      <c r="X179" s="55"/>
      <c r="Y179" s="55"/>
      <c r="Z179" s="55"/>
      <c r="AA179" s="55"/>
      <c r="AB179" s="55"/>
      <c r="AC179" s="55"/>
      <c r="AD179" s="55"/>
      <c r="AE179" s="55"/>
      <c r="AF179" s="55"/>
      <c r="AG179" s="55"/>
      <c r="AH179" s="55"/>
      <c r="AI179" s="55"/>
      <c r="AJ179" s="55"/>
      <c r="AK179" s="55"/>
      <c r="AL179" s="55"/>
      <c r="AM179" s="55" t="str">
        <f>IFERROR(__xludf.DUMMYFUNCTION("""COMPUTED_VALUE"""),"Q9jTBBbTrjgZ7gpooQNE0J3IZ6SlG-BQyFCX9-Kfs5IabYB2LiBRgAZ0_sLUn5PvlvU")</f>
        <v>Q9jTBBbTrjgZ7gpooQNE0J3IZ6SlG-BQyFCX9-Kfs5IabYB2LiBRgAZ0_sLUn5PvlvU</v>
      </c>
      <c r="AN179" s="55"/>
      <c r="AO179" s="55"/>
      <c r="AP179" s="55"/>
      <c r="AQ179" s="55"/>
      <c r="AR179" s="55"/>
      <c r="AS179" s="55"/>
      <c r="AT179" s="55"/>
      <c r="AU179" s="55"/>
      <c r="AV179" s="55"/>
      <c r="AW179" s="35"/>
      <c r="AX179" s="35"/>
      <c r="AY179" s="35"/>
      <c r="AZ179" s="35"/>
      <c r="BA179" s="35"/>
      <c r="BB179" s="35"/>
      <c r="BC179" s="35"/>
      <c r="BD179" s="35"/>
      <c r="BE179" s="35"/>
      <c r="BF179" s="35"/>
      <c r="BG179" s="35"/>
    </row>
    <row r="180" ht="15.75" customHeight="1">
      <c r="A180" s="55" t="str">
        <f>IFERROR(__xludf.DUMMYFUNCTION("""COMPUTED_VALUE"""),"Instagram")</f>
        <v>Instagram</v>
      </c>
      <c r="B180" s="56">
        <f>IFERROR(__xludf.DUMMYFUNCTION("""COMPUTED_VALUE"""),46212.0)</f>
        <v>46212</v>
      </c>
      <c r="C180" s="55" t="str">
        <f>IFERROR(__xludf.DUMMYFUNCTION("""COMPUTED_VALUE"""),"July")</f>
        <v>July</v>
      </c>
      <c r="D180" s="58" t="str">
        <f>IFERROR(__xludf.DUMMYFUNCTION("""COMPUTED_VALUE"""),"https://www.instagram.com/reels/Damg5KPKyD5/")</f>
        <v>https://www.instagram.com/reels/Damg5KPKyD5/</v>
      </c>
      <c r="E180" s="55" t="str">
        <f>IFERROR(__xludf.DUMMYFUNCTION("""COMPUTED_VALUE"""),"@na")</f>
        <v>@na</v>
      </c>
      <c r="F180" s="55"/>
      <c r="G180" s="55" t="str">
        <f>IFERROR(__xludf.DUMMYFUNCTION("""COMPUTED_VALUE"""),"Taste")</f>
        <v>Taste</v>
      </c>
      <c r="H180" s="55"/>
      <c r="I180" s="55">
        <f>IFERROR(__xludf.DUMMYFUNCTION("""COMPUTED_VALUE"""),4.3)</f>
        <v>4.3</v>
      </c>
      <c r="J180" s="55" t="str">
        <f>IFERROR(__xludf.DUMMYFUNCTION("""COMPUTED_VALUE"""),"No – Not Recommended")</f>
        <v>No – Not Recommended</v>
      </c>
      <c r="K180" s="55" t="str">
        <f>IFERROR(__xludf.DUMMYFUNCTION("""COMPUTED_VALUE"""),"No")</f>
        <v>No</v>
      </c>
      <c r="L180" s="55" t="str">
        <f>IFERROR(__xludf.DUMMYFUNCTION("""COMPUTED_VALUE"""),"Score 4.5 &lt; 20 threshold")</f>
        <v>Score 4.5 &lt; 20 threshold</v>
      </c>
      <c r="M180" s="55" t="str">
        <f>IFERROR(__xludf.DUMMYFUNCTION("""COMPUTED_VALUE"""),"No Ad Data")</f>
        <v>No Ad Data</v>
      </c>
      <c r="N180" s="55"/>
      <c r="O180" s="55"/>
      <c r="P180" s="55">
        <f>IFERROR(__xludf.DUMMYFUNCTION("""COMPUTED_VALUE"""),3.0)</f>
        <v>3</v>
      </c>
      <c r="Q180" s="55">
        <f>IFERROR(__xludf.DUMMYFUNCTION("""COMPUTED_VALUE"""),1.0)</f>
        <v>1</v>
      </c>
      <c r="R180" s="55"/>
      <c r="S180" s="55"/>
      <c r="T180" s="55"/>
      <c r="U180" s="55"/>
      <c r="V180" s="55"/>
      <c r="W180" s="55">
        <f>IFERROR(__xludf.DUMMYFUNCTION("""COMPUTED_VALUE"""),117.58)</f>
        <v>117.58</v>
      </c>
      <c r="X180" s="55"/>
      <c r="Y180" s="55"/>
      <c r="Z180" s="55"/>
      <c r="AA180" s="55"/>
      <c r="AB180" s="55"/>
      <c r="AC180" s="55"/>
      <c r="AD180" s="55"/>
      <c r="AE180" s="55"/>
      <c r="AF180" s="55"/>
      <c r="AG180" s="55"/>
      <c r="AH180" s="55"/>
      <c r="AI180" s="55"/>
      <c r="AJ180" s="55"/>
      <c r="AK180" s="55"/>
      <c r="AL180" s="55"/>
      <c r="AM180" s="55" t="str">
        <f>IFERROR(__xludf.DUMMYFUNCTION("""COMPUTED_VALUE"""),"Q9jTBBY3V0yh6W5T0hop6pZk6bJLcVOzjeNq_8xFPzNTrZyzUqFCSGar3xA0rePMWA")</f>
        <v>Q9jTBBY3V0yh6W5T0hop6pZk6bJLcVOzjeNq_8xFPzNTrZyzUqFCSGar3xA0rePMWA</v>
      </c>
      <c r="AN180" s="55"/>
      <c r="AO180" s="55"/>
      <c r="AP180" s="55"/>
      <c r="AQ180" s="55"/>
      <c r="AR180" s="55"/>
      <c r="AS180" s="55"/>
      <c r="AT180" s="55"/>
      <c r="AU180" s="55"/>
      <c r="AV180" s="55"/>
      <c r="AW180" s="35"/>
      <c r="AX180" s="35"/>
      <c r="AY180" s="35"/>
      <c r="AZ180" s="35"/>
      <c r="BA180" s="35"/>
      <c r="BB180" s="35"/>
      <c r="BC180" s="35"/>
      <c r="BD180" s="35"/>
      <c r="BE180" s="35"/>
      <c r="BF180" s="35"/>
      <c r="BG180" s="35"/>
    </row>
    <row r="181" ht="15.75" customHeight="1">
      <c r="A181" s="55" t="str">
        <f>IFERROR(__xludf.DUMMYFUNCTION("""COMPUTED_VALUE"""),"Instagram")</f>
        <v>Instagram</v>
      </c>
      <c r="B181" s="56">
        <f>IFERROR(__xludf.DUMMYFUNCTION("""COMPUTED_VALUE"""),46212.0)</f>
        <v>46212</v>
      </c>
      <c r="C181" s="55" t="str">
        <f>IFERROR(__xludf.DUMMYFUNCTION("""COMPUTED_VALUE"""),"July")</f>
        <v>July</v>
      </c>
      <c r="D181" s="58" t="str">
        <f>IFERROR(__xludf.DUMMYFUNCTION("""COMPUTED_VALUE"""),"https://www.instagram.com/reels/Damez65qBK5/")</f>
        <v>https://www.instagram.com/reels/Damez65qBK5/</v>
      </c>
      <c r="E181" s="55" t="str">
        <f>IFERROR(__xludf.DUMMYFUNCTION("""COMPUTED_VALUE"""),"@na")</f>
        <v>@na</v>
      </c>
      <c r="F181" s="55"/>
      <c r="G181" s="55" t="str">
        <f>IFERROR(__xludf.DUMMYFUNCTION("""COMPUTED_VALUE"""),"Over 40/ High Performer")</f>
        <v>Over 40/ High Performer</v>
      </c>
      <c r="H181" s="55"/>
      <c r="I181" s="55">
        <f>IFERROR(__xludf.DUMMYFUNCTION("""COMPUTED_VALUE"""),24.4)</f>
        <v>24.4</v>
      </c>
      <c r="J181" s="55" t="str">
        <f>IFERROR(__xludf.DUMMYFUNCTION("""COMPUTED_VALUE"""),"No – Not Recommended")</f>
        <v>No – Not Recommended</v>
      </c>
      <c r="K181" s="55" t="str">
        <f>IFERROR(__xludf.DUMMYFUNCTION("""COMPUTED_VALUE"""),"No")</f>
        <v>No</v>
      </c>
      <c r="L181" s="55" t="str">
        <f>IFERROR(__xludf.DUMMYFUNCTION("""COMPUTED_VALUE"""),"Score 2.2 &lt; 20 threshold")</f>
        <v>Score 2.2 &lt; 20 threshold</v>
      </c>
      <c r="M181" s="55" t="str">
        <f>IFERROR(__xludf.DUMMYFUNCTION("""COMPUTED_VALUE"""),"No Ad Data")</f>
        <v>No Ad Data</v>
      </c>
      <c r="N181" s="55"/>
      <c r="O181" s="55"/>
      <c r="P181" s="55">
        <f>IFERROR(__xludf.DUMMYFUNCTION("""COMPUTED_VALUE"""),514.0)</f>
        <v>514</v>
      </c>
      <c r="Q181" s="55">
        <f>IFERROR(__xludf.DUMMYFUNCTION("""COMPUTED_VALUE"""),1.0)</f>
        <v>1</v>
      </c>
      <c r="R181" s="55"/>
      <c r="S181" s="55"/>
      <c r="T181" s="55"/>
      <c r="U181" s="55"/>
      <c r="V181" s="55" t="str">
        <f>IFERROR(__xludf.DUMMYFUNCTION("""COMPUTED_VALUE"""),"#NUM!")</f>
        <v>#NUM!</v>
      </c>
      <c r="W181" s="55">
        <f>IFERROR(__xludf.DUMMYFUNCTION("""COMPUTED_VALUE"""),117.58)</f>
        <v>117.58</v>
      </c>
      <c r="X181" s="55"/>
      <c r="Y181" s="55"/>
      <c r="Z181" s="55"/>
      <c r="AA181" s="55"/>
      <c r="AB181" s="55"/>
      <c r="AC181" s="55"/>
      <c r="AD181" s="55"/>
      <c r="AE181" s="55"/>
      <c r="AF181" s="55"/>
      <c r="AG181" s="55"/>
      <c r="AH181" s="55"/>
      <c r="AI181" s="55"/>
      <c r="AJ181" s="55"/>
      <c r="AK181" s="55"/>
      <c r="AL181" s="55"/>
      <c r="AM181" s="55" t="str">
        <f>IFERROR(__xludf.DUMMYFUNCTION("""COMPUTED_VALUE"""),"Q9jTBBYbFXpolF2o3ILJhQNqjGrBtr1PKau5dPV_BimzlTvbVZ1obiQPkYPjlRDsJBg")</f>
        <v>Q9jTBBYbFXpolF2o3ILJhQNqjGrBtr1PKau5dPV_BimzlTvbVZ1obiQPkYPjlRDsJBg</v>
      </c>
      <c r="AN181" s="55"/>
      <c r="AO181" s="55"/>
      <c r="AP181" s="55"/>
      <c r="AQ181" s="55"/>
      <c r="AR181" s="55"/>
      <c r="AS181" s="55"/>
      <c r="AT181" s="55"/>
      <c r="AU181" s="55"/>
      <c r="AV181" s="55"/>
      <c r="AW181" s="35"/>
      <c r="AX181" s="35"/>
      <c r="AY181" s="35"/>
      <c r="AZ181" s="35"/>
      <c r="BA181" s="35"/>
      <c r="BB181" s="35"/>
      <c r="BC181" s="35"/>
      <c r="BD181" s="35"/>
      <c r="BE181" s="35"/>
      <c r="BF181" s="35"/>
      <c r="BG181" s="35"/>
    </row>
    <row r="182" ht="15.75" customHeight="1">
      <c r="A182" s="55" t="str">
        <f>IFERROR(__xludf.DUMMYFUNCTION("""COMPUTED_VALUE"""),"Instagram")</f>
        <v>Instagram</v>
      </c>
      <c r="B182" s="56">
        <f>IFERROR(__xludf.DUMMYFUNCTION("""COMPUTED_VALUE"""),46209.0)</f>
        <v>46209</v>
      </c>
      <c r="C182" s="55" t="str">
        <f>IFERROR(__xludf.DUMMYFUNCTION("""COMPUTED_VALUE"""),"July")</f>
        <v>July</v>
      </c>
      <c r="D182" s="58" t="str">
        <f>IFERROR(__xludf.DUMMYFUNCTION("""COMPUTED_VALUE"""),"https://www.instagram.com/reel/Daco-BzkRjv/")</f>
        <v>https://www.instagram.com/reel/Daco-BzkRjv/</v>
      </c>
      <c r="E182" s="55" t="str">
        <f>IFERROR(__xludf.DUMMYFUNCTION("""COMPUTED_VALUE"""),"@na")</f>
        <v>@na</v>
      </c>
      <c r="F182" s="55"/>
      <c r="G182" s="55" t="str">
        <f>IFERROR(__xludf.DUMMYFUNCTION("""COMPUTED_VALUE"""),"Cortisol")</f>
        <v>Cortisol</v>
      </c>
      <c r="H182" s="55"/>
      <c r="I182" s="55">
        <f>IFERROR(__xludf.DUMMYFUNCTION("""COMPUTED_VALUE"""),29.4)</f>
        <v>29.4</v>
      </c>
      <c r="J182" s="55" t="str">
        <f>IFERROR(__xludf.DUMMYFUNCTION("""COMPUTED_VALUE"""),"No – Not Recommended")</f>
        <v>No – Not Recommended</v>
      </c>
      <c r="K182" s="55" t="str">
        <f>IFERROR(__xludf.DUMMYFUNCTION("""COMPUTED_VALUE"""),"No")</f>
        <v>No</v>
      </c>
      <c r="L182" s="55" t="str">
        <f>IFERROR(__xludf.DUMMYFUNCTION("""COMPUTED_VALUE"""),"Score 1.8 &lt; 20 threshold")</f>
        <v>Score 1.8 &lt; 20 threshold</v>
      </c>
      <c r="M182" s="55" t="str">
        <f>IFERROR(__xludf.DUMMYFUNCTION("""COMPUTED_VALUE"""),"No Ad Data")</f>
        <v>No Ad Data</v>
      </c>
      <c r="N182" s="55"/>
      <c r="O182" s="55"/>
      <c r="P182" s="55">
        <f>IFERROR(__xludf.DUMMYFUNCTION("""COMPUTED_VALUE"""),2700.0)</f>
        <v>2700</v>
      </c>
      <c r="Q182" s="55"/>
      <c r="R182" s="55">
        <f>IFERROR(__xludf.DUMMYFUNCTION("""COMPUTED_VALUE"""),2.0)</f>
        <v>2</v>
      </c>
      <c r="S182" s="55"/>
      <c r="T182" s="55"/>
      <c r="U182" s="55"/>
      <c r="V182" s="55" t="str">
        <f>IFERROR(__xludf.DUMMYFUNCTION("""COMPUTED_VALUE"""),"#NUM!")</f>
        <v>#NUM!</v>
      </c>
      <c r="W182" s="55">
        <f>IFERROR(__xludf.DUMMYFUNCTION("""COMPUTED_VALUE"""),117.58)</f>
        <v>117.58</v>
      </c>
      <c r="X182" s="55"/>
      <c r="Y182" s="55"/>
      <c r="Z182" s="55"/>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35"/>
      <c r="AX182" s="35"/>
      <c r="AY182" s="35"/>
      <c r="AZ182" s="35"/>
      <c r="BA182" s="35"/>
      <c r="BB182" s="35"/>
      <c r="BC182" s="35"/>
      <c r="BD182" s="35"/>
      <c r="BE182" s="35"/>
      <c r="BF182" s="35"/>
      <c r="BG182" s="35"/>
    </row>
    <row r="183" ht="15.75" customHeight="1">
      <c r="A183" s="55" t="str">
        <f>IFERROR(__xludf.DUMMYFUNCTION("""COMPUTED_VALUE"""),"Tiktok")</f>
        <v>Tiktok</v>
      </c>
      <c r="B183" s="56">
        <f>IFERROR(__xludf.DUMMYFUNCTION("""COMPUTED_VALUE"""),46213.0)</f>
        <v>46213</v>
      </c>
      <c r="C183" s="55" t="str">
        <f>IFERROR(__xludf.DUMMYFUNCTION("""COMPUTED_VALUE"""),"July")</f>
        <v>July</v>
      </c>
      <c r="D183" s="58" t="str">
        <f>IFERROR(__xludf.DUMMYFUNCTION("""COMPUTED_VALUE"""),"https://www.tiktok.com/@chandaraj51/video/7660632985259101471")</f>
        <v>https://www.tiktok.com/@chandaraj51/video/7660632985259101471</v>
      </c>
      <c r="E183" s="55" t="str">
        <f>IFERROR(__xludf.DUMMYFUNCTION("""COMPUTED_VALUE"""),"@chandaraj51")</f>
        <v>@chandaraj51</v>
      </c>
      <c r="F183" s="55"/>
      <c r="G183" s="55" t="str">
        <f>IFERROR(__xludf.DUMMYFUNCTION("""COMPUTED_VALUE"""),"Mushroom Trend")</f>
        <v>Mushroom Trend</v>
      </c>
      <c r="H183" s="55"/>
      <c r="I183" s="55">
        <f>IFERROR(__xludf.DUMMYFUNCTION("""COMPUTED_VALUE"""),1.8)</f>
        <v>1.8</v>
      </c>
      <c r="J183" s="55" t="str">
        <f>IFERROR(__xludf.DUMMYFUNCTION("""COMPUTED_VALUE"""),"No – Not Recommended")</f>
        <v>No – Not Recommended</v>
      </c>
      <c r="K183" s="55" t="str">
        <f>IFERROR(__xludf.DUMMYFUNCTION("""COMPUTED_VALUE"""),"No")</f>
        <v>No</v>
      </c>
      <c r="L183" s="55" t="str">
        <f>IFERROR(__xludf.DUMMYFUNCTION("""COMPUTED_VALUE"""),"Score 2.3 &lt; 30 threshold")</f>
        <v>Score 2.3 &lt; 30 threshold</v>
      </c>
      <c r="M183" s="55" t="str">
        <f>IFERROR(__xludf.DUMMYFUNCTION("""COMPUTED_VALUE"""),"No Ad Data")</f>
        <v>No Ad Data</v>
      </c>
      <c r="N183" s="55"/>
      <c r="O183" s="55"/>
      <c r="P183" s="55">
        <f>IFERROR(__xludf.DUMMYFUNCTION("""COMPUTED_VALUE"""),9.0)</f>
        <v>9</v>
      </c>
      <c r="Q183" s="55"/>
      <c r="R183" s="55"/>
      <c r="S183" s="55"/>
      <c r="T183" s="55"/>
      <c r="U183" s="55"/>
      <c r="V183" s="55"/>
      <c r="W183" s="55">
        <f>IFERROR(__xludf.DUMMYFUNCTION("""COMPUTED_VALUE"""),117.58)</f>
        <v>117.58</v>
      </c>
      <c r="X183" s="55"/>
      <c r="Y183" s="55"/>
      <c r="Z183" s="55"/>
      <c r="AA183" s="55"/>
      <c r="AB183" s="55"/>
      <c r="AC183" s="55"/>
      <c r="AD183" s="55"/>
      <c r="AE183" s="55"/>
      <c r="AF183" s="55"/>
      <c r="AG183" s="55"/>
      <c r="AH183" s="55"/>
      <c r="AI183" s="55"/>
      <c r="AJ183" s="55"/>
      <c r="AK183" s="55"/>
      <c r="AL183" s="55"/>
      <c r="AM183" s="55" t="str">
        <f>IFERROR(__xludf.DUMMYFUNCTION("""COMPUTED_VALUE"""),"#ZaOeYP8zf1bQEKNxYte6l09BRtZWcDLvBKs4UHX/J/sSZxz5COKkkc71AXn8OZE=")</f>
        <v>#ZaOeYP8zf1bQEKNxYte6l09BRtZWcDLvBKs4UHX/J/sSZxz5COKkkc71AXn8OZE=</v>
      </c>
      <c r="AN183" s="55"/>
      <c r="AO183" s="55"/>
      <c r="AP183" s="55"/>
      <c r="AQ183" s="55"/>
      <c r="AR183" s="55"/>
      <c r="AS183" s="55"/>
      <c r="AT183" s="55"/>
      <c r="AU183" s="55"/>
      <c r="AV183" s="55"/>
      <c r="AW183" s="35"/>
      <c r="AX183" s="35"/>
      <c r="AY183" s="35"/>
      <c r="AZ183" s="35"/>
      <c r="BA183" s="35"/>
      <c r="BB183" s="35"/>
      <c r="BC183" s="35"/>
      <c r="BD183" s="35"/>
      <c r="BE183" s="35"/>
      <c r="BF183" s="35"/>
      <c r="BG183" s="35"/>
    </row>
    <row r="184" ht="15.75" customHeight="1">
      <c r="A184" s="55" t="str">
        <f>IFERROR(__xludf.DUMMYFUNCTION("""COMPUTED_VALUE"""),"Tiktok")</f>
        <v>Tiktok</v>
      </c>
      <c r="B184" s="56">
        <f>IFERROR(__xludf.DUMMYFUNCTION("""COMPUTED_VALUE"""),46212.0)</f>
        <v>46212</v>
      </c>
      <c r="C184" s="55" t="str">
        <f>IFERROR(__xludf.DUMMYFUNCTION("""COMPUTED_VALUE"""),"July")</f>
        <v>July</v>
      </c>
      <c r="D184" s="58" t="str">
        <f>IFERROR(__xludf.DUMMYFUNCTION("""COMPUTED_VALUE"""),"https://www.tiktok.com/@therealjuniorugc/video/7660648943398751519")</f>
        <v>https://www.tiktok.com/@therealjuniorugc/video/7660648943398751519</v>
      </c>
      <c r="E184" s="55" t="str">
        <f>IFERROR(__xludf.DUMMYFUNCTION("""COMPUTED_VALUE"""),"@therealjuniorugc")</f>
        <v>@therealjuniorugc</v>
      </c>
      <c r="F184" s="55"/>
      <c r="G184" s="55" t="str">
        <f>IFERROR(__xludf.DUMMYFUNCTION("""COMPUTED_VALUE"""),"Taste")</f>
        <v>Taste</v>
      </c>
      <c r="H184" s="55"/>
      <c r="I184" s="55">
        <f>IFERROR(__xludf.DUMMYFUNCTION("""COMPUTED_VALUE"""),1.6)</f>
        <v>1.6</v>
      </c>
      <c r="J184" s="55" t="str">
        <f>IFERROR(__xludf.DUMMYFUNCTION("""COMPUTED_VALUE"""),"No – Not Recommended")</f>
        <v>No – Not Recommended</v>
      </c>
      <c r="K184" s="55" t="str">
        <f>IFERROR(__xludf.DUMMYFUNCTION("""COMPUTED_VALUE"""),"No")</f>
        <v>No</v>
      </c>
      <c r="L184" s="55" t="str">
        <f>IFERROR(__xludf.DUMMYFUNCTION("""COMPUTED_VALUE"""),"Score 2.1 &lt; 30 threshold")</f>
        <v>Score 2.1 &lt; 30 threshold</v>
      </c>
      <c r="M184" s="55" t="str">
        <f>IFERROR(__xludf.DUMMYFUNCTION("""COMPUTED_VALUE"""),"No Ad Data")</f>
        <v>No Ad Data</v>
      </c>
      <c r="N184" s="55"/>
      <c r="O184" s="55"/>
      <c r="P184" s="55">
        <f>IFERROR(__xludf.DUMMYFUNCTION("""COMPUTED_VALUE"""),7.0)</f>
        <v>7</v>
      </c>
      <c r="Q184" s="55"/>
      <c r="R184" s="55"/>
      <c r="S184" s="55"/>
      <c r="T184" s="55"/>
      <c r="U184" s="55"/>
      <c r="V184" s="55"/>
      <c r="W184" s="55">
        <f>IFERROR(__xludf.DUMMYFUNCTION("""COMPUTED_VALUE"""),117.58)</f>
        <v>117.58</v>
      </c>
      <c r="X184" s="55"/>
      <c r="Y184" s="55"/>
      <c r="Z184" s="55"/>
      <c r="AA184" s="55"/>
      <c r="AB184" s="55"/>
      <c r="AC184" s="55"/>
      <c r="AD184" s="55"/>
      <c r="AE184" s="55"/>
      <c r="AF184" s="55"/>
      <c r="AG184" s="55"/>
      <c r="AH184" s="55"/>
      <c r="AI184" s="55"/>
      <c r="AJ184" s="55"/>
      <c r="AK184" s="55"/>
      <c r="AL184" s="55"/>
      <c r="AM184" s="55" t="str">
        <f>IFERROR(__xludf.DUMMYFUNCTION("""COMPUTED_VALUE"""),"#H8jVvP2h6gOjntX5rHAhxPFKCMyQOmsQjw/jZ8l5kqtIlcKbl9H3j77HNAErapA=")</f>
        <v>#H8jVvP2h6gOjntX5rHAhxPFKCMyQOmsQjw/jZ8l5kqtIlcKbl9H3j77HNAErapA=</v>
      </c>
      <c r="AN184" s="55"/>
      <c r="AO184" s="55"/>
      <c r="AP184" s="55"/>
      <c r="AQ184" s="55"/>
      <c r="AR184" s="55"/>
      <c r="AS184" s="55"/>
      <c r="AT184" s="55"/>
      <c r="AU184" s="55"/>
      <c r="AV184" s="55"/>
      <c r="AW184" s="35"/>
      <c r="AX184" s="35"/>
      <c r="AY184" s="35"/>
      <c r="AZ184" s="35"/>
      <c r="BA184" s="35"/>
      <c r="BB184" s="35"/>
      <c r="BC184" s="35"/>
      <c r="BD184" s="35"/>
      <c r="BE184" s="35"/>
      <c r="BF184" s="35"/>
      <c r="BG184" s="35"/>
    </row>
    <row r="185" ht="15.75" customHeight="1">
      <c r="A185" s="55" t="str">
        <f>IFERROR(__xludf.DUMMYFUNCTION("""COMPUTED_VALUE"""),"Tiktok")</f>
        <v>Tiktok</v>
      </c>
      <c r="B185" s="56">
        <f>IFERROR(__xludf.DUMMYFUNCTION("""COMPUTED_VALUE"""),46213.0)</f>
        <v>46213</v>
      </c>
      <c r="C185" s="55" t="str">
        <f>IFERROR(__xludf.DUMMYFUNCTION("""COMPUTED_VALUE"""),"July")</f>
        <v>July</v>
      </c>
      <c r="D185" s="58" t="str">
        <f>IFERROR(__xludf.DUMMYFUNCTION("""COMPUTED_VALUE"""),"https://www.tiktok.com/@mamajessd/video/7660733273580080398")</f>
        <v>https://www.tiktok.com/@mamajessd/video/7660733273580080398</v>
      </c>
      <c r="E185" s="55" t="str">
        <f>IFERROR(__xludf.DUMMYFUNCTION("""COMPUTED_VALUE"""),"@mamajessd")</f>
        <v>@mamajessd</v>
      </c>
      <c r="F185" s="55"/>
      <c r="G185" s="55" t="str">
        <f>IFERROR(__xludf.DUMMYFUNCTION("""COMPUTED_VALUE"""),"Mushroom Trend")</f>
        <v>Mushroom Trend</v>
      </c>
      <c r="H185" s="55"/>
      <c r="I185" s="55">
        <f>IFERROR(__xludf.DUMMYFUNCTION("""COMPUTED_VALUE"""),0.5)</f>
        <v>0.5</v>
      </c>
      <c r="J185" s="55" t="str">
        <f>IFERROR(__xludf.DUMMYFUNCTION("""COMPUTED_VALUE"""),"No – Not Recommended")</f>
        <v>No – Not Recommended</v>
      </c>
      <c r="K185" s="55" t="str">
        <f>IFERROR(__xludf.DUMMYFUNCTION("""COMPUTED_VALUE"""),"No")</f>
        <v>No</v>
      </c>
      <c r="L185" s="55" t="str">
        <f>IFERROR(__xludf.DUMMYFUNCTION("""COMPUTED_VALUE"""),"Score 0.7 &lt; 30 threshold")</f>
        <v>Score 0.7 &lt; 30 threshold</v>
      </c>
      <c r="M185" s="55" t="str">
        <f>IFERROR(__xludf.DUMMYFUNCTION("""COMPUTED_VALUE"""),"No Ad Data")</f>
        <v>No Ad Data</v>
      </c>
      <c r="N185" s="55"/>
      <c r="O185" s="55"/>
      <c r="P185" s="55">
        <f>IFERROR(__xludf.DUMMYFUNCTION("""COMPUTED_VALUE"""),1.0)</f>
        <v>1</v>
      </c>
      <c r="Q185" s="55"/>
      <c r="R185" s="55"/>
      <c r="S185" s="55"/>
      <c r="T185" s="55"/>
      <c r="U185" s="55"/>
      <c r="V185" s="55"/>
      <c r="W185" s="55">
        <f>IFERROR(__xludf.DUMMYFUNCTION("""COMPUTED_VALUE"""),117.58)</f>
        <v>117.58</v>
      </c>
      <c r="X185" s="55"/>
      <c r="Y185" s="55"/>
      <c r="Z185" s="55"/>
      <c r="AA185" s="55"/>
      <c r="AB185" s="55"/>
      <c r="AC185" s="55"/>
      <c r="AD185" s="55"/>
      <c r="AE185" s="55"/>
      <c r="AF185" s="55"/>
      <c r="AG185" s="55"/>
      <c r="AH185" s="55"/>
      <c r="AI185" s="55"/>
      <c r="AJ185" s="55"/>
      <c r="AK185" s="55"/>
      <c r="AL185" s="55"/>
      <c r="AM185" s="55" t="str">
        <f>IFERROR(__xludf.DUMMYFUNCTION("""COMPUTED_VALUE"""),"#m03QmvM+wr1Qb4dQWIJXI7KLkC1P+Z2Txg+fXKxt8dOG+6NtZkiKAVAAFhDoRDA=")</f>
        <v>#m03QmvM+wr1Qb4dQWIJXI7KLkC1P+Z2Txg+fXKxt8dOG+6NtZkiKAVAAFhDoRDA=</v>
      </c>
      <c r="AN185" s="55"/>
      <c r="AO185" s="55"/>
      <c r="AP185" s="55"/>
      <c r="AQ185" s="55"/>
      <c r="AR185" s="55"/>
      <c r="AS185" s="55"/>
      <c r="AT185" s="55"/>
      <c r="AU185" s="55"/>
      <c r="AV185" s="55"/>
      <c r="AW185" s="35"/>
      <c r="AX185" s="35"/>
      <c r="AY185" s="35"/>
      <c r="AZ185" s="35"/>
      <c r="BA185" s="35"/>
      <c r="BB185" s="35"/>
      <c r="BC185" s="35"/>
      <c r="BD185" s="35"/>
      <c r="BE185" s="35"/>
      <c r="BF185" s="35"/>
      <c r="BG185" s="35"/>
    </row>
    <row r="186" ht="15.75" customHeight="1">
      <c r="A186" s="55" t="str">
        <f>IFERROR(__xludf.DUMMYFUNCTION("""COMPUTED_VALUE"""),"Tiktok")</f>
        <v>Tiktok</v>
      </c>
      <c r="B186" s="56">
        <f>IFERROR(__xludf.DUMMYFUNCTION("""COMPUTED_VALUE"""),46204.0)</f>
        <v>46204</v>
      </c>
      <c r="C186" s="55" t="str">
        <f>IFERROR(__xludf.DUMMYFUNCTION("""COMPUTED_VALUE"""),"July")</f>
        <v>July</v>
      </c>
      <c r="D186" s="58" t="str">
        <f>IFERROR(__xludf.DUMMYFUNCTION("""COMPUTED_VALUE"""),"https://www.tiktok.com/@chandaraj51/video/7659474366786194719")</f>
        <v>https://www.tiktok.com/@chandaraj51/video/7659474366786194719</v>
      </c>
      <c r="E186" s="55" t="str">
        <f>IFERROR(__xludf.DUMMYFUNCTION("""COMPUTED_VALUE"""),"@chandaraj51")</f>
        <v>@chandaraj51</v>
      </c>
      <c r="F186" s="55"/>
      <c r="G186" s="55" t="str">
        <f>IFERROR(__xludf.DUMMYFUNCTION("""COMPUTED_VALUE"""),"Gummies vs Coffee")</f>
        <v>Gummies vs Coffee</v>
      </c>
      <c r="H186" s="55"/>
      <c r="I186" s="55">
        <f>IFERROR(__xludf.DUMMYFUNCTION("""COMPUTED_VALUE"""),11.1)</f>
        <v>11.1</v>
      </c>
      <c r="J186" s="55" t="str">
        <f>IFERROR(__xludf.DUMMYFUNCTION("""COMPUTED_VALUE"""),"No – Not Recommended")</f>
        <v>No – Not Recommended</v>
      </c>
      <c r="K186" s="55" t="str">
        <f>IFERROR(__xludf.DUMMYFUNCTION("""COMPUTED_VALUE"""),"No")</f>
        <v>No</v>
      </c>
      <c r="L186" s="55" t="str">
        <f>IFERROR(__xludf.DUMMYFUNCTION("""COMPUTED_VALUE"""),"Score 0.0 &lt; 30 threshold")</f>
        <v>Score 0.0 &lt; 30 threshold</v>
      </c>
      <c r="M186" s="55" t="str">
        <f>IFERROR(__xludf.DUMMYFUNCTION("""COMPUTED_VALUE"""),"No Ad Data")</f>
        <v>No Ad Data</v>
      </c>
      <c r="N186" s="55"/>
      <c r="O186" s="55"/>
      <c r="P186" s="55">
        <f>IFERROR(__xludf.DUMMYFUNCTION("""COMPUTED_VALUE"""),573.0)</f>
        <v>573</v>
      </c>
      <c r="Q186" s="55"/>
      <c r="R186" s="55"/>
      <c r="S186" s="55"/>
      <c r="T186" s="55"/>
      <c r="U186" s="55"/>
      <c r="V186" s="55"/>
      <c r="W186" s="55">
        <f>IFERROR(__xludf.DUMMYFUNCTION("""COMPUTED_VALUE"""),72.99)</f>
        <v>72.99</v>
      </c>
      <c r="X186" s="55"/>
      <c r="Y186" s="55"/>
      <c r="Z186" s="55"/>
      <c r="AA186" s="55"/>
      <c r="AB186" s="55"/>
      <c r="AC186" s="55"/>
      <c r="AD186" s="55"/>
      <c r="AE186" s="55"/>
      <c r="AF186" s="55"/>
      <c r="AG186" s="55"/>
      <c r="AH186" s="55"/>
      <c r="AI186" s="55"/>
      <c r="AJ186" s="55"/>
      <c r="AK186" s="55"/>
      <c r="AL186" s="55"/>
      <c r="AM186" s="55" t="str">
        <f>IFERROR(__xludf.DUMMYFUNCTION("""COMPUTED_VALUE"""),"#7ddG7N7oAHHo4NyMgZcuFFdEt+Seg0V93ExYoag6MnSALUiwu/f3kIMc9lfR+78=")</f>
        <v>#7ddG7N7oAHHo4NyMgZcuFFdEt+Seg0V93ExYoag6MnSALUiwu/f3kIMc9lfR+78=</v>
      </c>
      <c r="AN186" s="55"/>
      <c r="AO186" s="55"/>
      <c r="AP186" s="55"/>
      <c r="AQ186" s="55"/>
      <c r="AR186" s="55"/>
      <c r="AS186" s="55"/>
      <c r="AT186" s="55"/>
      <c r="AU186" s="55"/>
      <c r="AV186" s="55"/>
      <c r="AW186" s="35"/>
      <c r="AX186" s="35"/>
      <c r="AY186" s="35"/>
      <c r="AZ186" s="35"/>
      <c r="BA186" s="35"/>
      <c r="BB186" s="35"/>
      <c r="BC186" s="35"/>
      <c r="BD186" s="35"/>
      <c r="BE186" s="35"/>
      <c r="BF186" s="35"/>
      <c r="BG186" s="35"/>
    </row>
    <row r="187" ht="15.75" customHeight="1">
      <c r="A187" s="55" t="str">
        <f>IFERROR(__xludf.DUMMYFUNCTION("""COMPUTED_VALUE"""),"Tiktok")</f>
        <v>Tiktok</v>
      </c>
      <c r="B187" s="56">
        <f>IFERROR(__xludf.DUMMYFUNCTION("""COMPUTED_VALUE"""),46205.0)</f>
        <v>46205</v>
      </c>
      <c r="C187" s="55" t="str">
        <f>IFERROR(__xludf.DUMMYFUNCTION("""COMPUTED_VALUE"""),"July")</f>
        <v>July</v>
      </c>
      <c r="D187" s="58" t="str">
        <f>IFERROR(__xludf.DUMMYFUNCTION("""COMPUTED_VALUE"""),"https://www.tiktok.com/@mamaprimeriza20240/video/7657544918411365645")</f>
        <v>https://www.tiktok.com/@mamaprimeriza20240/video/7657544918411365645</v>
      </c>
      <c r="E187" s="55" t="str">
        <f>IFERROR(__xludf.DUMMYFUNCTION("""COMPUTED_VALUE"""),"@mamaprimeriza20240")</f>
        <v>@mamaprimeriza20240</v>
      </c>
      <c r="F187" s="55"/>
      <c r="G187" s="55" t="str">
        <f>IFERROR(__xludf.DUMMYFUNCTION("""COMPUTED_VALUE"""),"Target In-Store Discovery")</f>
        <v>Target In-Store Discovery</v>
      </c>
      <c r="H187" s="55"/>
      <c r="I187" s="55">
        <f>IFERROR(__xludf.DUMMYFUNCTION("""COMPUTED_VALUE"""),8.1)</f>
        <v>8.1</v>
      </c>
      <c r="J187" s="55" t="str">
        <f>IFERROR(__xludf.DUMMYFUNCTION("""COMPUTED_VALUE"""),"No – Not Recommended")</f>
        <v>No – Not Recommended</v>
      </c>
      <c r="K187" s="55" t="str">
        <f>IFERROR(__xludf.DUMMYFUNCTION("""COMPUTED_VALUE"""),"No")</f>
        <v>No</v>
      </c>
      <c r="L187" s="55" t="str">
        <f>IFERROR(__xludf.DUMMYFUNCTION("""COMPUTED_VALUE"""),"Score 0.0 &lt; 30 threshold")</f>
        <v>Score 0.0 &lt; 30 threshold</v>
      </c>
      <c r="M187" s="55" t="str">
        <f>IFERROR(__xludf.DUMMYFUNCTION("""COMPUTED_VALUE"""),"No Ad Data")</f>
        <v>No Ad Data</v>
      </c>
      <c r="N187" s="55"/>
      <c r="O187" s="55"/>
      <c r="P187" s="55">
        <f>IFERROR(__xludf.DUMMYFUNCTION("""COMPUTED_VALUE"""),228.0)</f>
        <v>228</v>
      </c>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35"/>
      <c r="AX187" s="35"/>
      <c r="AY187" s="35"/>
      <c r="AZ187" s="35"/>
      <c r="BA187" s="35"/>
      <c r="BB187" s="35"/>
      <c r="BC187" s="35"/>
      <c r="BD187" s="35"/>
      <c r="BE187" s="35"/>
      <c r="BF187" s="35"/>
      <c r="BG187" s="35"/>
    </row>
    <row r="188" ht="15.75" customHeight="1">
      <c r="A188" s="55" t="str">
        <f>IFERROR(__xludf.DUMMYFUNCTION("""COMPUTED_VALUE"""),"Tiktok")</f>
        <v>Tiktok</v>
      </c>
      <c r="B188" s="56">
        <f>IFERROR(__xludf.DUMMYFUNCTION("""COMPUTED_VALUE"""),46205.0)</f>
        <v>46205</v>
      </c>
      <c r="C188" s="55" t="str">
        <f>IFERROR(__xludf.DUMMYFUNCTION("""COMPUTED_VALUE"""),"July")</f>
        <v>July</v>
      </c>
      <c r="D188" s="58" t="str">
        <f>IFERROR(__xludf.DUMMYFUNCTION("""COMPUTED_VALUE"""),"https://www.tiktok.com/@daianechrist449/video/7657671289338875150")</f>
        <v>https://www.tiktok.com/@daianechrist449/video/7657671289338875150</v>
      </c>
      <c r="E188" s="55" t="str">
        <f>IFERROR(__xludf.DUMMYFUNCTION("""COMPUTED_VALUE"""),"@daianechrist449")</f>
        <v>@daianechrist449</v>
      </c>
      <c r="F188" s="55"/>
      <c r="G188" s="55" t="str">
        <f>IFERROR(__xludf.DUMMYFUNCTION("""COMPUTED_VALUE"""),"Target In-Store Discovery")</f>
        <v>Target In-Store Discovery</v>
      </c>
      <c r="H188" s="55"/>
      <c r="I188" s="55">
        <f>IFERROR(__xludf.DUMMYFUNCTION("""COMPUTED_VALUE"""),5.8)</f>
        <v>5.8</v>
      </c>
      <c r="J188" s="55" t="str">
        <f>IFERROR(__xludf.DUMMYFUNCTION("""COMPUTED_VALUE"""),"No – Not Recommended")</f>
        <v>No – Not Recommended</v>
      </c>
      <c r="K188" s="55" t="str">
        <f>IFERROR(__xludf.DUMMYFUNCTION("""COMPUTED_VALUE"""),"No")</f>
        <v>No</v>
      </c>
      <c r="L188" s="55" t="str">
        <f>IFERROR(__xludf.DUMMYFUNCTION("""COMPUTED_VALUE"""),"Score 0.0 &lt; 30 threshold")</f>
        <v>Score 0.0 &lt; 30 threshold</v>
      </c>
      <c r="M188" s="55" t="str">
        <f>IFERROR(__xludf.DUMMYFUNCTION("""COMPUTED_VALUE"""),"No Ad Data")</f>
        <v>No Ad Data</v>
      </c>
      <c r="N188" s="55"/>
      <c r="O188" s="55"/>
      <c r="P188" s="55">
        <f>IFERROR(__xludf.DUMMYFUNCTION("""COMPUTED_VALUE"""),109.0)</f>
        <v>109</v>
      </c>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35"/>
      <c r="AX188" s="35"/>
      <c r="AY188" s="35"/>
      <c r="AZ188" s="35"/>
      <c r="BA188" s="35"/>
      <c r="BB188" s="35"/>
      <c r="BC188" s="35"/>
      <c r="BD188" s="35"/>
      <c r="BE188" s="35"/>
      <c r="BF188" s="35"/>
      <c r="BG188" s="35"/>
    </row>
    <row r="189" ht="15.75" customHeight="1">
      <c r="A189" s="55" t="str">
        <f>IFERROR(__xludf.DUMMYFUNCTION("""COMPUTED_VALUE"""),"Tiktok")</f>
        <v>Tiktok</v>
      </c>
      <c r="B189" s="56">
        <f>IFERROR(__xludf.DUMMYFUNCTION("""COMPUTED_VALUE"""),46205.0)</f>
        <v>46205</v>
      </c>
      <c r="C189" s="55" t="str">
        <f>IFERROR(__xludf.DUMMYFUNCTION("""COMPUTED_VALUE"""),"July")</f>
        <v>July</v>
      </c>
      <c r="D189" s="58" t="str">
        <f>IFERROR(__xludf.DUMMYFUNCTION("""COMPUTED_VALUE"""),"https://www.tiktok.com/@fabiliealves/video/7657747822460063007")</f>
        <v>https://www.tiktok.com/@fabiliealves/video/7657747822460063007</v>
      </c>
      <c r="E189" s="55" t="str">
        <f>IFERROR(__xludf.DUMMYFUNCTION("""COMPUTED_VALUE"""),"@fabiliealves")</f>
        <v>@fabiliealves</v>
      </c>
      <c r="F189" s="55"/>
      <c r="G189" s="55" t="str">
        <f>IFERROR(__xludf.DUMMYFUNCTION("""COMPUTED_VALUE"""),"Target In-Store Discovery")</f>
        <v>Target In-Store Discovery</v>
      </c>
      <c r="H189" s="55"/>
      <c r="I189" s="55">
        <f>IFERROR(__xludf.DUMMYFUNCTION("""COMPUTED_VALUE"""),9.2)</f>
        <v>9.2</v>
      </c>
      <c r="J189" s="55" t="str">
        <f>IFERROR(__xludf.DUMMYFUNCTION("""COMPUTED_VALUE"""),"No – Not Recommended")</f>
        <v>No – Not Recommended</v>
      </c>
      <c r="K189" s="55" t="str">
        <f>IFERROR(__xludf.DUMMYFUNCTION("""COMPUTED_VALUE"""),"No")</f>
        <v>No</v>
      </c>
      <c r="L189" s="55" t="str">
        <f>IFERROR(__xludf.DUMMYFUNCTION("""COMPUTED_VALUE"""),"Score 0.0 &lt; 30 threshold")</f>
        <v>Score 0.0 &lt; 30 threshold</v>
      </c>
      <c r="M189" s="55" t="str">
        <f>IFERROR(__xludf.DUMMYFUNCTION("""COMPUTED_VALUE"""),"No Ad Data")</f>
        <v>No Ad Data</v>
      </c>
      <c r="N189" s="55"/>
      <c r="O189" s="55"/>
      <c r="P189" s="55">
        <f>IFERROR(__xludf.DUMMYFUNCTION("""COMPUTED_VALUE"""),486.0)</f>
        <v>486</v>
      </c>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35"/>
      <c r="AX189" s="35"/>
      <c r="AY189" s="35"/>
      <c r="AZ189" s="35"/>
      <c r="BA189" s="35"/>
      <c r="BB189" s="35"/>
      <c r="BC189" s="35"/>
      <c r="BD189" s="35"/>
      <c r="BE189" s="35"/>
      <c r="BF189" s="35"/>
      <c r="BG189" s="35"/>
    </row>
    <row r="190" ht="15.75" customHeight="1">
      <c r="A190" s="55" t="str">
        <f>IFERROR(__xludf.DUMMYFUNCTION("""COMPUTED_VALUE"""),"Tiktok")</f>
        <v>Tiktok</v>
      </c>
      <c r="B190" s="56">
        <f>IFERROR(__xludf.DUMMYFUNCTION("""COMPUTED_VALUE"""),46206.0)</f>
        <v>46206</v>
      </c>
      <c r="C190" s="55" t="str">
        <f>IFERROR(__xludf.DUMMYFUNCTION("""COMPUTED_VALUE"""),"July")</f>
        <v>July</v>
      </c>
      <c r="D190" s="58" t="str">
        <f>IFERROR(__xludf.DUMMYFUNCTION("""COMPUTED_VALUE"""),"https://www.tiktok.com/@astoldbybri2/video/7658241329713007903")</f>
        <v>https://www.tiktok.com/@astoldbybri2/video/7658241329713007903</v>
      </c>
      <c r="E190" s="55" t="str">
        <f>IFERROR(__xludf.DUMMYFUNCTION("""COMPUTED_VALUE"""),"@astoldbybri2")</f>
        <v>@astoldbybri2</v>
      </c>
      <c r="F190" s="55"/>
      <c r="G190" s="55" t="str">
        <f>IFERROR(__xludf.DUMMYFUNCTION("""COMPUTED_VALUE"""),"Target Shelf Showdown")</f>
        <v>Target Shelf Showdown</v>
      </c>
      <c r="H190" s="55"/>
      <c r="I190" s="55">
        <f>IFERROR(__xludf.DUMMYFUNCTION("""COMPUTED_VALUE"""),10.3)</f>
        <v>10.3</v>
      </c>
      <c r="J190" s="55" t="str">
        <f>IFERROR(__xludf.DUMMYFUNCTION("""COMPUTED_VALUE"""),"No – Not Recommended")</f>
        <v>No – Not Recommended</v>
      </c>
      <c r="K190" s="55" t="str">
        <f>IFERROR(__xludf.DUMMYFUNCTION("""COMPUTED_VALUE"""),"No")</f>
        <v>No</v>
      </c>
      <c r="L190" s="55" t="str">
        <f>IFERROR(__xludf.DUMMYFUNCTION("""COMPUTED_VALUE"""),"Score 0.0 &lt; 30 threshold")</f>
        <v>Score 0.0 &lt; 30 threshold</v>
      </c>
      <c r="M190" s="55" t="str">
        <f>IFERROR(__xludf.DUMMYFUNCTION("""COMPUTED_VALUE"""),"No Ad Data")</f>
        <v>No Ad Data</v>
      </c>
      <c r="N190" s="55"/>
      <c r="O190" s="55"/>
      <c r="P190" s="55">
        <f>IFERROR(__xludf.DUMMYFUNCTION("""COMPUTED_VALUE"""),131.0)</f>
        <v>131</v>
      </c>
      <c r="Q190" s="55">
        <f>IFERROR(__xludf.DUMMYFUNCTION("""COMPUTED_VALUE"""),2.0)</f>
        <v>2</v>
      </c>
      <c r="R190" s="55"/>
      <c r="S190" s="55"/>
      <c r="T190" s="55">
        <f>IFERROR(__xludf.DUMMYFUNCTION("""COMPUTED_VALUE"""),0.19)</f>
        <v>0.19</v>
      </c>
      <c r="U190" s="55"/>
      <c r="V190" s="55">
        <f>IFERROR(__xludf.DUMMYFUNCTION("""COMPUTED_VALUE"""),3.0)</f>
        <v>3</v>
      </c>
      <c r="W190" s="55">
        <f>IFERROR(__xludf.DUMMYFUNCTION("""COMPUTED_VALUE"""),72.99)</f>
        <v>72.99</v>
      </c>
      <c r="X190" s="55"/>
      <c r="Y190" s="55"/>
      <c r="Z190" s="55"/>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35"/>
      <c r="AX190" s="35"/>
      <c r="AY190" s="35"/>
      <c r="AZ190" s="35"/>
      <c r="BA190" s="35"/>
      <c r="BB190" s="35"/>
      <c r="BC190" s="35"/>
      <c r="BD190" s="35"/>
      <c r="BE190" s="35"/>
      <c r="BF190" s="35"/>
      <c r="BG190" s="35"/>
    </row>
    <row r="191" ht="15.75" customHeight="1">
      <c r="A191" s="55" t="str">
        <f>IFERROR(__xludf.DUMMYFUNCTION("""COMPUTED_VALUE"""),"Tiktok")</f>
        <v>Tiktok</v>
      </c>
      <c r="B191" s="56">
        <f>IFERROR(__xludf.DUMMYFUNCTION("""COMPUTED_VALUE"""),46209.0)</f>
        <v>46209</v>
      </c>
      <c r="C191" s="55" t="str">
        <f>IFERROR(__xludf.DUMMYFUNCTION("""COMPUTED_VALUE"""),"July")</f>
        <v>July</v>
      </c>
      <c r="D191" s="58" t="str">
        <f>IFERROR(__xludf.DUMMYFUNCTION("""COMPUTED_VALUE"""),"https://www.tiktok.com/@aprilmcfarlingsegura/video/7659435893433961742")</f>
        <v>https://www.tiktok.com/@aprilmcfarlingsegura/video/7659435893433961742</v>
      </c>
      <c r="E191" s="55" t="str">
        <f>IFERROR(__xludf.DUMMYFUNCTION("""COMPUTED_VALUE"""),"@aprilmcfarlingsegura")</f>
        <v>@aprilmcfarlingsegura</v>
      </c>
      <c r="F191" s="55"/>
      <c r="G191" s="55" t="str">
        <f>IFERROR(__xludf.DUMMYFUNCTION("""COMPUTED_VALUE"""),"Taste")</f>
        <v>Taste</v>
      </c>
      <c r="H191" s="55"/>
      <c r="I191" s="55">
        <f>IFERROR(__xludf.DUMMYFUNCTION("""COMPUTED_VALUE"""),6.2)</f>
        <v>6.2</v>
      </c>
      <c r="J191" s="55" t="str">
        <f>IFERROR(__xludf.DUMMYFUNCTION("""COMPUTED_VALUE"""),"No – Not Recommended")</f>
        <v>No – Not Recommended</v>
      </c>
      <c r="K191" s="55" t="str">
        <f>IFERROR(__xludf.DUMMYFUNCTION("""COMPUTED_VALUE"""),"No")</f>
        <v>No</v>
      </c>
      <c r="L191" s="55" t="str">
        <f>IFERROR(__xludf.DUMMYFUNCTION("""COMPUTED_VALUE"""),"Score 0.0 &lt; 30 threshold")</f>
        <v>Score 0.0 &lt; 30 threshold</v>
      </c>
      <c r="M191" s="55" t="str">
        <f>IFERROR(__xludf.DUMMYFUNCTION("""COMPUTED_VALUE"""),"No Ad Data")</f>
        <v>No Ad Data</v>
      </c>
      <c r="N191" s="55"/>
      <c r="O191" s="55"/>
      <c r="P191" s="55">
        <f>IFERROR(__xludf.DUMMYFUNCTION("""COMPUTED_VALUE"""),150.0)</f>
        <v>150</v>
      </c>
      <c r="Q191" s="55"/>
      <c r="R191" s="55"/>
      <c r="S191" s="55"/>
      <c r="T191" s="55"/>
      <c r="U191" s="55"/>
      <c r="V191" s="55"/>
      <c r="W191" s="55">
        <f>IFERROR(__xludf.DUMMYFUNCTION("""COMPUTED_VALUE"""),117.58)</f>
        <v>117.58</v>
      </c>
      <c r="X191" s="55"/>
      <c r="Y191" s="55"/>
      <c r="Z191" s="55"/>
      <c r="AA191" s="55"/>
      <c r="AB191" s="55"/>
      <c r="AC191" s="55"/>
      <c r="AD191" s="55"/>
      <c r="AE191" s="55"/>
      <c r="AF191" s="55"/>
      <c r="AG191" s="55"/>
      <c r="AH191" s="55"/>
      <c r="AI191" s="55"/>
      <c r="AJ191" s="55"/>
      <c r="AK191" s="55"/>
      <c r="AL191" s="55"/>
      <c r="AM191" s="55" t="str">
        <f>IFERROR(__xludf.DUMMYFUNCTION("""COMPUTED_VALUE"""),"#0cX+tiUpt67KNF/6oiSCEq8S7oljZCRzK9DyKxVBcoJs7DYrWXf5IkVEBM5iimU=")</f>
        <v>#0cX+tiUpt67KNF/6oiSCEq8S7oljZCRzK9DyKxVBcoJs7DYrWXf5IkVEBM5iimU=</v>
      </c>
      <c r="AN191" s="55"/>
      <c r="AO191" s="55"/>
      <c r="AP191" s="55"/>
      <c r="AQ191" s="55"/>
      <c r="AR191" s="55"/>
      <c r="AS191" s="55"/>
      <c r="AT191" s="55"/>
      <c r="AU191" s="55"/>
      <c r="AV191" s="55"/>
      <c r="AW191" s="35"/>
      <c r="AX191" s="35"/>
      <c r="AY191" s="35"/>
      <c r="AZ191" s="35"/>
      <c r="BA191" s="35"/>
      <c r="BB191" s="35"/>
      <c r="BC191" s="35"/>
      <c r="BD191" s="35"/>
      <c r="BE191" s="35"/>
      <c r="BF191" s="35"/>
      <c r="BG191" s="35"/>
    </row>
    <row r="192" ht="15.75" customHeight="1">
      <c r="A192" s="55" t="str">
        <f>IFERROR(__xludf.DUMMYFUNCTION("""COMPUTED_VALUE"""),"Tiktok")</f>
        <v>Tiktok</v>
      </c>
      <c r="B192" s="56">
        <f>IFERROR(__xludf.DUMMYFUNCTION("""COMPUTED_VALUE"""),46209.0)</f>
        <v>46209</v>
      </c>
      <c r="C192" s="55" t="str">
        <f>IFERROR(__xludf.DUMMYFUNCTION("""COMPUTED_VALUE"""),"July")</f>
        <v>July</v>
      </c>
      <c r="D192" s="58" t="str">
        <f>IFERROR(__xludf.DUMMYFUNCTION("""COMPUTED_VALUE"""),"https://www.tiktok.com/@momlifehacksdaily/video/7659457332182600973")</f>
        <v>https://www.tiktok.com/@momlifehacksdaily/video/7659457332182600973</v>
      </c>
      <c r="E192" s="55" t="str">
        <f>IFERROR(__xludf.DUMMYFUNCTION("""COMPUTED_VALUE"""),"@momlifehacksdaily")</f>
        <v>@momlifehacksdaily</v>
      </c>
      <c r="F192" s="55"/>
      <c r="G192" s="55" t="str">
        <f>IFERROR(__xludf.DUMMYFUNCTION("""COMPUTED_VALUE"""),"Over 40/ High Performer")</f>
        <v>Over 40/ High Performer</v>
      </c>
      <c r="H192" s="55"/>
      <c r="I192" s="55">
        <f>IFERROR(__xludf.DUMMYFUNCTION("""COMPUTED_VALUE"""),6.2)</f>
        <v>6.2</v>
      </c>
      <c r="J192" s="55" t="str">
        <f>IFERROR(__xludf.DUMMYFUNCTION("""COMPUTED_VALUE"""),"No – Not Recommended")</f>
        <v>No – Not Recommended</v>
      </c>
      <c r="K192" s="55" t="str">
        <f>IFERROR(__xludf.DUMMYFUNCTION("""COMPUTED_VALUE"""),"No")</f>
        <v>No</v>
      </c>
      <c r="L192" s="55" t="str">
        <f>IFERROR(__xludf.DUMMYFUNCTION("""COMPUTED_VALUE"""),"Score 0.0 &lt; 30 threshold")</f>
        <v>Score 0.0 &lt; 30 threshold</v>
      </c>
      <c r="M192" s="55" t="str">
        <f>IFERROR(__xludf.DUMMYFUNCTION("""COMPUTED_VALUE"""),"No Ad Data")</f>
        <v>No Ad Data</v>
      </c>
      <c r="N192" s="55"/>
      <c r="O192" s="55"/>
      <c r="P192" s="55">
        <f>IFERROR(__xludf.DUMMYFUNCTION("""COMPUTED_VALUE"""),159.0)</f>
        <v>159</v>
      </c>
      <c r="Q192" s="55"/>
      <c r="R192" s="55"/>
      <c r="S192" s="55"/>
      <c r="T192" s="55"/>
      <c r="U192" s="55"/>
      <c r="V192" s="55"/>
      <c r="W192" s="55">
        <f>IFERROR(__xludf.DUMMYFUNCTION("""COMPUTED_VALUE"""),117.58)</f>
        <v>117.58</v>
      </c>
      <c r="X192" s="55"/>
      <c r="Y192" s="55"/>
      <c r="Z192" s="55"/>
      <c r="AA192" s="55"/>
      <c r="AB192" s="55"/>
      <c r="AC192" s="55"/>
      <c r="AD192" s="55"/>
      <c r="AE192" s="55"/>
      <c r="AF192" s="55"/>
      <c r="AG192" s="55"/>
      <c r="AH192" s="55"/>
      <c r="AI192" s="55"/>
      <c r="AJ192" s="55"/>
      <c r="AK192" s="55"/>
      <c r="AL192" s="55"/>
      <c r="AM192" s="55" t="str">
        <f>IFERROR(__xludf.DUMMYFUNCTION("""COMPUTED_VALUE"""),"#86ETQ+1DXvQf5k0k23cqohYO7OfDJDBBCbdxK/6cl2QWvUpvSwk+9TaF71PaChk=")</f>
        <v>#86ETQ+1DXvQf5k0k23cqohYO7OfDJDBBCbdxK/6cl2QWvUpvSwk+9TaF71PaChk=</v>
      </c>
      <c r="AN192" s="55"/>
      <c r="AO192" s="55"/>
      <c r="AP192" s="55"/>
      <c r="AQ192" s="55"/>
      <c r="AR192" s="55"/>
      <c r="AS192" s="55"/>
      <c r="AT192" s="55"/>
      <c r="AU192" s="55"/>
      <c r="AV192" s="55"/>
      <c r="AW192" s="35"/>
      <c r="AX192" s="35"/>
      <c r="AY192" s="35"/>
      <c r="AZ192" s="35"/>
      <c r="BA192" s="35"/>
      <c r="BB192" s="35"/>
      <c r="BC192" s="35"/>
      <c r="BD192" s="35"/>
      <c r="BE192" s="35"/>
      <c r="BF192" s="35"/>
      <c r="BG192" s="35"/>
    </row>
    <row r="193" ht="15.75" customHeight="1">
      <c r="A193" s="55" t="str">
        <f>IFERROR(__xludf.DUMMYFUNCTION("""COMPUTED_VALUE"""),"Instagram")</f>
        <v>Instagram</v>
      </c>
      <c r="B193" s="56">
        <f>IFERROR(__xludf.DUMMYFUNCTION("""COMPUTED_VALUE"""),46210.0)</f>
        <v>46210</v>
      </c>
      <c r="C193" s="55" t="str">
        <f>IFERROR(__xludf.DUMMYFUNCTION("""COMPUTED_VALUE"""),"July")</f>
        <v>July</v>
      </c>
      <c r="D193" s="58" t="str">
        <f>IFERROR(__xludf.DUMMYFUNCTION("""COMPUTED_VALUE"""),"https://www.instagram.com/reel/DadYMEOz3GX/")</f>
        <v>https://www.instagram.com/reel/DadYMEOz3GX/</v>
      </c>
      <c r="E193" s="55" t="str">
        <f>IFERROR(__xludf.DUMMYFUNCTION("""COMPUTED_VALUE"""),"@na")</f>
        <v>@na</v>
      </c>
      <c r="F193" s="55"/>
      <c r="G193" s="55" t="str">
        <f>IFERROR(__xludf.DUMMYFUNCTION("""COMPUTED_VALUE"""),"Target Shelf Showdown")</f>
        <v>Target Shelf Showdown</v>
      </c>
      <c r="H193" s="55"/>
      <c r="I193" s="55">
        <f>IFERROR(__xludf.DUMMYFUNCTION("""COMPUTED_VALUE"""),11.6)</f>
        <v>11.6</v>
      </c>
      <c r="J193" s="55" t="str">
        <f>IFERROR(__xludf.DUMMYFUNCTION("""COMPUTED_VALUE"""),"No – Not Recommended")</f>
        <v>No – Not Recommended</v>
      </c>
      <c r="K193" s="55" t="str">
        <f>IFERROR(__xludf.DUMMYFUNCTION("""COMPUTED_VALUE"""),"No")</f>
        <v>No</v>
      </c>
      <c r="L193" s="55" t="str">
        <f>IFERROR(__xludf.DUMMYFUNCTION("""COMPUTED_VALUE"""),"Score 0.0 &lt; 20 threshold")</f>
        <v>Score 0.0 &lt; 20 threshold</v>
      </c>
      <c r="M193" s="55" t="str">
        <f>IFERROR(__xludf.DUMMYFUNCTION("""COMPUTED_VALUE"""),"No Ad Data")</f>
        <v>No Ad Data</v>
      </c>
      <c r="N193" s="55"/>
      <c r="O193" s="55"/>
      <c r="P193" s="55">
        <f>IFERROR(__xludf.DUMMYFUNCTION("""COMPUTED_VALUE"""),112.0)</f>
        <v>112</v>
      </c>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t="str">
        <f>IFERROR(__xludf.DUMMYFUNCTION("""COMPUTED_VALUE"""),"Q9jTBBYhZKlxE-C5fIwrzEFhFI0CQnRaGjwkMf9uehWEkDCsa2dVCiAX0t8T5o2BxvI")</f>
        <v>Q9jTBBYhZKlxE-C5fIwrzEFhFI0CQnRaGjwkMf9uehWEkDCsa2dVCiAX0t8T5o2BxvI</v>
      </c>
      <c r="AN193" s="55"/>
      <c r="AO193" s="55"/>
      <c r="AP193" s="55"/>
      <c r="AQ193" s="55"/>
      <c r="AR193" s="55"/>
      <c r="AS193" s="55"/>
      <c r="AT193" s="55"/>
      <c r="AU193" s="55"/>
      <c r="AV193" s="55"/>
      <c r="AW193" s="35"/>
      <c r="AX193" s="35"/>
      <c r="AY193" s="35"/>
      <c r="AZ193" s="35"/>
      <c r="BA193" s="35"/>
      <c r="BB193" s="35"/>
      <c r="BC193" s="35"/>
      <c r="BD193" s="35"/>
      <c r="BE193" s="35"/>
      <c r="BF193" s="35"/>
      <c r="BG193" s="35"/>
    </row>
    <row r="194" ht="15.75" customHeight="1">
      <c r="A194" s="55" t="str">
        <f>IFERROR(__xludf.DUMMYFUNCTION("""COMPUTED_VALUE"""),"Tiktok")</f>
        <v>Tiktok</v>
      </c>
      <c r="B194" s="56">
        <f>IFERROR(__xludf.DUMMYFUNCTION("""COMPUTED_VALUE"""),46214.0)</f>
        <v>46214</v>
      </c>
      <c r="C194" s="55" t="str">
        <f>IFERROR(__xludf.DUMMYFUNCTION("""COMPUTED_VALUE"""),"July")</f>
        <v>July</v>
      </c>
      <c r="D194" s="58" t="str">
        <f>IFERROR(__xludf.DUMMYFUNCTION("""COMPUTED_VALUE"""),"https://www.tiktok.com/@ash468064/video/7661282730356903199")</f>
        <v>https://www.tiktok.com/@ash468064/video/7661282730356903199</v>
      </c>
      <c r="E194" s="55"/>
      <c r="F194" s="55"/>
      <c r="G194" s="55" t="str">
        <f>IFERROR(__xludf.DUMMYFUNCTION("""COMPUTED_VALUE"""),"Mushroom Trend")</f>
        <v>Mushroom Trend</v>
      </c>
      <c r="H194" s="55"/>
      <c r="I194" s="55">
        <f>IFERROR(__xludf.DUMMYFUNCTION("""COMPUTED_VALUE"""),24.4)</f>
        <v>24.4</v>
      </c>
      <c r="J194" s="55" t="str">
        <f>IFERROR(__xludf.DUMMYFUNCTION("""COMPUTED_VALUE"""),"No – Not Recommended")</f>
        <v>No – Not Recommended</v>
      </c>
      <c r="K194" s="55"/>
      <c r="L194" s="55" t="str">
        <f>IFERROR(__xludf.DUMMYFUNCTION("""COMPUTED_VALUE"""),"Score 25.5 &lt; 30 threshold")</f>
        <v>Score 25.5 &lt; 30 threshold</v>
      </c>
      <c r="M194" s="55" t="str">
        <f>IFERROR(__xludf.DUMMYFUNCTION("""COMPUTED_VALUE"""),"No Ad Data")</f>
        <v>No Ad Data</v>
      </c>
      <c r="N194" s="55"/>
      <c r="O194" s="55"/>
      <c r="P194" s="55">
        <f>IFERROR(__xludf.DUMMYFUNCTION("""COMPUTED_VALUE"""),78.0)</f>
        <v>78</v>
      </c>
      <c r="Q194" s="55"/>
      <c r="R194" s="55"/>
      <c r="S194" s="55"/>
      <c r="T194" s="55">
        <f>IFERROR(__xludf.DUMMYFUNCTION("""COMPUTED_VALUE"""),15.3)</f>
        <v>15.3</v>
      </c>
      <c r="U194" s="55"/>
      <c r="V194" s="55"/>
      <c r="W194" s="55">
        <f>IFERROR(__xludf.DUMMYFUNCTION("""COMPUTED_VALUE"""),117.58)</f>
        <v>117.58</v>
      </c>
      <c r="X194" s="55"/>
      <c r="Y194" s="55"/>
      <c r="Z194" s="55"/>
      <c r="AA194" s="55">
        <f>IFERROR(__xludf.DUMMYFUNCTION("""COMPUTED_VALUE"""),0.0)</f>
        <v>0</v>
      </c>
      <c r="AB194" s="55"/>
      <c r="AC194" s="55"/>
      <c r="AD194" s="55"/>
      <c r="AE194" s="55"/>
      <c r="AF194" s="55"/>
      <c r="AG194" s="55"/>
      <c r="AH194" s="55"/>
      <c r="AI194" s="55"/>
      <c r="AJ194" s="55"/>
      <c r="AK194" s="55"/>
      <c r="AL194" s="55"/>
      <c r="AM194" s="55" t="str">
        <f>IFERROR(__xludf.DUMMYFUNCTION("""COMPUTED_VALUE"""),"#Z3IODpQmT6PHZccgLIt7r2ZfH/6JW4s4y7gEgGncge8H2xigCdNAcev4neXL61M=")</f>
        <v>#Z3IODpQmT6PHZccgLIt7r2ZfH/6JW4s4y7gEgGncge8H2xigCdNAcev4neXL61M=</v>
      </c>
      <c r="AN194" s="55"/>
      <c r="AO194" s="55"/>
      <c r="AP194" s="55"/>
      <c r="AQ194" s="55"/>
      <c r="AR194" s="55"/>
      <c r="AS194" s="55"/>
      <c r="AT194" s="55"/>
      <c r="AU194" s="55"/>
      <c r="AV194" s="55"/>
      <c r="AW194" s="35"/>
      <c r="AX194" s="35"/>
      <c r="AY194" s="35"/>
      <c r="AZ194" s="35"/>
      <c r="BA194" s="35"/>
      <c r="BB194" s="35"/>
      <c r="BC194" s="35"/>
      <c r="BD194" s="35"/>
      <c r="BE194" s="35"/>
      <c r="BF194" s="35"/>
      <c r="BG194" s="35"/>
    </row>
    <row r="195" ht="15.75" customHeight="1">
      <c r="A195" s="55" t="str">
        <f>IFERROR(__xludf.DUMMYFUNCTION("""COMPUTED_VALUE"""),"Instagram")</f>
        <v>Instagram</v>
      </c>
      <c r="B195" s="56">
        <f>IFERROR(__xludf.DUMMYFUNCTION("""COMPUTED_VALUE"""),46212.0)</f>
        <v>46212</v>
      </c>
      <c r="C195" s="55" t="str">
        <f>IFERROR(__xludf.DUMMYFUNCTION("""COMPUTED_VALUE"""),"July")</f>
        <v>July</v>
      </c>
      <c r="D195" s="58" t="str">
        <f>IFERROR(__xludf.DUMMYFUNCTION("""COMPUTED_VALUE"""),"https://www.instagram.com/reels/DalTe6Dp42l/")</f>
        <v>https://www.instagram.com/reels/DalTe6Dp42l/</v>
      </c>
      <c r="E195" s="55" t="str">
        <f>IFERROR(__xludf.DUMMYFUNCTION("""COMPUTED_VALUE"""),"@na")</f>
        <v>@na</v>
      </c>
      <c r="F195" s="55"/>
      <c r="G195" s="55" t="str">
        <f>IFERROR(__xludf.DUMMYFUNCTION("""COMPUTED_VALUE"""),"Over 40/ High Performer")</f>
        <v>Over 40/ High Performer</v>
      </c>
      <c r="H195" s="55"/>
      <c r="I195" s="55">
        <f>IFERROR(__xludf.DUMMYFUNCTION("""COMPUTED_VALUE"""),20.5)</f>
        <v>20.5</v>
      </c>
      <c r="J195" s="55" t="str">
        <f>IFERROR(__xludf.DUMMYFUNCTION("""COMPUTED_VALUE"""),"No – Not Recommended")</f>
        <v>No – Not Recommended</v>
      </c>
      <c r="K195" s="55"/>
      <c r="L195" s="55" t="str">
        <f>IFERROR(__xludf.DUMMYFUNCTION("""COMPUTED_VALUE"""),"Score 4.5 &lt; 20 threshold")</f>
        <v>Score 4.5 &lt; 20 threshold</v>
      </c>
      <c r="M195" s="55" t="str">
        <f>IFERROR(__xludf.DUMMYFUNCTION("""COMPUTED_VALUE"""),"No Ad Data")</f>
        <v>No Ad Data</v>
      </c>
      <c r="N195" s="55"/>
      <c r="O195" s="55"/>
      <c r="P195" s="55">
        <f>IFERROR(__xludf.DUMMYFUNCTION("""COMPUTED_VALUE"""),176.0)</f>
        <v>176</v>
      </c>
      <c r="Q195" s="55">
        <f>IFERROR(__xludf.DUMMYFUNCTION("""COMPUTED_VALUE"""),5.0)</f>
        <v>5</v>
      </c>
      <c r="R195" s="55"/>
      <c r="S195" s="55"/>
      <c r="T195" s="55"/>
      <c r="U195" s="55"/>
      <c r="V195" s="55"/>
      <c r="W195" s="55">
        <f>IFERROR(__xludf.DUMMYFUNCTION("""COMPUTED_VALUE"""),117.58)</f>
        <v>117.58</v>
      </c>
      <c r="X195" s="55"/>
      <c r="Y195" s="55"/>
      <c r="Z195" s="55"/>
      <c r="AA195" s="55"/>
      <c r="AB195" s="55"/>
      <c r="AC195" s="55"/>
      <c r="AD195" s="55"/>
      <c r="AE195" s="55"/>
      <c r="AF195" s="55"/>
      <c r="AG195" s="55"/>
      <c r="AH195" s="55"/>
      <c r="AI195" s="55"/>
      <c r="AJ195" s="55"/>
      <c r="AK195" s="55"/>
      <c r="AL195" s="55"/>
      <c r="AM195" s="55"/>
      <c r="AN195" s="55" t="str">
        <f>IFERROR(__xludf.DUMMYFUNCTION("""COMPUTED_VALUE"""),"Q9jTBBbTrjgZ7gpooQNE0J3IZ6SlG-BQyFCX9-Kfs5IabYB2LiBRgAZ0_sLUn5PvlvU")</f>
        <v>Q9jTBBbTrjgZ7gpooQNE0J3IZ6SlG-BQyFCX9-Kfs5IabYB2LiBRgAZ0_sLUn5PvlvU</v>
      </c>
      <c r="AO195" s="55"/>
      <c r="AP195" s="55"/>
      <c r="AQ195" s="55"/>
      <c r="AR195" s="55"/>
      <c r="AS195" s="55"/>
      <c r="AT195" s="55"/>
      <c r="AU195" s="55"/>
      <c r="AV195" s="55"/>
      <c r="AW195" s="35"/>
      <c r="AX195" s="35"/>
      <c r="AY195" s="35"/>
      <c r="AZ195" s="35"/>
      <c r="BA195" s="35"/>
      <c r="BB195" s="35"/>
      <c r="BC195" s="35"/>
      <c r="BD195" s="35"/>
      <c r="BE195" s="35"/>
      <c r="BF195" s="35"/>
      <c r="BG195" s="35"/>
    </row>
    <row r="196" ht="15.75" customHeight="1">
      <c r="A196" s="55" t="str">
        <f>IFERROR(__xludf.DUMMYFUNCTION("""COMPUTED_VALUE"""),"Instagram")</f>
        <v>Instagram</v>
      </c>
      <c r="B196" s="56">
        <f>IFERROR(__xludf.DUMMYFUNCTION("""COMPUTED_VALUE"""),46215.0)</f>
        <v>46215</v>
      </c>
      <c r="C196" s="55" t="str">
        <f>IFERROR(__xludf.DUMMYFUNCTION("""COMPUTED_VALUE"""),"July")</f>
        <v>July</v>
      </c>
      <c r="D196" s="58" t="str">
        <f>IFERROR(__xludf.DUMMYFUNCTION("""COMPUTED_VALUE"""),"https://www.instagram.com/reels/DaqwLUEujKj/")</f>
        <v>https://www.instagram.com/reels/DaqwLUEujKj/</v>
      </c>
      <c r="E196" s="55"/>
      <c r="F196" s="55"/>
      <c r="G196" s="55" t="str">
        <f>IFERROR(__xludf.DUMMYFUNCTION("""COMPUTED_VALUE"""),"Taste")</f>
        <v>Taste</v>
      </c>
      <c r="H196" s="55"/>
      <c r="I196" s="55">
        <f>IFERROR(__xludf.DUMMYFUNCTION("""COMPUTED_VALUE"""),19.4)</f>
        <v>19.4</v>
      </c>
      <c r="J196" s="55" t="str">
        <f>IFERROR(__xludf.DUMMYFUNCTION("""COMPUTED_VALUE"""),"No – Not Recommended")</f>
        <v>No – Not Recommended</v>
      </c>
      <c r="K196" s="55"/>
      <c r="L196" s="55" t="str">
        <f>IFERROR(__xludf.DUMMYFUNCTION("""COMPUTED_VALUE"""),"Score 19.4 &lt; 20 threshold")</f>
        <v>Score 19.4 &lt; 20 threshold</v>
      </c>
      <c r="M196" s="55" t="str">
        <f>IFERROR(__xludf.DUMMYFUNCTION("""COMPUTED_VALUE"""),"No Ad Data")</f>
        <v>No Ad Data</v>
      </c>
      <c r="N196" s="55"/>
      <c r="O196" s="55"/>
      <c r="P196" s="55">
        <f>IFERROR(__xludf.DUMMYFUNCTION("""COMPUTED_VALUE"""),232.0)</f>
        <v>232</v>
      </c>
      <c r="Q196" s="55">
        <f>IFERROR(__xludf.DUMMYFUNCTION("""COMPUTED_VALUE"""),3.0)</f>
        <v>3</v>
      </c>
      <c r="R196" s="55"/>
      <c r="S196" s="55"/>
      <c r="T196" s="55"/>
      <c r="U196" s="55"/>
      <c r="V196" s="55"/>
      <c r="W196" s="55">
        <f>IFERROR(__xludf.DUMMYFUNCTION("""COMPUTED_VALUE"""),117.58)</f>
        <v>117.58</v>
      </c>
      <c r="X196" s="55"/>
      <c r="Y196" s="55"/>
      <c r="Z196" s="55"/>
      <c r="AA196" s="55">
        <f>IFERROR(__xludf.DUMMYFUNCTION("""COMPUTED_VALUE"""),0.0)</f>
        <v>0</v>
      </c>
      <c r="AB196" s="55"/>
      <c r="AC196" s="55"/>
      <c r="AD196" s="55"/>
      <c r="AE196" s="55"/>
      <c r="AF196" s="55"/>
      <c r="AG196" s="55"/>
      <c r="AH196" s="55"/>
      <c r="AI196" s="55"/>
      <c r="AJ196" s="55"/>
      <c r="AK196" s="55"/>
      <c r="AL196" s="55"/>
      <c r="AM196" s="55" t="str">
        <f>IFERROR(__xludf.DUMMYFUNCTION("""COMPUTED_VALUE"""),"Q9jTBBan_GEfTmhwNa5kVmsUuPMrSeNEBCIslp3EXqYjD5-d_uf2w5HMxYpAHR0ahg")</f>
        <v>Q9jTBBan_GEfTmhwNa5kVmsUuPMrSeNEBCIslp3EXqYjD5-d_uf2w5HMxYpAHR0ahg</v>
      </c>
      <c r="AN196" s="55"/>
      <c r="AO196" s="55"/>
      <c r="AP196" s="55"/>
      <c r="AQ196" s="55"/>
      <c r="AR196" s="55"/>
      <c r="AS196" s="55"/>
      <c r="AT196" s="55"/>
      <c r="AU196" s="55"/>
      <c r="AV196" s="55"/>
      <c r="AW196" s="35"/>
      <c r="AX196" s="35"/>
      <c r="AY196" s="35"/>
      <c r="AZ196" s="35"/>
      <c r="BA196" s="35"/>
      <c r="BB196" s="35"/>
      <c r="BC196" s="35"/>
      <c r="BD196" s="35"/>
      <c r="BE196" s="35"/>
      <c r="BF196" s="35"/>
      <c r="BG196" s="35"/>
    </row>
    <row r="197" ht="15.75" customHeight="1">
      <c r="A197" s="55" t="str">
        <f>IFERROR(__xludf.DUMMYFUNCTION("""COMPUTED_VALUE"""),"Tiktok")</f>
        <v>Tiktok</v>
      </c>
      <c r="B197" s="56">
        <f>IFERROR(__xludf.DUMMYFUNCTION("""COMPUTED_VALUE"""),46218.0)</f>
        <v>46218</v>
      </c>
      <c r="C197" s="55" t="str">
        <f>IFERROR(__xludf.DUMMYFUNCTION("""COMPUTED_VALUE"""),"July")</f>
        <v>July</v>
      </c>
      <c r="D197" s="58" t="str">
        <f>IFERROR(__xludf.DUMMYFUNCTION("""COMPUTED_VALUE"""),"https://www.tiktok.com/@itsvalnichols/video/7662208452072131853")</f>
        <v>https://www.tiktok.com/@itsvalnichols/video/7662208452072131853</v>
      </c>
      <c r="E197" s="55"/>
      <c r="F197" s="55"/>
      <c r="G197" s="55" t="str">
        <f>IFERROR(__xludf.DUMMYFUNCTION("""COMPUTED_VALUE"""),"Mushroom Trend")</f>
        <v>Mushroom Trend</v>
      </c>
      <c r="H197" s="55"/>
      <c r="I197" s="55">
        <f>IFERROR(__xludf.DUMMYFUNCTION("""COMPUTED_VALUE"""),17.1)</f>
        <v>17.1</v>
      </c>
      <c r="J197" s="55" t="str">
        <f>IFERROR(__xludf.DUMMYFUNCTION("""COMPUTED_VALUE"""),"No – Not Recommended")</f>
        <v>No – Not Recommended</v>
      </c>
      <c r="K197" s="55"/>
      <c r="L197" s="55" t="str">
        <f>IFERROR(__xludf.DUMMYFUNCTION("""COMPUTED_VALUE"""),"Score 19.4 &lt; 30 threshold")</f>
        <v>Score 19.4 &lt; 30 threshold</v>
      </c>
      <c r="M197" s="55" t="str">
        <f>IFERROR(__xludf.DUMMYFUNCTION("""COMPUTED_VALUE"""),"No Ad Data")</f>
        <v>No Ad Data</v>
      </c>
      <c r="N197" s="55"/>
      <c r="O197" s="55"/>
      <c r="P197" s="55">
        <f>IFERROR(__xludf.DUMMYFUNCTION("""COMPUTED_VALUE"""),678.0)</f>
        <v>678</v>
      </c>
      <c r="Q197" s="55">
        <f>IFERROR(__xludf.DUMMYFUNCTION("""COMPUTED_VALUE"""),3.0)</f>
        <v>3</v>
      </c>
      <c r="R197" s="55"/>
      <c r="S197" s="55"/>
      <c r="T197" s="55"/>
      <c r="U197" s="55"/>
      <c r="V197" s="55"/>
      <c r="W197" s="55">
        <f>IFERROR(__xludf.DUMMYFUNCTION("""COMPUTED_VALUE"""),117.58)</f>
        <v>117.58</v>
      </c>
      <c r="X197" s="55"/>
      <c r="Y197" s="55"/>
      <c r="Z197" s="55"/>
      <c r="AA197" s="55">
        <f>IFERROR(__xludf.DUMMYFUNCTION("""COMPUTED_VALUE"""),0.0)</f>
        <v>0</v>
      </c>
      <c r="AB197" s="55"/>
      <c r="AC197" s="55"/>
      <c r="AD197" s="55"/>
      <c r="AE197" s="55"/>
      <c r="AF197" s="55"/>
      <c r="AG197" s="55"/>
      <c r="AH197" s="55"/>
      <c r="AI197" s="55"/>
      <c r="AJ197" s="55"/>
      <c r="AK197" s="55"/>
      <c r="AL197" s="55"/>
      <c r="AM197" s="55" t="str">
        <f>IFERROR(__xludf.DUMMYFUNCTION("""COMPUTED_VALUE"""),"#/Edch9QPB1Z4QWN+9U84IxMxrUhtTKij7//xKc8XFvWfhSQ46sWsNDjKRN7UHLM=")</f>
        <v>#/Edch9QPB1Z4QWN+9U84IxMxrUhtTKij7//xKc8XFvWfhSQ46sWsNDjKRN7UHLM=</v>
      </c>
      <c r="AN197" s="55"/>
      <c r="AO197" s="55"/>
      <c r="AP197" s="55"/>
      <c r="AQ197" s="55"/>
      <c r="AR197" s="55"/>
      <c r="AS197" s="55"/>
      <c r="AT197" s="55"/>
      <c r="AU197" s="55"/>
      <c r="AV197" s="55"/>
      <c r="AW197" s="35"/>
      <c r="AX197" s="35"/>
      <c r="AY197" s="35"/>
      <c r="AZ197" s="35"/>
      <c r="BA197" s="35"/>
      <c r="BB197" s="35"/>
      <c r="BC197" s="35"/>
      <c r="BD197" s="35"/>
      <c r="BE197" s="35"/>
      <c r="BF197" s="35"/>
      <c r="BG197" s="35"/>
    </row>
    <row r="198" ht="15.75" customHeight="1">
      <c r="A198" s="55" t="str">
        <f>IFERROR(__xludf.DUMMYFUNCTION("""COMPUTED_VALUE"""),"Tiktok")</f>
        <v>Tiktok</v>
      </c>
      <c r="B198" s="56">
        <f>IFERROR(__xludf.DUMMYFUNCTION("""COMPUTED_VALUE"""),46217.0)</f>
        <v>46217</v>
      </c>
      <c r="C198" s="55" t="str">
        <f>IFERROR(__xludf.DUMMYFUNCTION("""COMPUTED_VALUE"""),"July")</f>
        <v>July</v>
      </c>
      <c r="D198" s="58" t="str">
        <f>IFERROR(__xludf.DUMMYFUNCTION("""COMPUTED_VALUE"""),"https://www.tiktok.com/@marsh.mentality.24/video/7662304841204550943")</f>
        <v>https://www.tiktok.com/@marsh.mentality.24/video/7662304841204550943</v>
      </c>
      <c r="E198" s="55"/>
      <c r="F198" s="55"/>
      <c r="G198" s="55" t="str">
        <f>IFERROR(__xludf.DUMMYFUNCTION("""COMPUTED_VALUE"""),"Over 40/ High Performer")</f>
        <v>Over 40/ High Performer</v>
      </c>
      <c r="H198" s="55"/>
      <c r="I198" s="55">
        <f>IFERROR(__xludf.DUMMYFUNCTION("""COMPUTED_VALUE"""),17.7)</f>
        <v>17.7</v>
      </c>
      <c r="J198" s="55" t="str">
        <f>IFERROR(__xludf.DUMMYFUNCTION("""COMPUTED_VALUE"""),"No – Not Recommended")</f>
        <v>No – Not Recommended</v>
      </c>
      <c r="K198" s="55"/>
      <c r="L198" s="55" t="str">
        <f>IFERROR(__xludf.DUMMYFUNCTION("""COMPUTED_VALUE"""),"Score 19.0 &lt; 30 threshold")</f>
        <v>Score 19.0 &lt; 30 threshold</v>
      </c>
      <c r="M198" s="55" t="str">
        <f>IFERROR(__xludf.DUMMYFUNCTION("""COMPUTED_VALUE"""),"No Ad Data")</f>
        <v>No Ad Data</v>
      </c>
      <c r="N198" s="55"/>
      <c r="O198" s="55"/>
      <c r="P198" s="55">
        <f>IFERROR(__xludf.DUMMYFUNCTION("""COMPUTED_VALUE"""),159.0)</f>
        <v>159</v>
      </c>
      <c r="Q198" s="55">
        <f>IFERROR(__xludf.DUMMYFUNCTION("""COMPUTED_VALUE"""),52.0)</f>
        <v>52</v>
      </c>
      <c r="R198" s="55">
        <f>IFERROR(__xludf.DUMMYFUNCTION("""COMPUTED_VALUE"""),2.0)</f>
        <v>2</v>
      </c>
      <c r="S198" s="55"/>
      <c r="T198" s="55"/>
      <c r="U198" s="55"/>
      <c r="V198" s="55"/>
      <c r="W198" s="55">
        <f>IFERROR(__xludf.DUMMYFUNCTION("""COMPUTED_VALUE"""),117.58)</f>
        <v>117.58</v>
      </c>
      <c r="X198" s="55"/>
      <c r="Y198" s="55"/>
      <c r="Z198" s="55"/>
      <c r="AA198" s="55">
        <f>IFERROR(__xludf.DUMMYFUNCTION("""COMPUTED_VALUE"""),0.0)</f>
        <v>0</v>
      </c>
      <c r="AB198" s="55"/>
      <c r="AC198" s="55"/>
      <c r="AD198" s="55"/>
      <c r="AE198" s="55"/>
      <c r="AF198" s="55"/>
      <c r="AG198" s="55"/>
      <c r="AH198" s="55"/>
      <c r="AI198" s="55"/>
      <c r="AJ198" s="55"/>
      <c r="AK198" s="55"/>
      <c r="AL198" s="55"/>
      <c r="AM198" s="55" t="str">
        <f>IFERROR(__xludf.DUMMYFUNCTION("""COMPUTED_VALUE"""),"#3jWYR+HKB9UrA/+b31xOxClhfOfx8iZRXuAoMh8HB8BTb8YPF6jdg5ACf48XkLk=")</f>
        <v>#3jWYR+HKB9UrA/+b31xOxClhfOfx8iZRXuAoMh8HB8BTb8YPF6jdg5ACf48XkLk=</v>
      </c>
      <c r="AN198" s="55"/>
      <c r="AO198" s="55"/>
      <c r="AP198" s="55"/>
      <c r="AQ198" s="55"/>
      <c r="AR198" s="55"/>
      <c r="AS198" s="55"/>
      <c r="AT198" s="55"/>
      <c r="AU198" s="55"/>
      <c r="AV198" s="55"/>
      <c r="AW198" s="35"/>
      <c r="AX198" s="35"/>
      <c r="AY198" s="35"/>
      <c r="AZ198" s="35"/>
      <c r="BA198" s="35"/>
      <c r="BB198" s="35"/>
      <c r="BC198" s="35"/>
      <c r="BD198" s="35"/>
      <c r="BE198" s="35"/>
      <c r="BF198" s="35"/>
      <c r="BG198" s="35"/>
    </row>
    <row r="199" ht="15.75" customHeight="1">
      <c r="A199" s="55" t="str">
        <f>IFERROR(__xludf.DUMMYFUNCTION("""COMPUTED_VALUE"""),"Instagram")</f>
        <v>Instagram</v>
      </c>
      <c r="B199" s="56">
        <f>IFERROR(__xludf.DUMMYFUNCTION("""COMPUTED_VALUE"""),46216.0)</f>
        <v>46216</v>
      </c>
      <c r="C199" s="55" t="str">
        <f>IFERROR(__xludf.DUMMYFUNCTION("""COMPUTED_VALUE"""),"July")</f>
        <v>July</v>
      </c>
      <c r="D199" s="58" t="str">
        <f>IFERROR(__xludf.DUMMYFUNCTION("""COMPUTED_VALUE"""),"https://www.instagram.com/reels/Dav4ZC4p3vN/")</f>
        <v>https://www.instagram.com/reels/Dav4ZC4p3vN/</v>
      </c>
      <c r="E199" s="55"/>
      <c r="F199" s="55"/>
      <c r="G199" s="55" t="str">
        <f>IFERROR(__xludf.DUMMYFUNCTION("""COMPUTED_VALUE"""),"Gummies vs Coffee")</f>
        <v>Gummies vs Coffee</v>
      </c>
      <c r="H199" s="55"/>
      <c r="I199" s="55">
        <f>IFERROR(__xludf.DUMMYFUNCTION("""COMPUTED_VALUE"""),16.2)</f>
        <v>16.2</v>
      </c>
      <c r="J199" s="55" t="str">
        <f>IFERROR(__xludf.DUMMYFUNCTION("""COMPUTED_VALUE"""),"No – Not Recommended")</f>
        <v>No – Not Recommended</v>
      </c>
      <c r="K199" s="55"/>
      <c r="L199" s="55" t="str">
        <f>IFERROR(__xludf.DUMMYFUNCTION("""COMPUTED_VALUE"""),"Score 16.2 &lt; 20 threshold")</f>
        <v>Score 16.2 &lt; 20 threshold</v>
      </c>
      <c r="M199" s="55" t="str">
        <f>IFERROR(__xludf.DUMMYFUNCTION("""COMPUTED_VALUE"""),"No Ad Data")</f>
        <v>No Ad Data</v>
      </c>
      <c r="N199" s="55"/>
      <c r="O199" s="55"/>
      <c r="P199" s="55">
        <f>IFERROR(__xludf.DUMMYFUNCTION("""COMPUTED_VALUE"""),104.0)</f>
        <v>104</v>
      </c>
      <c r="Q199" s="55">
        <f>IFERROR(__xludf.DUMMYFUNCTION("""COMPUTED_VALUE"""),2.0)</f>
        <v>2</v>
      </c>
      <c r="R199" s="55"/>
      <c r="S199" s="55"/>
      <c r="T199" s="55"/>
      <c r="U199" s="55"/>
      <c r="V199" s="55"/>
      <c r="W199" s="55">
        <f>IFERROR(__xludf.DUMMYFUNCTION("""COMPUTED_VALUE"""),67.58)</f>
        <v>67.58</v>
      </c>
      <c r="X199" s="55"/>
      <c r="Y199" s="55"/>
      <c r="Z199" s="55"/>
      <c r="AA199" s="55">
        <f>IFERROR(__xludf.DUMMYFUNCTION("""COMPUTED_VALUE"""),0.0)</f>
        <v>0</v>
      </c>
      <c r="AB199" s="55"/>
      <c r="AC199" s="55"/>
      <c r="AD199" s="55"/>
      <c r="AE199" s="55"/>
      <c r="AF199" s="55"/>
      <c r="AG199" s="55"/>
      <c r="AH199" s="55"/>
      <c r="AI199" s="55"/>
      <c r="AJ199" s="55"/>
      <c r="AK199" s="55"/>
      <c r="AL199" s="55"/>
      <c r="AM199" s="55" t="str">
        <f>IFERROR(__xludf.DUMMYFUNCTION("""COMPUTED_VALUE"""),"Q9jTBBanexI2XC74nw_CHA0Dv-XLXnZLJBmZ5h8eaDTDc29cRtOJfOiy-_KA3nrWMvE")</f>
        <v>Q9jTBBanexI2XC74nw_CHA0Dv-XLXnZLJBmZ5h8eaDTDc29cRtOJfOiy-_KA3nrWMvE</v>
      </c>
      <c r="AN199" s="55"/>
      <c r="AO199" s="55"/>
      <c r="AP199" s="55"/>
      <c r="AQ199" s="55"/>
      <c r="AR199" s="55"/>
      <c r="AS199" s="55"/>
      <c r="AT199" s="55"/>
      <c r="AU199" s="55"/>
      <c r="AV199" s="55"/>
      <c r="AW199" s="35"/>
      <c r="AX199" s="35"/>
      <c r="AY199" s="35"/>
      <c r="AZ199" s="35"/>
      <c r="BA199" s="35"/>
      <c r="BB199" s="35"/>
      <c r="BC199" s="35"/>
      <c r="BD199" s="35"/>
      <c r="BE199" s="35"/>
      <c r="BF199" s="35"/>
      <c r="BG199" s="35"/>
    </row>
    <row r="200" ht="15.75" customHeight="1">
      <c r="A200" s="55" t="str">
        <f>IFERROR(__xludf.DUMMYFUNCTION("""COMPUTED_VALUE"""),"Instagram")</f>
        <v>Instagram</v>
      </c>
      <c r="B200" s="56">
        <f>IFERROR(__xludf.DUMMYFUNCTION("""COMPUTED_VALUE"""),46215.0)</f>
        <v>46215</v>
      </c>
      <c r="C200" s="55" t="str">
        <f>IFERROR(__xludf.DUMMYFUNCTION("""COMPUTED_VALUE"""),"July")</f>
        <v>July</v>
      </c>
      <c r="D200" s="58" t="str">
        <f>IFERROR(__xludf.DUMMYFUNCTION("""COMPUTED_VALUE"""),"https://www.instagram.com/reels/DatxvoAgnxZ/")</f>
        <v>https://www.instagram.com/reels/DatxvoAgnxZ/</v>
      </c>
      <c r="E200" s="55"/>
      <c r="F200" s="55"/>
      <c r="G200" s="55" t="str">
        <f>IFERROR(__xludf.DUMMYFUNCTION("""COMPUTED_VALUE"""),"Mushroom Trend")</f>
        <v>Mushroom Trend</v>
      </c>
      <c r="H200" s="55"/>
      <c r="I200" s="55">
        <f>IFERROR(__xludf.DUMMYFUNCTION("""COMPUTED_VALUE"""),11.5)</f>
        <v>11.5</v>
      </c>
      <c r="J200" s="55" t="str">
        <f>IFERROR(__xludf.DUMMYFUNCTION("""COMPUTED_VALUE"""),"No – Not Recommended")</f>
        <v>No – Not Recommended</v>
      </c>
      <c r="K200" s="55"/>
      <c r="L200" s="55" t="str">
        <f>IFERROR(__xludf.DUMMYFUNCTION("""COMPUTED_VALUE"""),"Score 11.5 &lt; 20 threshold")</f>
        <v>Score 11.5 &lt; 20 threshold</v>
      </c>
      <c r="M200" s="55" t="str">
        <f>IFERROR(__xludf.DUMMYFUNCTION("""COMPUTED_VALUE"""),"No Ad Data")</f>
        <v>No Ad Data</v>
      </c>
      <c r="N200" s="55"/>
      <c r="O200" s="55"/>
      <c r="P200" s="55">
        <f>IFERROR(__xludf.DUMMYFUNCTION("""COMPUTED_VALUE"""),110.0)</f>
        <v>110</v>
      </c>
      <c r="Q200" s="55"/>
      <c r="R200" s="55"/>
      <c r="S200" s="55"/>
      <c r="T200" s="55"/>
      <c r="U200" s="55"/>
      <c r="V200" s="55"/>
      <c r="W200" s="55">
        <f>IFERROR(__xludf.DUMMYFUNCTION("""COMPUTED_VALUE"""),117.58)</f>
        <v>117.58</v>
      </c>
      <c r="X200" s="55"/>
      <c r="Y200" s="55"/>
      <c r="Z200" s="55"/>
      <c r="AA200" s="55">
        <f>IFERROR(__xludf.DUMMYFUNCTION("""COMPUTED_VALUE"""),0.0)</f>
        <v>0</v>
      </c>
      <c r="AB200" s="55"/>
      <c r="AC200" s="55"/>
      <c r="AD200" s="55"/>
      <c r="AE200" s="55"/>
      <c r="AF200" s="55"/>
      <c r="AG200" s="55"/>
      <c r="AH200" s="55"/>
      <c r="AI200" s="55"/>
      <c r="AJ200" s="55"/>
      <c r="AK200" s="55"/>
      <c r="AL200" s="55"/>
      <c r="AM200" s="55" t="str">
        <f>IFERROR(__xludf.DUMMYFUNCTION("""COMPUTED_VALUE"""),"Q9jTBBb3RXWnK9rhDlcUsw45ImV2mOMvY4oBoOPoPdo0vWpqveO8SBDQ2Ths6VdN_YY")</f>
        <v>Q9jTBBb3RXWnK9rhDlcUsw45ImV2mOMvY4oBoOPoPdo0vWpqveO8SBDQ2Ths6VdN_YY</v>
      </c>
      <c r="AN200" s="55"/>
      <c r="AO200" s="55"/>
      <c r="AP200" s="55"/>
      <c r="AQ200" s="55"/>
      <c r="AR200" s="55"/>
      <c r="AS200" s="55"/>
      <c r="AT200" s="55"/>
      <c r="AU200" s="55"/>
      <c r="AV200" s="55"/>
      <c r="AW200" s="35"/>
      <c r="AX200" s="35"/>
      <c r="AY200" s="35"/>
      <c r="AZ200" s="35"/>
      <c r="BA200" s="35"/>
      <c r="BB200" s="35"/>
      <c r="BC200" s="35"/>
      <c r="BD200" s="35"/>
      <c r="BE200" s="35"/>
      <c r="BF200" s="35"/>
      <c r="BG200" s="35"/>
    </row>
    <row r="201" ht="15.75" customHeight="1">
      <c r="A201" s="55" t="str">
        <f>IFERROR(__xludf.DUMMYFUNCTION("""COMPUTED_VALUE"""),"Tiktok")</f>
        <v>Tiktok</v>
      </c>
      <c r="B201" s="56">
        <f>IFERROR(__xludf.DUMMYFUNCTION("""COMPUTED_VALUE"""),46215.0)</f>
        <v>46215</v>
      </c>
      <c r="C201" s="55" t="str">
        <f>IFERROR(__xludf.DUMMYFUNCTION("""COMPUTED_VALUE"""),"July")</f>
        <v>July</v>
      </c>
      <c r="D201" s="58" t="str">
        <f>IFERROR(__xludf.DUMMYFUNCTION("""COMPUTED_VALUE"""),"https://www.tiktok.com/@astoldbybri2/video/7661560916705611039")</f>
        <v>https://www.tiktok.com/@astoldbybri2/video/7661560916705611039</v>
      </c>
      <c r="E201" s="55"/>
      <c r="F201" s="55"/>
      <c r="G201" s="55" t="str">
        <f>IFERROR(__xludf.DUMMYFUNCTION("""COMPUTED_VALUE"""),"Taste")</f>
        <v>Taste</v>
      </c>
      <c r="H201" s="55"/>
      <c r="I201" s="55">
        <f>IFERROR(__xludf.DUMMYFUNCTION("""COMPUTED_VALUE"""),10.4)</f>
        <v>10.4</v>
      </c>
      <c r="J201" s="55" t="str">
        <f>IFERROR(__xludf.DUMMYFUNCTION("""COMPUTED_VALUE"""),"No – Not Recommended")</f>
        <v>No – Not Recommended</v>
      </c>
      <c r="K201" s="55"/>
      <c r="L201" s="55" t="str">
        <f>IFERROR(__xludf.DUMMYFUNCTION("""COMPUTED_VALUE"""),"Score 11.5 &lt; 30 threshold")</f>
        <v>Score 11.5 &lt; 30 threshold</v>
      </c>
      <c r="M201" s="55" t="str">
        <f>IFERROR(__xludf.DUMMYFUNCTION("""COMPUTED_VALUE"""),"No Ad Data")</f>
        <v>No Ad Data</v>
      </c>
      <c r="N201" s="55"/>
      <c r="O201" s="55"/>
      <c r="P201" s="55">
        <f>IFERROR(__xludf.DUMMYFUNCTION("""COMPUTED_VALUE"""),108.0)</f>
        <v>108</v>
      </c>
      <c r="Q201" s="55">
        <f>IFERROR(__xludf.DUMMYFUNCTION("""COMPUTED_VALUE"""),4.0)</f>
        <v>4</v>
      </c>
      <c r="R201" s="55"/>
      <c r="S201" s="55"/>
      <c r="T201" s="55"/>
      <c r="U201" s="55"/>
      <c r="V201" s="55">
        <f>IFERROR(__xludf.DUMMYFUNCTION("""COMPUTED_VALUE"""),0.074)</f>
        <v>0.074</v>
      </c>
      <c r="W201" s="55">
        <f>IFERROR(__xludf.DUMMYFUNCTION("""COMPUTED_VALUE"""),117.58)</f>
        <v>117.58</v>
      </c>
      <c r="X201" s="55"/>
      <c r="Y201" s="55"/>
      <c r="Z201" s="55"/>
      <c r="AA201" s="55">
        <f>IFERROR(__xludf.DUMMYFUNCTION("""COMPUTED_VALUE"""),0.0)</f>
        <v>0</v>
      </c>
      <c r="AB201" s="55"/>
      <c r="AC201" s="55"/>
      <c r="AD201" s="55"/>
      <c r="AE201" s="55"/>
      <c r="AF201" s="55"/>
      <c r="AG201" s="55"/>
      <c r="AH201" s="55"/>
      <c r="AI201" s="55"/>
      <c r="AJ201" s="55"/>
      <c r="AK201" s="55"/>
      <c r="AL201" s="55"/>
      <c r="AM201" s="55" t="str">
        <f>IFERROR(__xludf.DUMMYFUNCTION("""COMPUTED_VALUE"""),"#1wA4h9cOsRJRyuYq6lesVCotCXIRWbxtAgdPvCTKYBlWnTs/0SZCZJKA1MijPlA=")</f>
        <v>#1wA4h9cOsRJRyuYq6lesVCotCXIRWbxtAgdPvCTKYBlWnTs/0SZCZJKA1MijPlA=</v>
      </c>
      <c r="AN201" s="55"/>
      <c r="AO201" s="55"/>
      <c r="AP201" s="55"/>
      <c r="AQ201" s="55"/>
      <c r="AR201" s="55"/>
      <c r="AS201" s="55"/>
      <c r="AT201" s="55"/>
      <c r="AU201" s="55"/>
      <c r="AV201" s="55"/>
      <c r="AW201" s="35"/>
      <c r="AX201" s="35"/>
      <c r="AY201" s="35"/>
      <c r="AZ201" s="35"/>
      <c r="BA201" s="35"/>
      <c r="BB201" s="35"/>
      <c r="BC201" s="35"/>
      <c r="BD201" s="35"/>
      <c r="BE201" s="35"/>
      <c r="BF201" s="35"/>
      <c r="BG201" s="35"/>
    </row>
    <row r="202" ht="15.75" customHeight="1">
      <c r="A202" s="55" t="str">
        <f>IFERROR(__xludf.DUMMYFUNCTION("""COMPUTED_VALUE"""),"Tiktok")</f>
        <v>Tiktok</v>
      </c>
      <c r="B202" s="56">
        <f>IFERROR(__xludf.DUMMYFUNCTION("""COMPUTED_VALUE"""),46216.0)</f>
        <v>46216</v>
      </c>
      <c r="C202" s="55" t="str">
        <f>IFERROR(__xludf.DUMMYFUNCTION("""COMPUTED_VALUE"""),"July")</f>
        <v>July</v>
      </c>
      <c r="D202" s="58" t="str">
        <f>IFERROR(__xludf.DUMMYFUNCTION("""COMPUTED_VALUE"""),"https://www.tiktok.com/@magicyulinusa/video/7662028324234906893")</f>
        <v>https://www.tiktok.com/@magicyulinusa/video/7662028324234906893</v>
      </c>
      <c r="E202" s="55"/>
      <c r="F202" s="55"/>
      <c r="G202" s="55" t="str">
        <f>IFERROR(__xludf.DUMMYFUNCTION("""COMPUTED_VALUE"""),"Gummies vs Coffee")</f>
        <v>Gummies vs Coffee</v>
      </c>
      <c r="H202" s="55"/>
      <c r="I202" s="55">
        <f>IFERROR(__xludf.DUMMYFUNCTION("""COMPUTED_VALUE"""),10.2)</f>
        <v>10.2</v>
      </c>
      <c r="J202" s="55" t="str">
        <f>IFERROR(__xludf.DUMMYFUNCTION("""COMPUTED_VALUE"""),"No – Not Recommended")</f>
        <v>No – Not Recommended</v>
      </c>
      <c r="K202" s="55"/>
      <c r="L202" s="55" t="str">
        <f>IFERROR(__xludf.DUMMYFUNCTION("""COMPUTED_VALUE"""),"Score 11.3 &lt; 30 threshold")</f>
        <v>Score 11.3 &lt; 30 threshold</v>
      </c>
      <c r="M202" s="55" t="str">
        <f>IFERROR(__xludf.DUMMYFUNCTION("""COMPUTED_VALUE"""),"No Ad Data")</f>
        <v>No Ad Data</v>
      </c>
      <c r="N202" s="55"/>
      <c r="O202" s="55"/>
      <c r="P202" s="55">
        <f>IFERROR(__xludf.DUMMYFUNCTION("""COMPUTED_VALUE"""),93.0)</f>
        <v>93</v>
      </c>
      <c r="Q202" s="55">
        <f>IFERROR(__xludf.DUMMYFUNCTION("""COMPUTED_VALUE"""),4.0)</f>
        <v>4</v>
      </c>
      <c r="R202" s="55"/>
      <c r="S202" s="55"/>
      <c r="T202" s="55"/>
      <c r="U202" s="55"/>
      <c r="V202" s="55"/>
      <c r="W202" s="55">
        <f>IFERROR(__xludf.DUMMYFUNCTION("""COMPUTED_VALUE"""),72.99)</f>
        <v>72.99</v>
      </c>
      <c r="X202" s="55"/>
      <c r="Y202" s="55"/>
      <c r="Z202" s="55"/>
      <c r="AA202" s="55">
        <f>IFERROR(__xludf.DUMMYFUNCTION("""COMPUTED_VALUE"""),0.0)</f>
        <v>0</v>
      </c>
      <c r="AB202" s="55"/>
      <c r="AC202" s="55"/>
      <c r="AD202" s="55"/>
      <c r="AE202" s="55"/>
      <c r="AF202" s="55"/>
      <c r="AG202" s="55"/>
      <c r="AH202" s="55"/>
      <c r="AI202" s="55"/>
      <c r="AJ202" s="55"/>
      <c r="AK202" s="55"/>
      <c r="AL202" s="55"/>
      <c r="AM202" s="55" t="str">
        <f>IFERROR(__xludf.DUMMYFUNCTION("""COMPUTED_VALUE"""),"#fsNst26cbtavQi3jTL7kSVw7s+kaFA8EYAg2+/T5dEx2pTLov9gmLNOE5A9eYDY=")</f>
        <v>#fsNst26cbtavQi3jTL7kSVw7s+kaFA8EYAg2+/T5dEx2pTLov9gmLNOE5A9eYDY=</v>
      </c>
      <c r="AN202" s="55"/>
      <c r="AO202" s="55"/>
      <c r="AP202" s="55"/>
      <c r="AQ202" s="55"/>
      <c r="AR202" s="55"/>
      <c r="AS202" s="55"/>
      <c r="AT202" s="55"/>
      <c r="AU202" s="55"/>
      <c r="AV202" s="55"/>
      <c r="AW202" s="35"/>
      <c r="AX202" s="35"/>
      <c r="AY202" s="35"/>
      <c r="AZ202" s="35"/>
      <c r="BA202" s="35"/>
      <c r="BB202" s="35"/>
      <c r="BC202" s="35"/>
      <c r="BD202" s="35"/>
      <c r="BE202" s="35"/>
      <c r="BF202" s="35"/>
      <c r="BG202" s="35"/>
    </row>
    <row r="203" ht="15.75" customHeight="1">
      <c r="A203" s="55" t="str">
        <f>IFERROR(__xludf.DUMMYFUNCTION("""COMPUTED_VALUE"""),"Tiktok")</f>
        <v>Tiktok</v>
      </c>
      <c r="B203" s="56">
        <f>IFERROR(__xludf.DUMMYFUNCTION("""COMPUTED_VALUE"""),46216.0)</f>
        <v>46216</v>
      </c>
      <c r="C203" s="55" t="str">
        <f>IFERROR(__xludf.DUMMYFUNCTION("""COMPUTED_VALUE"""),"July")</f>
        <v>July</v>
      </c>
      <c r="D203" s="58" t="str">
        <f>IFERROR(__xludf.DUMMYFUNCTION("""COMPUTED_VALUE"""),"https://www.tiktok.com/@jugoncalves.by/video/7661994813641772319")</f>
        <v>https://www.tiktok.com/@jugoncalves.by/video/7661994813641772319</v>
      </c>
      <c r="E203" s="55"/>
      <c r="F203" s="55"/>
      <c r="G203" s="55" t="str">
        <f>IFERROR(__xludf.DUMMYFUNCTION("""COMPUTED_VALUE"""),"Taste")</f>
        <v>Taste</v>
      </c>
      <c r="H203" s="55"/>
      <c r="I203" s="55">
        <f>IFERROR(__xludf.DUMMYFUNCTION("""COMPUTED_VALUE"""),8.6)</f>
        <v>8.6</v>
      </c>
      <c r="J203" s="55" t="str">
        <f>IFERROR(__xludf.DUMMYFUNCTION("""COMPUTED_VALUE"""),"No – Not Recommended")</f>
        <v>No – Not Recommended</v>
      </c>
      <c r="K203" s="55"/>
      <c r="L203" s="55" t="str">
        <f>IFERROR(__xludf.DUMMYFUNCTION("""COMPUTED_VALUE"""),"Score 9.7 &lt; 30 threshold")</f>
        <v>Score 9.7 &lt; 30 threshold</v>
      </c>
      <c r="M203" s="55" t="str">
        <f>IFERROR(__xludf.DUMMYFUNCTION("""COMPUTED_VALUE"""),"No Ad Data")</f>
        <v>No Ad Data</v>
      </c>
      <c r="N203" s="55"/>
      <c r="O203" s="55"/>
      <c r="P203" s="55">
        <f>IFERROR(__xludf.DUMMYFUNCTION("""COMPUTED_VALUE"""),82.0)</f>
        <v>82</v>
      </c>
      <c r="Q203" s="55">
        <f>IFERROR(__xludf.DUMMYFUNCTION("""COMPUTED_VALUE"""),2.0)</f>
        <v>2</v>
      </c>
      <c r="R203" s="55"/>
      <c r="S203" s="55"/>
      <c r="T203" s="55"/>
      <c r="U203" s="55"/>
      <c r="V203" s="55"/>
      <c r="W203" s="55">
        <f>IFERROR(__xludf.DUMMYFUNCTION("""COMPUTED_VALUE"""),117.58)</f>
        <v>117.58</v>
      </c>
      <c r="X203" s="55"/>
      <c r="Y203" s="55"/>
      <c r="Z203" s="55"/>
      <c r="AA203" s="55">
        <f>IFERROR(__xludf.DUMMYFUNCTION("""COMPUTED_VALUE"""),0.0)</f>
        <v>0</v>
      </c>
      <c r="AB203" s="55"/>
      <c r="AC203" s="55"/>
      <c r="AD203" s="55"/>
      <c r="AE203" s="55"/>
      <c r="AF203" s="55"/>
      <c r="AG203" s="55"/>
      <c r="AH203" s="55"/>
      <c r="AI203" s="55"/>
      <c r="AJ203" s="55"/>
      <c r="AK203" s="55"/>
      <c r="AL203" s="55"/>
      <c r="AM203" s="55" t="str">
        <f>IFERROR(__xludf.DUMMYFUNCTION("""COMPUTED_VALUE"""),"#Fqts2UJF3rtFcnLp5G2kW2QW9gvI7x4kEXTCxQPvo/I4NTsNvrG4P35Cv/WLeZU=")</f>
        <v>#Fqts2UJF3rtFcnLp5G2kW2QW9gvI7x4kEXTCxQPvo/I4NTsNvrG4P35Cv/WLeZU=</v>
      </c>
      <c r="AN203" s="55"/>
      <c r="AO203" s="55"/>
      <c r="AP203" s="55"/>
      <c r="AQ203" s="55"/>
      <c r="AR203" s="55"/>
      <c r="AS203" s="55"/>
      <c r="AT203" s="55"/>
      <c r="AU203" s="55"/>
      <c r="AV203" s="55"/>
      <c r="AW203" s="35"/>
      <c r="AX203" s="35"/>
      <c r="AY203" s="35"/>
      <c r="AZ203" s="35"/>
      <c r="BA203" s="35"/>
      <c r="BB203" s="35"/>
      <c r="BC203" s="35"/>
      <c r="BD203" s="35"/>
      <c r="BE203" s="35"/>
      <c r="BF203" s="35"/>
      <c r="BG203" s="35"/>
    </row>
    <row r="204" ht="15.75" customHeight="1">
      <c r="A204" s="55" t="str">
        <f>IFERROR(__xludf.DUMMYFUNCTION("""COMPUTED_VALUE"""),"Tiktok")</f>
        <v>Tiktok</v>
      </c>
      <c r="B204" s="56">
        <f>IFERROR(__xludf.DUMMYFUNCTION("""COMPUTED_VALUE"""),46218.0)</f>
        <v>46218</v>
      </c>
      <c r="C204" s="55" t="str">
        <f>IFERROR(__xludf.DUMMYFUNCTION("""COMPUTED_VALUE"""),"July")</f>
        <v>July</v>
      </c>
      <c r="D204" s="58" t="str">
        <f>IFERROR(__xludf.DUMMYFUNCTION("""COMPUTED_VALUE"""),"https://www.tiktok.com/@sha_hmn3/video/7662604613648092437")</f>
        <v>https://www.tiktok.com/@sha_hmn3/video/7662604613648092437</v>
      </c>
      <c r="E204" s="55"/>
      <c r="F204" s="55"/>
      <c r="G204" s="55" t="str">
        <f>IFERROR(__xludf.DUMMYFUNCTION("""COMPUTED_VALUE"""),"Taste")</f>
        <v>Taste</v>
      </c>
      <c r="H204" s="55"/>
      <c r="I204" s="55">
        <f>IFERROR(__xludf.DUMMYFUNCTION("""COMPUTED_VALUE"""),7.7)</f>
        <v>7.7</v>
      </c>
      <c r="J204" s="55" t="str">
        <f>IFERROR(__xludf.DUMMYFUNCTION("""COMPUTED_VALUE"""),"No – Not Recommended")</f>
        <v>No – Not Recommended</v>
      </c>
      <c r="K204" s="55"/>
      <c r="L204" s="55" t="str">
        <f>IFERROR(__xludf.DUMMYFUNCTION("""COMPUTED_VALUE"""),"Score 8.9 &lt; 30 threshold")</f>
        <v>Score 8.9 &lt; 30 threshold</v>
      </c>
      <c r="M204" s="55" t="str">
        <f>IFERROR(__xludf.DUMMYFUNCTION("""COMPUTED_VALUE"""),"No Ad Data")</f>
        <v>No Ad Data</v>
      </c>
      <c r="N204" s="55"/>
      <c r="O204" s="55"/>
      <c r="P204" s="55">
        <f>IFERROR(__xludf.DUMMYFUNCTION("""COMPUTED_VALUE"""),109.0)</f>
        <v>109</v>
      </c>
      <c r="Q204" s="55">
        <f>IFERROR(__xludf.DUMMYFUNCTION("""COMPUTED_VALUE"""),1.0)</f>
        <v>1</v>
      </c>
      <c r="R204" s="55"/>
      <c r="S204" s="55"/>
      <c r="T204" s="55"/>
      <c r="U204" s="55"/>
      <c r="V204" s="55"/>
      <c r="W204" s="55">
        <f>IFERROR(__xludf.DUMMYFUNCTION("""COMPUTED_VALUE"""),117.58)</f>
        <v>117.58</v>
      </c>
      <c r="X204" s="55"/>
      <c r="Y204" s="55"/>
      <c r="Z204" s="55"/>
      <c r="AA204" s="55">
        <f>IFERROR(__xludf.DUMMYFUNCTION("""COMPUTED_VALUE"""),0.0)</f>
        <v>0</v>
      </c>
      <c r="AB204" s="55"/>
      <c r="AC204" s="55"/>
      <c r="AD204" s="55"/>
      <c r="AE204" s="55"/>
      <c r="AF204" s="55"/>
      <c r="AG204" s="55"/>
      <c r="AH204" s="55"/>
      <c r="AI204" s="55"/>
      <c r="AJ204" s="55"/>
      <c r="AK204" s="55"/>
      <c r="AL204" s="55"/>
      <c r="AM204" s="55" t="str">
        <f>IFERROR(__xludf.DUMMYFUNCTION("""COMPUTED_VALUE"""),"#Wh3ZYPPrP3F0HQn363cBdhmNcys5sh13gp8Wsicty4szs+LG2nZzvd7xdUgy6L0=")</f>
        <v>#Wh3ZYPPrP3F0HQn363cBdhmNcys5sh13gp8Wsicty4szs+LG2nZzvd7xdUgy6L0=</v>
      </c>
      <c r="AN204" s="55"/>
      <c r="AO204" s="55"/>
      <c r="AP204" s="55"/>
      <c r="AQ204" s="55"/>
      <c r="AR204" s="55"/>
      <c r="AS204" s="55"/>
      <c r="AT204" s="55"/>
      <c r="AU204" s="55"/>
      <c r="AV204" s="55"/>
      <c r="AW204" s="35"/>
      <c r="AX204" s="35"/>
      <c r="AY204" s="35"/>
      <c r="AZ204" s="35"/>
      <c r="BA204" s="35"/>
      <c r="BB204" s="35"/>
      <c r="BC204" s="35"/>
      <c r="BD204" s="35"/>
      <c r="BE204" s="35"/>
      <c r="BF204" s="35"/>
      <c r="BG204" s="35"/>
    </row>
    <row r="205" ht="15.75" customHeight="1">
      <c r="A205" s="55" t="str">
        <f>IFERROR(__xludf.DUMMYFUNCTION("""COMPUTED_VALUE"""),"Instagram")</f>
        <v>Instagram</v>
      </c>
      <c r="B205" s="56">
        <f>IFERROR(__xludf.DUMMYFUNCTION("""COMPUTED_VALUE"""),46214.0)</f>
        <v>46214</v>
      </c>
      <c r="C205" s="55" t="str">
        <f>IFERROR(__xludf.DUMMYFUNCTION("""COMPUTED_VALUE"""),"July")</f>
        <v>July</v>
      </c>
      <c r="D205" s="58" t="str">
        <f>IFERROR(__xludf.DUMMYFUNCTION("""COMPUTED_VALUE"""),"https://www.instagram.com/reels/DaljalLsAjb/")</f>
        <v>https://www.instagram.com/reels/DaljalLsAjb/</v>
      </c>
      <c r="E205" s="55"/>
      <c r="F205" s="55"/>
      <c r="G205" s="55" t="str">
        <f>IFERROR(__xludf.DUMMYFUNCTION("""COMPUTED_VALUE"""),"Gummies vs Coffee")</f>
        <v>Gummies vs Coffee</v>
      </c>
      <c r="H205" s="55"/>
      <c r="I205" s="55">
        <f>IFERROR(__xludf.DUMMYFUNCTION("""COMPUTED_VALUE"""),8.5)</f>
        <v>8.5</v>
      </c>
      <c r="J205" s="55" t="str">
        <f>IFERROR(__xludf.DUMMYFUNCTION("""COMPUTED_VALUE"""),"No – Not Recommended")</f>
        <v>No – Not Recommended</v>
      </c>
      <c r="K205" s="55"/>
      <c r="L205" s="55" t="str">
        <f>IFERROR(__xludf.DUMMYFUNCTION("""COMPUTED_VALUE"""),"Score 8.5 &lt; 20 threshold")</f>
        <v>Score 8.5 &lt; 20 threshold</v>
      </c>
      <c r="M205" s="55" t="str">
        <f>IFERROR(__xludf.DUMMYFUNCTION("""COMPUTED_VALUE"""),"No Ad Data")</f>
        <v>No Ad Data</v>
      </c>
      <c r="N205" s="55"/>
      <c r="O205" s="55"/>
      <c r="P205" s="55">
        <f>IFERROR(__xludf.DUMMYFUNCTION("""COMPUTED_VALUE"""),51.0)</f>
        <v>51</v>
      </c>
      <c r="Q205" s="55">
        <f>IFERROR(__xludf.DUMMYFUNCTION("""COMPUTED_VALUE"""),1.0)</f>
        <v>1</v>
      </c>
      <c r="R205" s="55"/>
      <c r="S205" s="55"/>
      <c r="T205" s="55"/>
      <c r="U205" s="55"/>
      <c r="V205" s="55"/>
      <c r="W205" s="55">
        <f>IFERROR(__xludf.DUMMYFUNCTION("""COMPUTED_VALUE"""),67.58)</f>
        <v>67.58</v>
      </c>
      <c r="X205" s="55"/>
      <c r="Y205" s="55"/>
      <c r="Z205" s="55"/>
      <c r="AA205" s="55">
        <f>IFERROR(__xludf.DUMMYFUNCTION("""COMPUTED_VALUE"""),0.0)</f>
        <v>0</v>
      </c>
      <c r="AB205" s="55"/>
      <c r="AC205" s="55"/>
      <c r="AD205" s="55"/>
      <c r="AE205" s="55"/>
      <c r="AF205" s="55"/>
      <c r="AG205" s="55"/>
      <c r="AH205" s="55"/>
      <c r="AI205" s="55"/>
      <c r="AJ205" s="55"/>
      <c r="AK205" s="55"/>
      <c r="AL205" s="55"/>
      <c r="AM205" s="55" t="str">
        <f>IFERROR(__xludf.DUMMYFUNCTION("""COMPUTED_VALUE"""),"Q9jTBBbvily3HRu47vrwEORHYdEXu1tY8xFkKXE9KY7Wi94YOz6IQ3RwuG_xjpwsyvs")</f>
        <v>Q9jTBBbvily3HRu47vrwEORHYdEXu1tY8xFkKXE9KY7Wi94YOz6IQ3RwuG_xjpwsyvs</v>
      </c>
      <c r="AN205" s="55"/>
      <c r="AO205" s="55"/>
      <c r="AP205" s="55"/>
      <c r="AQ205" s="55"/>
      <c r="AR205" s="55"/>
      <c r="AS205" s="55"/>
      <c r="AT205" s="55"/>
      <c r="AU205" s="55"/>
      <c r="AV205" s="55"/>
      <c r="AW205" s="35"/>
      <c r="AX205" s="35"/>
      <c r="AY205" s="35"/>
      <c r="AZ205" s="35"/>
      <c r="BA205" s="35"/>
      <c r="BB205" s="35"/>
      <c r="BC205" s="35"/>
      <c r="BD205" s="35"/>
      <c r="BE205" s="35"/>
      <c r="BF205" s="35"/>
      <c r="BG205" s="35"/>
    </row>
    <row r="206" ht="15.75" customHeight="1">
      <c r="A206" s="55" t="str">
        <f>IFERROR(__xludf.DUMMYFUNCTION("""COMPUTED_VALUE"""),"Instagram")</f>
        <v>Instagram</v>
      </c>
      <c r="B206" s="56">
        <f>IFERROR(__xludf.DUMMYFUNCTION("""COMPUTED_VALUE"""),46216.0)</f>
        <v>46216</v>
      </c>
      <c r="C206" s="55" t="str">
        <f>IFERROR(__xludf.DUMMYFUNCTION("""COMPUTED_VALUE"""),"July")</f>
        <v>July</v>
      </c>
      <c r="D206" s="58" t="str">
        <f>IFERROR(__xludf.DUMMYFUNCTION("""COMPUTED_VALUE"""),"https://www.instagram.com/reels/DavHzLUBlzS/")</f>
        <v>https://www.instagram.com/reels/DavHzLUBlzS/</v>
      </c>
      <c r="E206" s="55"/>
      <c r="F206" s="55"/>
      <c r="G206" s="55" t="str">
        <f>IFERROR(__xludf.DUMMYFUNCTION("""COMPUTED_VALUE"""),"Cortisol")</f>
        <v>Cortisol</v>
      </c>
      <c r="H206" s="55"/>
      <c r="I206" s="55">
        <f>IFERROR(__xludf.DUMMYFUNCTION("""COMPUTED_VALUE"""),7.5)</f>
        <v>7.5</v>
      </c>
      <c r="J206" s="55" t="str">
        <f>IFERROR(__xludf.DUMMYFUNCTION("""COMPUTED_VALUE"""),"No – Not Recommended")</f>
        <v>No – Not Recommended</v>
      </c>
      <c r="K206" s="55"/>
      <c r="L206" s="55" t="str">
        <f>IFERROR(__xludf.DUMMYFUNCTION("""COMPUTED_VALUE"""),"Score 7.5 &lt; 20 threshold")</f>
        <v>Score 7.5 &lt; 20 threshold</v>
      </c>
      <c r="M206" s="55" t="str">
        <f>IFERROR(__xludf.DUMMYFUNCTION("""COMPUTED_VALUE"""),"No Ad Data")</f>
        <v>No Ad Data</v>
      </c>
      <c r="N206" s="55"/>
      <c r="O206" s="55"/>
      <c r="P206" s="55">
        <f>IFERROR(__xludf.DUMMYFUNCTION("""COMPUTED_VALUE"""),99.0)</f>
        <v>99</v>
      </c>
      <c r="Q206" s="55"/>
      <c r="R206" s="55"/>
      <c r="S206" s="55"/>
      <c r="T206" s="55"/>
      <c r="U206" s="55"/>
      <c r="V206" s="55"/>
      <c r="W206" s="55">
        <f>IFERROR(__xludf.DUMMYFUNCTION("""COMPUTED_VALUE"""),117.58)</f>
        <v>117.58</v>
      </c>
      <c r="X206" s="55"/>
      <c r="Y206" s="55"/>
      <c r="Z206" s="55"/>
      <c r="AA206" s="55">
        <f>IFERROR(__xludf.DUMMYFUNCTION("""COMPUTED_VALUE"""),0.0)</f>
        <v>0</v>
      </c>
      <c r="AB206" s="55"/>
      <c r="AC206" s="55"/>
      <c r="AD206" s="55"/>
      <c r="AE206" s="55"/>
      <c r="AF206" s="55"/>
      <c r="AG206" s="55"/>
      <c r="AH206" s="55"/>
      <c r="AI206" s="55"/>
      <c r="AJ206" s="55"/>
      <c r="AK206" s="55"/>
      <c r="AL206" s="55"/>
      <c r="AM206" s="55" t="str">
        <f>IFERROR(__xludf.DUMMYFUNCTION("""COMPUTED_VALUE"""),"Q9jTBBYc8vBlHpN9lDyiRSXTKAGPSD21VzUrmGtcKmAo-xetjtsOIZNmL2cO-8Vu13c")</f>
        <v>Q9jTBBYc8vBlHpN9lDyiRSXTKAGPSD21VzUrmGtcKmAo-xetjtsOIZNmL2cO-8Vu13c</v>
      </c>
      <c r="AN206" s="55"/>
      <c r="AO206" s="55"/>
      <c r="AP206" s="55"/>
      <c r="AQ206" s="55"/>
      <c r="AR206" s="55"/>
      <c r="AS206" s="55"/>
      <c r="AT206" s="55"/>
      <c r="AU206" s="55"/>
      <c r="AV206" s="55"/>
      <c r="AW206" s="35"/>
      <c r="AX206" s="35"/>
      <c r="AY206" s="35"/>
      <c r="AZ206" s="35"/>
      <c r="BA206" s="35"/>
      <c r="BB206" s="35"/>
      <c r="BC206" s="35"/>
      <c r="BD206" s="35"/>
      <c r="BE206" s="35"/>
      <c r="BF206" s="35"/>
      <c r="BG206" s="35"/>
    </row>
    <row r="207" ht="15.75" customHeight="1">
      <c r="A207" s="55" t="str">
        <f>IFERROR(__xludf.DUMMYFUNCTION("""COMPUTED_VALUE"""),"Instagram")</f>
        <v>Instagram</v>
      </c>
      <c r="B207" s="56">
        <f>IFERROR(__xludf.DUMMYFUNCTION("""COMPUTED_VALUE"""),46217.0)</f>
        <v>46217</v>
      </c>
      <c r="C207" s="55" t="str">
        <f>IFERROR(__xludf.DUMMYFUNCTION("""COMPUTED_VALUE"""),"July")</f>
        <v>July</v>
      </c>
      <c r="D207" s="58" t="str">
        <f>IFERROR(__xludf.DUMMYFUNCTION("""COMPUTED_VALUE"""),"https://www.instagram.com/reels/Dax0IyhoR2O/")</f>
        <v>https://www.instagram.com/reels/Dax0IyhoR2O/</v>
      </c>
      <c r="E207" s="55"/>
      <c r="F207" s="55"/>
      <c r="G207" s="55" t="str">
        <f>IFERROR(__xludf.DUMMYFUNCTION("""COMPUTED_VALUE"""),"Gummies vs Coffee")</f>
        <v>Gummies vs Coffee</v>
      </c>
      <c r="H207" s="55"/>
      <c r="I207" s="55">
        <f>IFERROR(__xludf.DUMMYFUNCTION("""COMPUTED_VALUE"""),7.3)</f>
        <v>7.3</v>
      </c>
      <c r="J207" s="55" t="str">
        <f>IFERROR(__xludf.DUMMYFUNCTION("""COMPUTED_VALUE"""),"No – Not Recommended")</f>
        <v>No – Not Recommended</v>
      </c>
      <c r="K207" s="55"/>
      <c r="L207" s="55" t="str">
        <f>IFERROR(__xludf.DUMMYFUNCTION("""COMPUTED_VALUE"""),"Score 7.3 &lt; 20 threshold")</f>
        <v>Score 7.3 &lt; 20 threshold</v>
      </c>
      <c r="M207" s="55" t="str">
        <f>IFERROR(__xludf.DUMMYFUNCTION("""COMPUTED_VALUE"""),"No Ad Data")</f>
        <v>No Ad Data</v>
      </c>
      <c r="N207" s="55"/>
      <c r="O207" s="55"/>
      <c r="P207" s="55">
        <f>IFERROR(__xludf.DUMMYFUNCTION("""COMPUTED_VALUE"""),84.0)</f>
        <v>84</v>
      </c>
      <c r="Q207" s="55"/>
      <c r="R207" s="55"/>
      <c r="S207" s="55"/>
      <c r="T207" s="55"/>
      <c r="U207" s="55"/>
      <c r="V207" s="55"/>
      <c r="W207" s="55">
        <f>IFERROR(__xludf.DUMMYFUNCTION("""COMPUTED_VALUE"""),67.58)</f>
        <v>67.58</v>
      </c>
      <c r="X207" s="55"/>
      <c r="Y207" s="55"/>
      <c r="Z207" s="55"/>
      <c r="AA207" s="55">
        <f>IFERROR(__xludf.DUMMYFUNCTION("""COMPUTED_VALUE"""),0.0)</f>
        <v>0</v>
      </c>
      <c r="AB207" s="55"/>
      <c r="AC207" s="55"/>
      <c r="AD207" s="55"/>
      <c r="AE207" s="55"/>
      <c r="AF207" s="55"/>
      <c r="AG207" s="55"/>
      <c r="AH207" s="55"/>
      <c r="AI207" s="55"/>
      <c r="AJ207" s="55"/>
      <c r="AK207" s="55"/>
      <c r="AL207" s="55"/>
      <c r="AM207" s="55" t="str">
        <f>IFERROR(__xludf.DUMMYFUNCTION("""COMPUTED_VALUE"""),"Q9jTBBbKwbom09RZozt2to0p9P3Kb_omPufuEHRePz8JZtJ92xhQdlKTSwy7OuywTQ")</f>
        <v>Q9jTBBbKwbom09RZozt2to0p9P3Kb_omPufuEHRePz8JZtJ92xhQdlKTSwy7OuywTQ</v>
      </c>
      <c r="AN207" s="55"/>
      <c r="AO207" s="55"/>
      <c r="AP207" s="55"/>
      <c r="AQ207" s="55"/>
      <c r="AR207" s="55"/>
      <c r="AS207" s="55"/>
      <c r="AT207" s="55"/>
      <c r="AU207" s="55"/>
      <c r="AV207" s="55"/>
      <c r="AW207" s="35"/>
      <c r="AX207" s="35"/>
      <c r="AY207" s="35"/>
      <c r="AZ207" s="35"/>
      <c r="BA207" s="35"/>
      <c r="BB207" s="35"/>
      <c r="BC207" s="35"/>
      <c r="BD207" s="35"/>
      <c r="BE207" s="35"/>
      <c r="BF207" s="35"/>
      <c r="BG207" s="35"/>
    </row>
    <row r="208" ht="15.75" customHeight="1">
      <c r="A208" s="55" t="str">
        <f>IFERROR(__xludf.DUMMYFUNCTION("""COMPUTED_VALUE"""),"Tiktok")</f>
        <v>Tiktok</v>
      </c>
      <c r="B208" s="56">
        <f>IFERROR(__xludf.DUMMYFUNCTION("""COMPUTED_VALUE"""),46215.0)</f>
        <v>46215</v>
      </c>
      <c r="C208" s="55" t="str">
        <f>IFERROR(__xludf.DUMMYFUNCTION("""COMPUTED_VALUE"""),"July")</f>
        <v>July</v>
      </c>
      <c r="D208" s="58" t="str">
        <f>IFERROR(__xludf.DUMMYFUNCTION("""COMPUTED_VALUE"""),"https://www.tiktok.com/@maxprintstudio/video/7661698057423162637")</f>
        <v>https://www.tiktok.com/@maxprintstudio/video/7661698057423162637</v>
      </c>
      <c r="E208" s="55"/>
      <c r="F208" s="55"/>
      <c r="G208" s="55" t="str">
        <f>IFERROR(__xludf.DUMMYFUNCTION("""COMPUTED_VALUE"""),"Mushroom Trend")</f>
        <v>Mushroom Trend</v>
      </c>
      <c r="H208" s="55"/>
      <c r="I208" s="55">
        <f>IFERROR(__xludf.DUMMYFUNCTION("""COMPUTED_VALUE"""),5.4)</f>
        <v>5.4</v>
      </c>
      <c r="J208" s="55" t="str">
        <f>IFERROR(__xludf.DUMMYFUNCTION("""COMPUTED_VALUE"""),"No – Not Recommended")</f>
        <v>No – Not Recommended</v>
      </c>
      <c r="K208" s="55"/>
      <c r="L208" s="55" t="str">
        <f>IFERROR(__xludf.DUMMYFUNCTION("""COMPUTED_VALUE"""),"Score 6.6 &lt; 30 threshold")</f>
        <v>Score 6.6 &lt; 30 threshold</v>
      </c>
      <c r="M208" s="55" t="str">
        <f>IFERROR(__xludf.DUMMYFUNCTION("""COMPUTED_VALUE"""),"No Ad Data")</f>
        <v>No Ad Data</v>
      </c>
      <c r="N208" s="55"/>
      <c r="O208" s="55"/>
      <c r="P208" s="55">
        <f>IFERROR(__xludf.DUMMYFUNCTION("""COMPUTED_VALUE"""),83.0)</f>
        <v>83</v>
      </c>
      <c r="Q208" s="55"/>
      <c r="R208" s="55"/>
      <c r="S208" s="55"/>
      <c r="T208" s="55"/>
      <c r="U208" s="55"/>
      <c r="V208" s="55"/>
      <c r="W208" s="55">
        <f>IFERROR(__xludf.DUMMYFUNCTION("""COMPUTED_VALUE"""),117.58)</f>
        <v>117.58</v>
      </c>
      <c r="X208" s="55"/>
      <c r="Y208" s="55"/>
      <c r="Z208" s="55"/>
      <c r="AA208" s="55">
        <f>IFERROR(__xludf.DUMMYFUNCTION("""COMPUTED_VALUE"""),0.0)</f>
        <v>0</v>
      </c>
      <c r="AB208" s="55"/>
      <c r="AC208" s="55"/>
      <c r="AD208" s="55"/>
      <c r="AE208" s="55"/>
      <c r="AF208" s="55"/>
      <c r="AG208" s="55"/>
      <c r="AH208" s="55"/>
      <c r="AI208" s="55"/>
      <c r="AJ208" s="55"/>
      <c r="AK208" s="55"/>
      <c r="AL208" s="55"/>
      <c r="AM208" s="55" t="str">
        <f>IFERROR(__xludf.DUMMYFUNCTION("""COMPUTED_VALUE"""),"#hd1pc995HcMwbLFs/Yn4AllFLlF2hiLvmps9C/5lhzOHr8ufFGatf/ZOwjB93y8=")</f>
        <v>#hd1pc995HcMwbLFs/Yn4AllFLlF2hiLvmps9C/5lhzOHr8ufFGatf/ZOwjB93y8=</v>
      </c>
      <c r="AN208" s="55"/>
      <c r="AO208" s="55"/>
      <c r="AP208" s="55"/>
      <c r="AQ208" s="55"/>
      <c r="AR208" s="55"/>
      <c r="AS208" s="55"/>
      <c r="AT208" s="55"/>
      <c r="AU208" s="55"/>
      <c r="AV208" s="55"/>
      <c r="AW208" s="35"/>
      <c r="AX208" s="35"/>
      <c r="AY208" s="35"/>
      <c r="AZ208" s="35"/>
      <c r="BA208" s="35"/>
      <c r="BB208" s="35"/>
      <c r="BC208" s="35"/>
      <c r="BD208" s="35"/>
      <c r="BE208" s="35"/>
      <c r="BF208" s="35"/>
      <c r="BG208" s="35"/>
    </row>
    <row r="209" ht="15.75" customHeight="1">
      <c r="A209" s="55" t="str">
        <f>IFERROR(__xludf.DUMMYFUNCTION("""COMPUTED_VALUE"""),"Tiktok")</f>
        <v>Tiktok</v>
      </c>
      <c r="B209" s="56">
        <f>IFERROR(__xludf.DUMMYFUNCTION("""COMPUTED_VALUE"""),46217.0)</f>
        <v>46217</v>
      </c>
      <c r="C209" s="55" t="str">
        <f>IFERROR(__xludf.DUMMYFUNCTION("""COMPUTED_VALUE"""),"July")</f>
        <v>July</v>
      </c>
      <c r="D209" s="58" t="str">
        <f>IFERROR(__xludf.DUMMYFUNCTION("""COMPUTED_VALUE"""),"https://www.tiktok.com/@kendraconnelly77/video/7662340908385438990")</f>
        <v>https://www.tiktok.com/@kendraconnelly77/video/7662340908385438990</v>
      </c>
      <c r="E209" s="55"/>
      <c r="F209" s="55"/>
      <c r="G209" s="55" t="str">
        <f>IFERROR(__xludf.DUMMYFUNCTION("""COMPUTED_VALUE"""),"Mushroom Trend")</f>
        <v>Mushroom Trend</v>
      </c>
      <c r="H209" s="55"/>
      <c r="I209" s="55">
        <f>IFERROR(__xludf.DUMMYFUNCTION("""COMPUTED_VALUE"""),5.9)</f>
        <v>5.9</v>
      </c>
      <c r="J209" s="55" t="str">
        <f>IFERROR(__xludf.DUMMYFUNCTION("""COMPUTED_VALUE"""),"No – Not Recommended")</f>
        <v>No – Not Recommended</v>
      </c>
      <c r="K209" s="55"/>
      <c r="L209" s="55" t="str">
        <f>IFERROR(__xludf.DUMMYFUNCTION("""COMPUTED_VALUE"""),"Score 6.6 &lt; 30 threshold")</f>
        <v>Score 6.6 &lt; 30 threshold</v>
      </c>
      <c r="M209" s="55" t="str">
        <f>IFERROR(__xludf.DUMMYFUNCTION("""COMPUTED_VALUE"""),"No Ad Data")</f>
        <v>No Ad Data</v>
      </c>
      <c r="N209" s="55"/>
      <c r="O209" s="55"/>
      <c r="P209" s="55">
        <f>IFERROR(__xludf.DUMMYFUNCTION("""COMPUTED_VALUE"""),43.0)</f>
        <v>43</v>
      </c>
      <c r="Q209" s="55">
        <f>IFERROR(__xludf.DUMMYFUNCTION("""COMPUTED_VALUE"""),3.0)</f>
        <v>3</v>
      </c>
      <c r="R209" s="55">
        <f>IFERROR(__xludf.DUMMYFUNCTION("""COMPUTED_VALUE"""),1.0)</f>
        <v>1</v>
      </c>
      <c r="S209" s="55"/>
      <c r="T209" s="55"/>
      <c r="U209" s="55"/>
      <c r="V209" s="55"/>
      <c r="W209" s="55">
        <f>IFERROR(__xludf.DUMMYFUNCTION("""COMPUTED_VALUE"""),117.58)</f>
        <v>117.58</v>
      </c>
      <c r="X209" s="55"/>
      <c r="Y209" s="55"/>
      <c r="Z209" s="55"/>
      <c r="AA209" s="55">
        <f>IFERROR(__xludf.DUMMYFUNCTION("""COMPUTED_VALUE"""),0.0)</f>
        <v>0</v>
      </c>
      <c r="AB209" s="55"/>
      <c r="AC209" s="55"/>
      <c r="AD209" s="55"/>
      <c r="AE209" s="55"/>
      <c r="AF209" s="55"/>
      <c r="AG209" s="55"/>
      <c r="AH209" s="55"/>
      <c r="AI209" s="55"/>
      <c r="AJ209" s="55"/>
      <c r="AK209" s="55"/>
      <c r="AL209" s="55"/>
      <c r="AM209" s="55" t="str">
        <f>IFERROR(__xludf.DUMMYFUNCTION("""COMPUTED_VALUE"""),"#2d/k7RbUtY/9LJzVYO8NJBMU0tLsB+BaDHFk9MKnMwGJSQdxvqlIU1al8RV0lB0=")</f>
        <v>#2d/k7RbUtY/9LJzVYO8NJBMU0tLsB+BaDHFk9MKnMwGJSQdxvqlIU1al8RV0lB0=</v>
      </c>
      <c r="AN209" s="55"/>
      <c r="AO209" s="55"/>
      <c r="AP209" s="55"/>
      <c r="AQ209" s="55"/>
      <c r="AR209" s="55"/>
      <c r="AS209" s="55"/>
      <c r="AT209" s="55"/>
      <c r="AU209" s="55"/>
      <c r="AV209" s="55"/>
      <c r="AW209" s="35"/>
      <c r="AX209" s="35"/>
      <c r="AY209" s="35"/>
      <c r="AZ209" s="35"/>
      <c r="BA209" s="35"/>
      <c r="BB209" s="35"/>
      <c r="BC209" s="35"/>
      <c r="BD209" s="35"/>
      <c r="BE209" s="35"/>
      <c r="BF209" s="35"/>
      <c r="BG209" s="35"/>
    </row>
    <row r="210" ht="15.75" customHeight="1">
      <c r="A210" s="55" t="str">
        <f>IFERROR(__xludf.DUMMYFUNCTION("""COMPUTED_VALUE"""),"Tiktok")</f>
        <v>Tiktok</v>
      </c>
      <c r="B210" s="56">
        <f>IFERROR(__xludf.DUMMYFUNCTION("""COMPUTED_VALUE"""),46218.0)</f>
        <v>46218</v>
      </c>
      <c r="C210" s="55" t="str">
        <f>IFERROR(__xludf.DUMMYFUNCTION("""COMPUTED_VALUE"""),"July")</f>
        <v>July</v>
      </c>
      <c r="D210" s="58" t="str">
        <f>IFERROR(__xludf.DUMMYFUNCTION("""COMPUTED_VALUE"""),"https://www.tiktok.com/@knowledgebitches/video/7662519806167436574")</f>
        <v>https://www.tiktok.com/@knowledgebitches/video/7662519806167436574</v>
      </c>
      <c r="E210" s="55"/>
      <c r="F210" s="55"/>
      <c r="G210" s="55" t="str">
        <f>IFERROR(__xludf.DUMMYFUNCTION("""COMPUTED_VALUE"""),"Taste")</f>
        <v>Taste</v>
      </c>
      <c r="H210" s="55"/>
      <c r="I210" s="55">
        <f>IFERROR(__xludf.DUMMYFUNCTION("""COMPUTED_VALUE"""),5.0)</f>
        <v>5</v>
      </c>
      <c r="J210" s="55" t="str">
        <f>IFERROR(__xludf.DUMMYFUNCTION("""COMPUTED_VALUE"""),"No – Not Recommended")</f>
        <v>No – Not Recommended</v>
      </c>
      <c r="K210" s="55"/>
      <c r="L210" s="55" t="str">
        <f>IFERROR(__xludf.DUMMYFUNCTION("""COMPUTED_VALUE"""),"Score 6.0 &lt; 30 threshold")</f>
        <v>Score 6.0 &lt; 30 threshold</v>
      </c>
      <c r="M210" s="55" t="str">
        <f>IFERROR(__xludf.DUMMYFUNCTION("""COMPUTED_VALUE"""),"No Ad Data")</f>
        <v>No Ad Data</v>
      </c>
      <c r="N210" s="55"/>
      <c r="O210" s="55"/>
      <c r="P210" s="55">
        <f>IFERROR(__xludf.DUMMYFUNCTION("""COMPUTED_VALUE"""),56.0)</f>
        <v>56</v>
      </c>
      <c r="Q210" s="55"/>
      <c r="R210" s="55"/>
      <c r="S210" s="55"/>
      <c r="T210" s="55"/>
      <c r="U210" s="55"/>
      <c r="V210" s="55"/>
      <c r="W210" s="55">
        <f>IFERROR(__xludf.DUMMYFUNCTION("""COMPUTED_VALUE"""),117.58)</f>
        <v>117.58</v>
      </c>
      <c r="X210" s="55"/>
      <c r="Y210" s="55"/>
      <c r="Z210" s="55"/>
      <c r="AA210" s="55">
        <f>IFERROR(__xludf.DUMMYFUNCTION("""COMPUTED_VALUE"""),0.0)</f>
        <v>0</v>
      </c>
      <c r="AB210" s="55"/>
      <c r="AC210" s="55"/>
      <c r="AD210" s="55"/>
      <c r="AE210" s="55"/>
      <c r="AF210" s="55"/>
      <c r="AG210" s="55"/>
      <c r="AH210" s="55"/>
      <c r="AI210" s="55"/>
      <c r="AJ210" s="55"/>
      <c r="AK210" s="55"/>
      <c r="AL210" s="55"/>
      <c r="AM210" s="55" t="str">
        <f>IFERROR(__xludf.DUMMYFUNCTION("""COMPUTED_VALUE"""),"#Wh3ZYPPrP3F0HQn363cBdhmNcys5sh13gp8Wsicty4szs+LG2nZzvd7xdUgy6L0=")</f>
        <v>#Wh3ZYPPrP3F0HQn363cBdhmNcys5sh13gp8Wsicty4szs+LG2nZzvd7xdUgy6L0=</v>
      </c>
      <c r="AN210" s="55"/>
      <c r="AO210" s="55"/>
      <c r="AP210" s="55"/>
      <c r="AQ210" s="55"/>
      <c r="AR210" s="55"/>
      <c r="AS210" s="55"/>
      <c r="AT210" s="55"/>
      <c r="AU210" s="55"/>
      <c r="AV210" s="55"/>
      <c r="AW210" s="35"/>
      <c r="AX210" s="35"/>
      <c r="AY210" s="35"/>
      <c r="AZ210" s="35"/>
      <c r="BA210" s="35"/>
      <c r="BB210" s="35"/>
      <c r="BC210" s="35"/>
      <c r="BD210" s="35"/>
      <c r="BE210" s="35"/>
      <c r="BF210" s="35"/>
      <c r="BG210" s="35"/>
    </row>
    <row r="211" ht="15.75" customHeight="1">
      <c r="A211" s="55" t="str">
        <f>IFERROR(__xludf.DUMMYFUNCTION("""COMPUTED_VALUE"""),"Tiktok")</f>
        <v>Tiktok</v>
      </c>
      <c r="B211" s="56">
        <f>IFERROR(__xludf.DUMMYFUNCTION("""COMPUTED_VALUE"""),46216.0)</f>
        <v>46216</v>
      </c>
      <c r="C211" s="55" t="str">
        <f>IFERROR(__xludf.DUMMYFUNCTION("""COMPUTED_VALUE"""),"July")</f>
        <v>July</v>
      </c>
      <c r="D211" s="58" t="str">
        <f>IFERROR(__xludf.DUMMYFUNCTION("""COMPUTED_VALUE"""),"https://www.tiktok.com/@mislenyscasas89/video/7658151506591468813")</f>
        <v>https://www.tiktok.com/@mislenyscasas89/video/7658151506591468813</v>
      </c>
      <c r="E211" s="55"/>
      <c r="F211" s="55"/>
      <c r="G211" s="55" t="str">
        <f>IFERROR(__xludf.DUMMYFUNCTION("""COMPUTED_VALUE"""),"Taste")</f>
        <v>Taste</v>
      </c>
      <c r="H211" s="55"/>
      <c r="I211" s="55">
        <f>IFERROR(__xludf.DUMMYFUNCTION("""COMPUTED_VALUE"""),5.2)</f>
        <v>5.2</v>
      </c>
      <c r="J211" s="55" t="str">
        <f>IFERROR(__xludf.DUMMYFUNCTION("""COMPUTED_VALUE"""),"No – Not Recommended")</f>
        <v>No – Not Recommended</v>
      </c>
      <c r="K211" s="55"/>
      <c r="L211" s="55" t="str">
        <f>IFERROR(__xludf.DUMMYFUNCTION("""COMPUTED_VALUE"""),"Score 5.7 &lt; 30 threshold")</f>
        <v>Score 5.7 &lt; 30 threshold</v>
      </c>
      <c r="M211" s="55" t="str">
        <f>IFERROR(__xludf.DUMMYFUNCTION("""COMPUTED_VALUE"""),"No Ad Data")</f>
        <v>No Ad Data</v>
      </c>
      <c r="N211" s="55"/>
      <c r="O211" s="55"/>
      <c r="P211" s="55">
        <f>IFERROR(__xludf.DUMMYFUNCTION("""COMPUTED_VALUE"""),27.0)</f>
        <v>27</v>
      </c>
      <c r="Q211" s="55">
        <f>IFERROR(__xludf.DUMMYFUNCTION("""COMPUTED_VALUE"""),2.0)</f>
        <v>2</v>
      </c>
      <c r="R211" s="55">
        <f>IFERROR(__xludf.DUMMYFUNCTION("""COMPUTED_VALUE"""),1.0)</f>
        <v>1</v>
      </c>
      <c r="S211" s="55"/>
      <c r="T211" s="55"/>
      <c r="U211" s="55"/>
      <c r="V211" s="55"/>
      <c r="W211" s="55">
        <f>IFERROR(__xludf.DUMMYFUNCTION("""COMPUTED_VALUE"""),117.58)</f>
        <v>117.58</v>
      </c>
      <c r="X211" s="55"/>
      <c r="Y211" s="55"/>
      <c r="Z211" s="55"/>
      <c r="AA211" s="55">
        <f>IFERROR(__xludf.DUMMYFUNCTION("""COMPUTED_VALUE"""),0.0)</f>
        <v>0</v>
      </c>
      <c r="AB211" s="55"/>
      <c r="AC211" s="55"/>
      <c r="AD211" s="55"/>
      <c r="AE211" s="55"/>
      <c r="AF211" s="55"/>
      <c r="AG211" s="55"/>
      <c r="AH211" s="55"/>
      <c r="AI211" s="55"/>
      <c r="AJ211" s="55"/>
      <c r="AK211" s="55"/>
      <c r="AL211" s="55"/>
      <c r="AM211" s="55" t="str">
        <f>IFERROR(__xludf.DUMMYFUNCTION("""COMPUTED_VALUE"""),"#58YS23ke8dH0ilEPt0WJWeM176dqWNLb9yeroT4YOSsqinj/Lfsb2gikzjirHZc=")</f>
        <v>#58YS23ke8dH0ilEPt0WJWeM176dqWNLb9yeroT4YOSsqinj/Lfsb2gikzjirHZc=</v>
      </c>
      <c r="AN211" s="55"/>
      <c r="AO211" s="55"/>
      <c r="AP211" s="55"/>
      <c r="AQ211" s="55"/>
      <c r="AR211" s="55"/>
      <c r="AS211" s="55"/>
      <c r="AT211" s="55"/>
      <c r="AU211" s="55"/>
      <c r="AV211" s="55"/>
      <c r="AW211" s="35"/>
      <c r="AX211" s="35"/>
      <c r="AY211" s="35"/>
      <c r="AZ211" s="35"/>
      <c r="BA211" s="35"/>
      <c r="BB211" s="35"/>
      <c r="BC211" s="35"/>
      <c r="BD211" s="35"/>
      <c r="BE211" s="35"/>
      <c r="BF211" s="35"/>
      <c r="BG211" s="35"/>
    </row>
    <row r="212" ht="15.75" customHeight="1">
      <c r="A212" s="55" t="str">
        <f>IFERROR(__xludf.DUMMYFUNCTION("""COMPUTED_VALUE"""),"Instagram")</f>
        <v>Instagram</v>
      </c>
      <c r="B212" s="55" t="str">
        <f>IFERROR(__xludf.DUMMYFUNCTION("""COMPUTED_VALUE"""),"June")</f>
        <v>June</v>
      </c>
      <c r="C212" s="55" t="str">
        <f>IFERROR(__xludf.DUMMYFUNCTION("""COMPUTED_VALUE"""),"June")</f>
        <v>June</v>
      </c>
      <c r="D212" s="58" t="str">
        <f>IFERROR(__xludf.DUMMYFUNCTION("""COMPUTED_VALUE"""),"https://www.instagram.com/reels/DZaANsPoNEn/")</f>
        <v>https://www.instagram.com/reels/DZaANsPoNEn/</v>
      </c>
      <c r="E212" s="55"/>
      <c r="F212" s="55"/>
      <c r="G212" s="55" t="str">
        <f>IFERROR(__xludf.DUMMYFUNCTION("""COMPUTED_VALUE"""),"Target Shelf Showdown")</f>
        <v>Target Shelf Showdown</v>
      </c>
      <c r="H212" s="55"/>
      <c r="I212" s="55">
        <f>IFERROR(__xludf.DUMMYFUNCTION("""COMPUTED_VALUE"""),18.6)</f>
        <v>18.6</v>
      </c>
      <c r="J212" s="55" t="str">
        <f>IFERROR(__xludf.DUMMYFUNCTION("""COMPUTED_VALUE"""),"No – Not Recommended")</f>
        <v>No – Not Recommended</v>
      </c>
      <c r="K212" s="55"/>
      <c r="L212" s="55" t="str">
        <f>IFERROR(__xludf.DUMMYFUNCTION("""COMPUTED_VALUE"""),"Score 18.6 &lt; 20 threshold")</f>
        <v>Score 18.6 &lt; 20 threshold</v>
      </c>
      <c r="M212" s="55"/>
      <c r="N212" s="55"/>
      <c r="O212" s="55"/>
      <c r="P212" s="55">
        <f>IFERROR(__xludf.DUMMYFUNCTION("""COMPUTED_VALUE"""),170.0)</f>
        <v>170</v>
      </c>
      <c r="Q212" s="55">
        <f>IFERROR(__xludf.DUMMYFUNCTION("""COMPUTED_VALUE"""),3.0)</f>
        <v>3</v>
      </c>
      <c r="R212" s="55"/>
      <c r="S212" s="55"/>
      <c r="T212" s="55"/>
      <c r="U212" s="55"/>
      <c r="V212" s="55">
        <f>IFERROR(__xludf.DUMMYFUNCTION("""COMPUTED_VALUE"""),1.7647058823529411)</f>
        <v>1.764705882</v>
      </c>
      <c r="W212" s="55">
        <f>IFERROR(__xludf.DUMMYFUNCTION("""COMPUTED_VALUE"""),67.58)</f>
        <v>67.58</v>
      </c>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35"/>
      <c r="AX212" s="35"/>
      <c r="AY212" s="35"/>
      <c r="AZ212" s="35"/>
      <c r="BA212" s="35"/>
      <c r="BB212" s="35"/>
      <c r="BC212" s="35"/>
      <c r="BD212" s="35"/>
      <c r="BE212" s="35"/>
      <c r="BF212" s="35"/>
      <c r="BG212" s="35"/>
    </row>
    <row r="213" ht="15.75" customHeight="1">
      <c r="A213" s="55" t="str">
        <f>IFERROR(__xludf.DUMMYFUNCTION("""COMPUTED_VALUE"""),"Tiktok")</f>
        <v>Tiktok</v>
      </c>
      <c r="B213" s="78">
        <f>IFERROR(__xludf.DUMMYFUNCTION("""COMPUTED_VALUE"""),46219.0)</f>
        <v>46219</v>
      </c>
      <c r="C213" s="55" t="str">
        <f>IFERROR(__xludf.DUMMYFUNCTION("""COMPUTED_VALUE"""),"July")</f>
        <v>July</v>
      </c>
      <c r="D213" s="58" t="str">
        <f>IFERROR(__xludf.DUMMYFUNCTION("""COMPUTED_VALUE"""),"https://www.tiktok.com/@elewoolcreator/video/7662866535899303181")</f>
        <v>https://www.tiktok.com/@elewoolcreator/video/7662866535899303181</v>
      </c>
      <c r="E213" s="55" t="str">
        <f>IFERROR(__xludf.DUMMYFUNCTION("""COMPUTED_VALUE"""),"@elewoolcreator")</f>
        <v>@elewoolcreator</v>
      </c>
      <c r="F213" s="55"/>
      <c r="G213" s="55" t="str">
        <f>IFERROR(__xludf.DUMMYFUNCTION("""COMPUTED_VALUE"""),"Cortisol")</f>
        <v>Cortisol</v>
      </c>
      <c r="H213" s="55"/>
      <c r="I213" s="55">
        <f>IFERROR(__xludf.DUMMYFUNCTION("""COMPUTED_VALUE"""),7.1)</f>
        <v>7.1</v>
      </c>
      <c r="J213" s="55" t="str">
        <f>IFERROR(__xludf.DUMMYFUNCTION("""COMPUTED_VALUE"""),"No – Not Recommended")</f>
        <v>No – Not Recommended</v>
      </c>
      <c r="K213" s="55"/>
      <c r="L213" s="55" t="str">
        <f>IFERROR(__xludf.DUMMYFUNCTION("""COMPUTED_VALUE"""),"Score 7.1 &lt; 30 threshold")</f>
        <v>Score 7.1 &lt; 30 threshold</v>
      </c>
      <c r="M213" s="55"/>
      <c r="N213" s="55"/>
      <c r="O213" s="55"/>
      <c r="P213" s="55">
        <f>IFERROR(__xludf.DUMMYFUNCTION("""COMPUTED_VALUE"""),31.0)</f>
        <v>31</v>
      </c>
      <c r="Q213" s="55">
        <f>IFERROR(__xludf.DUMMYFUNCTION("""COMPUTED_VALUE"""),10.0)</f>
        <v>10</v>
      </c>
      <c r="R213" s="55"/>
      <c r="S213" s="55"/>
      <c r="T213" s="55"/>
      <c r="U213" s="55"/>
      <c r="V213" s="55" t="str">
        <f>IFERROR(__xludf.DUMMYFUNCTION("""COMPUTED_VALUE"""),"#NUM!")</f>
        <v>#NUM!</v>
      </c>
      <c r="W213" s="55">
        <f>IFERROR(__xludf.DUMMYFUNCTION("""COMPUTED_VALUE"""),117.58)</f>
        <v>117.58</v>
      </c>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35"/>
      <c r="AX213" s="35"/>
      <c r="AY213" s="35"/>
      <c r="AZ213" s="35"/>
      <c r="BA213" s="35"/>
      <c r="BB213" s="35"/>
      <c r="BC213" s="35"/>
      <c r="BD213" s="35"/>
      <c r="BE213" s="35"/>
      <c r="BF213" s="35"/>
      <c r="BG213" s="35"/>
    </row>
    <row r="214" ht="15.75" customHeight="1">
      <c r="A214" s="55" t="str">
        <f>IFERROR(__xludf.DUMMYFUNCTION("""COMPUTED_VALUE"""),"Tiktok")</f>
        <v>Tiktok</v>
      </c>
      <c r="B214" s="78">
        <f>IFERROR(__xludf.DUMMYFUNCTION("""COMPUTED_VALUE"""),46218.0)</f>
        <v>46218</v>
      </c>
      <c r="C214" s="55" t="str">
        <f>IFERROR(__xludf.DUMMYFUNCTION("""COMPUTED_VALUE"""),"July")</f>
        <v>July</v>
      </c>
      <c r="D214" s="58" t="str">
        <f>IFERROR(__xludf.DUMMYFUNCTION("""COMPUTED_VALUE"""),"https://www.tiktok.com/@the.little.green.hill/video/7662776814951091469")</f>
        <v>https://www.tiktok.com/@the.little.green.hill/video/7662776814951091469</v>
      </c>
      <c r="E214" s="55" t="str">
        <f>IFERROR(__xludf.DUMMYFUNCTION("""COMPUTED_VALUE"""),"@the.little.green.hill")</f>
        <v>@the.little.green.hill</v>
      </c>
      <c r="F214" s="55"/>
      <c r="G214" s="55" t="str">
        <f>IFERROR(__xludf.DUMMYFUNCTION("""COMPUTED_VALUE"""),"Countering Mushroom Coffee Trend")</f>
        <v>Countering Mushroom Coffee Trend</v>
      </c>
      <c r="H214" s="55"/>
      <c r="I214" s="55">
        <f>IFERROR(__xludf.DUMMYFUNCTION("""COMPUTED_VALUE"""),11.6)</f>
        <v>11.6</v>
      </c>
      <c r="J214" s="55" t="str">
        <f>IFERROR(__xludf.DUMMYFUNCTION("""COMPUTED_VALUE"""),"No – Not Recommended")</f>
        <v>No – Not Recommended</v>
      </c>
      <c r="K214" s="55"/>
      <c r="L214" s="55" t="str">
        <f>IFERROR(__xludf.DUMMYFUNCTION("""COMPUTED_VALUE"""),"Score 11.6 &lt; 30 threshold")</f>
        <v>Score 11.6 &lt; 30 threshold</v>
      </c>
      <c r="M214" s="55"/>
      <c r="N214" s="55"/>
      <c r="O214" s="55"/>
      <c r="P214" s="55">
        <f>IFERROR(__xludf.DUMMYFUNCTION("""COMPUTED_VALUE"""),103.0)</f>
        <v>103</v>
      </c>
      <c r="Q214" s="55">
        <f>IFERROR(__xludf.DUMMYFUNCTION("""COMPUTED_VALUE"""),6.0)</f>
        <v>6</v>
      </c>
      <c r="R214" s="55">
        <f>IFERROR(__xludf.DUMMYFUNCTION("""COMPUTED_VALUE"""),1.0)</f>
        <v>1</v>
      </c>
      <c r="S214" s="55"/>
      <c r="T214" s="55"/>
      <c r="U214" s="55"/>
      <c r="V214" s="55" t="str">
        <f>IFERROR(__xludf.DUMMYFUNCTION("""COMPUTED_VALUE"""),"#NUM!")</f>
        <v>#NUM!</v>
      </c>
      <c r="W214" s="55">
        <f>IFERROR(__xludf.DUMMYFUNCTION("""COMPUTED_VALUE"""),117.58)</f>
        <v>117.58</v>
      </c>
      <c r="X214" s="55"/>
      <c r="Y214" s="55"/>
      <c r="Z214" s="55"/>
      <c r="AA214" s="55"/>
      <c r="AB214" s="55"/>
      <c r="AC214" s="55"/>
      <c r="AD214" s="55"/>
      <c r="AE214" s="55"/>
      <c r="AF214" s="55"/>
      <c r="AG214" s="55"/>
      <c r="AH214" s="55"/>
      <c r="AI214" s="55"/>
      <c r="AJ214" s="55"/>
      <c r="AK214" s="55"/>
      <c r="AL214" s="55"/>
      <c r="AM214" s="55"/>
      <c r="AN214" s="55"/>
      <c r="AO214" s="55"/>
      <c r="AP214" s="55"/>
      <c r="AQ214" s="55"/>
      <c r="AR214" s="55"/>
      <c r="AS214" s="55"/>
      <c r="AT214" s="55"/>
      <c r="AU214" s="55"/>
      <c r="AV214" s="55"/>
      <c r="AW214" s="35"/>
      <c r="AX214" s="35"/>
      <c r="AY214" s="35"/>
      <c r="AZ214" s="35"/>
      <c r="BA214" s="35"/>
      <c r="BB214" s="35"/>
      <c r="BC214" s="35"/>
      <c r="BD214" s="35"/>
      <c r="BE214" s="35"/>
      <c r="BF214" s="35"/>
      <c r="BG214" s="35"/>
    </row>
    <row r="215" ht="15.75" customHeight="1">
      <c r="A215" s="55" t="str">
        <f>IFERROR(__xludf.DUMMYFUNCTION("""COMPUTED_VALUE"""),"Tiktok")</f>
        <v>Tiktok</v>
      </c>
      <c r="B215" s="78">
        <f>IFERROR(__xludf.DUMMYFUNCTION("""COMPUTED_VALUE"""),46219.0)</f>
        <v>46219</v>
      </c>
      <c r="C215" s="55" t="str">
        <f>IFERROR(__xludf.DUMMYFUNCTION("""COMPUTED_VALUE"""),"July")</f>
        <v>July</v>
      </c>
      <c r="D215" s="58" t="str">
        <f>IFERROR(__xludf.DUMMYFUNCTION("""COMPUTED_VALUE"""),"https://www.tiktok.com/@hbattey3/video/7662890742490107149")</f>
        <v>https://www.tiktok.com/@hbattey3/video/7662890742490107149</v>
      </c>
      <c r="E215" s="55" t="str">
        <f>IFERROR(__xludf.DUMMYFUNCTION("""COMPUTED_VALUE"""),"@hbattey3")</f>
        <v>@hbattey3</v>
      </c>
      <c r="F215" s="55"/>
      <c r="G215" s="55" t="str">
        <f>IFERROR(__xludf.DUMMYFUNCTION("""COMPUTED_VALUE"""),"Over 40/ High Performer")</f>
        <v>Over 40/ High Performer</v>
      </c>
      <c r="H215" s="55"/>
      <c r="I215" s="55">
        <f>IFERROR(__xludf.DUMMYFUNCTION("""COMPUTED_VALUE"""),12.2)</f>
        <v>12.2</v>
      </c>
      <c r="J215" s="55" t="str">
        <f>IFERROR(__xludf.DUMMYFUNCTION("""COMPUTED_VALUE"""),"No – Not Recommended")</f>
        <v>No – Not Recommended</v>
      </c>
      <c r="K215" s="55"/>
      <c r="L215" s="55" t="str">
        <f>IFERROR(__xludf.DUMMYFUNCTION("""COMPUTED_VALUE"""),"Score 12.2 &lt; 30 threshold")</f>
        <v>Score 12.2 &lt; 30 threshold</v>
      </c>
      <c r="M215" s="55"/>
      <c r="N215" s="55"/>
      <c r="O215" s="55"/>
      <c r="P215" s="55">
        <f>IFERROR(__xludf.DUMMYFUNCTION("""COMPUTED_VALUE"""),121.0)</f>
        <v>121</v>
      </c>
      <c r="Q215" s="55">
        <f>IFERROR(__xludf.DUMMYFUNCTION("""COMPUTED_VALUE"""),7.0)</f>
        <v>7</v>
      </c>
      <c r="R215" s="55">
        <f>IFERROR(__xludf.DUMMYFUNCTION("""COMPUTED_VALUE"""),1.0)</f>
        <v>1</v>
      </c>
      <c r="S215" s="55"/>
      <c r="T215" s="55"/>
      <c r="U215" s="55"/>
      <c r="V215" s="55" t="str">
        <f>IFERROR(__xludf.DUMMYFUNCTION("""COMPUTED_VALUE"""),"#NUM!")</f>
        <v>#NUM!</v>
      </c>
      <c r="W215" s="55">
        <f>IFERROR(__xludf.DUMMYFUNCTION("""COMPUTED_VALUE"""),117.58)</f>
        <v>117.58</v>
      </c>
      <c r="X215" s="55"/>
      <c r="Y215" s="55"/>
      <c r="Z215" s="55"/>
      <c r="AA215" s="55"/>
      <c r="AB215" s="55"/>
      <c r="AC215" s="55"/>
      <c r="AD215" s="55"/>
      <c r="AE215" s="55"/>
      <c r="AF215" s="55"/>
      <c r="AG215" s="55"/>
      <c r="AH215" s="55"/>
      <c r="AI215" s="55"/>
      <c r="AJ215" s="55"/>
      <c r="AK215" s="55"/>
      <c r="AL215" s="55"/>
      <c r="AM215" s="55"/>
      <c r="AN215" s="55"/>
      <c r="AO215" s="55"/>
      <c r="AP215" s="55"/>
      <c r="AQ215" s="55"/>
      <c r="AR215" s="55"/>
      <c r="AS215" s="55"/>
      <c r="AT215" s="55"/>
      <c r="AU215" s="55"/>
      <c r="AV215" s="55"/>
      <c r="AW215" s="35"/>
      <c r="AX215" s="35"/>
      <c r="AY215" s="35"/>
      <c r="AZ215" s="35"/>
      <c r="BA215" s="35"/>
      <c r="BB215" s="35"/>
      <c r="BC215" s="35"/>
      <c r="BD215" s="35"/>
      <c r="BE215" s="35"/>
      <c r="BF215" s="35"/>
      <c r="BG215" s="35"/>
    </row>
    <row r="216" ht="15.75" customHeight="1">
      <c r="A216" s="55" t="str">
        <f>IFERROR(__xludf.DUMMYFUNCTION("""COMPUTED_VALUE"""),"Tiktok")</f>
        <v>Tiktok</v>
      </c>
      <c r="B216" s="78">
        <f>IFERROR(__xludf.DUMMYFUNCTION("""COMPUTED_VALUE"""),46218.0)</f>
        <v>46218</v>
      </c>
      <c r="C216" s="55" t="str">
        <f>IFERROR(__xludf.DUMMYFUNCTION("""COMPUTED_VALUE"""),"July")</f>
        <v>July</v>
      </c>
      <c r="D216" s="58" t="str">
        <f>IFERROR(__xludf.DUMMYFUNCTION("""COMPUTED_VALUE"""),"https://www.tiktok.com/@knowledgebitches/video/7662733579700473118")</f>
        <v>https://www.tiktok.com/@knowledgebitches/video/7662733579700473118</v>
      </c>
      <c r="E216" s="55" t="str">
        <f>IFERROR(__xludf.DUMMYFUNCTION("""COMPUTED_VALUE"""),"@knowledgebitches")</f>
        <v>@knowledgebitches</v>
      </c>
      <c r="F216" s="55"/>
      <c r="G216" s="55" t="str">
        <f>IFERROR(__xludf.DUMMYFUNCTION("""COMPUTED_VALUE"""),"Over 40/ High Performer")</f>
        <v>Over 40/ High Performer</v>
      </c>
      <c r="H216" s="55"/>
      <c r="I216" s="55">
        <f>IFERROR(__xludf.DUMMYFUNCTION("""COMPUTED_VALUE"""),5.2)</f>
        <v>5.2</v>
      </c>
      <c r="J216" s="55" t="str">
        <f>IFERROR(__xludf.DUMMYFUNCTION("""COMPUTED_VALUE"""),"No – Not Recommended")</f>
        <v>No – Not Recommended</v>
      </c>
      <c r="K216" s="55"/>
      <c r="L216" s="55" t="str">
        <f>IFERROR(__xludf.DUMMYFUNCTION("""COMPUTED_VALUE"""),"Score 5.2 &lt; 30 threshold")</f>
        <v>Score 5.2 &lt; 30 threshold</v>
      </c>
      <c r="M216" s="55"/>
      <c r="N216" s="55"/>
      <c r="O216" s="55"/>
      <c r="P216" s="55">
        <f>IFERROR(__xludf.DUMMYFUNCTION("""COMPUTED_VALUE"""),68.0)</f>
        <v>68</v>
      </c>
      <c r="Q216" s="55"/>
      <c r="R216" s="55"/>
      <c r="S216" s="55"/>
      <c r="T216" s="55"/>
      <c r="U216" s="55"/>
      <c r="V216" s="55" t="str">
        <f>IFERROR(__xludf.DUMMYFUNCTION("""COMPUTED_VALUE"""),"#NUM!")</f>
        <v>#NUM!</v>
      </c>
      <c r="W216" s="55">
        <f>IFERROR(__xludf.DUMMYFUNCTION("""COMPUTED_VALUE"""),117.58)</f>
        <v>117.58</v>
      </c>
      <c r="X216" s="55"/>
      <c r="Y216" s="55"/>
      <c r="Z216" s="55"/>
      <c r="AA216" s="55"/>
      <c r="AB216" s="55"/>
      <c r="AC216" s="55"/>
      <c r="AD216" s="55"/>
      <c r="AE216" s="55"/>
      <c r="AF216" s="55"/>
      <c r="AG216" s="55"/>
      <c r="AH216" s="55"/>
      <c r="AI216" s="55"/>
      <c r="AJ216" s="55"/>
      <c r="AK216" s="55"/>
      <c r="AL216" s="55"/>
      <c r="AM216" s="55"/>
      <c r="AN216" s="55"/>
      <c r="AO216" s="55"/>
      <c r="AP216" s="55"/>
      <c r="AQ216" s="55"/>
      <c r="AR216" s="55"/>
      <c r="AS216" s="55"/>
      <c r="AT216" s="55"/>
      <c r="AU216" s="55"/>
      <c r="AV216" s="55"/>
      <c r="AW216" s="35"/>
      <c r="AX216" s="35"/>
      <c r="AY216" s="35"/>
      <c r="AZ216" s="35"/>
      <c r="BA216" s="35"/>
      <c r="BB216" s="35"/>
      <c r="BC216" s="35"/>
      <c r="BD216" s="35"/>
      <c r="BE216" s="35"/>
      <c r="BF216" s="35"/>
      <c r="BG216" s="35"/>
    </row>
    <row r="217" ht="15.75" customHeight="1">
      <c r="A217" s="55" t="str">
        <f>IFERROR(__xludf.DUMMYFUNCTION("""COMPUTED_VALUE"""),"Tiktok")</f>
        <v>Tiktok</v>
      </c>
      <c r="B217" s="78">
        <f>IFERROR(__xludf.DUMMYFUNCTION("""COMPUTED_VALUE"""),46219.0)</f>
        <v>46219</v>
      </c>
      <c r="C217" s="55" t="str">
        <f>IFERROR(__xludf.DUMMYFUNCTION("""COMPUTED_VALUE"""),"July")</f>
        <v>July</v>
      </c>
      <c r="D217" s="58" t="str">
        <f>IFERROR(__xludf.DUMMYFUNCTION("""COMPUTED_VALUE"""),"https://www.tiktok.com/@jvayavinat/video/7663045458696097055")</f>
        <v>https://www.tiktok.com/@jvayavinat/video/7663045458696097055</v>
      </c>
      <c r="E217" s="55" t="str">
        <f>IFERROR(__xludf.DUMMYFUNCTION("""COMPUTED_VALUE"""),"@jvayavinat")</f>
        <v>@jvayavinat</v>
      </c>
      <c r="F217" s="55"/>
      <c r="G217" s="55" t="str">
        <f>IFERROR(__xludf.DUMMYFUNCTION("""COMPUTED_VALUE"""),"Gummies vs Coffee")</f>
        <v>Gummies vs Coffee</v>
      </c>
      <c r="H217" s="55"/>
      <c r="I217" s="55">
        <f>IFERROR(__xludf.DUMMYFUNCTION("""COMPUTED_VALUE"""),9.7)</f>
        <v>9.7</v>
      </c>
      <c r="J217" s="55" t="str">
        <f>IFERROR(__xludf.DUMMYFUNCTION("""COMPUTED_VALUE"""),"No – Not Recommended")</f>
        <v>No – Not Recommended</v>
      </c>
      <c r="K217" s="55"/>
      <c r="L217" s="55" t="str">
        <f>IFERROR(__xludf.DUMMYFUNCTION("""COMPUTED_VALUE"""),"Score 9.7 &lt; 30 threshold")</f>
        <v>Score 9.7 &lt; 30 threshold</v>
      </c>
      <c r="M217" s="55"/>
      <c r="N217" s="55"/>
      <c r="O217" s="55"/>
      <c r="P217" s="55">
        <f>IFERROR(__xludf.DUMMYFUNCTION("""COMPUTED_VALUE"""),105.0)</f>
        <v>105</v>
      </c>
      <c r="Q217" s="55">
        <f>IFERROR(__xludf.DUMMYFUNCTION("""COMPUTED_VALUE"""),1.0)</f>
        <v>1</v>
      </c>
      <c r="R217" s="55">
        <f>IFERROR(__xludf.DUMMYFUNCTION("""COMPUTED_VALUE"""),2.0)</f>
        <v>2</v>
      </c>
      <c r="S217" s="55"/>
      <c r="T217" s="55"/>
      <c r="U217" s="55"/>
      <c r="V217" s="55" t="str">
        <f>IFERROR(__xludf.DUMMYFUNCTION("""COMPUTED_VALUE"""),"#NUM!")</f>
        <v>#NUM!</v>
      </c>
      <c r="W217" s="55">
        <f>IFERROR(__xludf.DUMMYFUNCTION("""COMPUTED_VALUE"""),72.99)</f>
        <v>72.99</v>
      </c>
      <c r="X217" s="55"/>
      <c r="Y217" s="55"/>
      <c r="Z217" s="55"/>
      <c r="AA217" s="55"/>
      <c r="AB217" s="55"/>
      <c r="AC217" s="55"/>
      <c r="AD217" s="55"/>
      <c r="AE217" s="55"/>
      <c r="AF217" s="55"/>
      <c r="AG217" s="55"/>
      <c r="AH217" s="55"/>
      <c r="AI217" s="55"/>
      <c r="AJ217" s="55"/>
      <c r="AK217" s="55"/>
      <c r="AL217" s="55"/>
      <c r="AM217" s="55"/>
      <c r="AN217" s="55"/>
      <c r="AO217" s="55"/>
      <c r="AP217" s="55"/>
      <c r="AQ217" s="55"/>
      <c r="AR217" s="55"/>
      <c r="AS217" s="55"/>
      <c r="AT217" s="55"/>
      <c r="AU217" s="55"/>
      <c r="AV217" s="55"/>
      <c r="AW217" s="35"/>
      <c r="AX217" s="35"/>
      <c r="AY217" s="35"/>
      <c r="AZ217" s="35"/>
      <c r="BA217" s="35"/>
      <c r="BB217" s="35"/>
      <c r="BC217" s="35"/>
      <c r="BD217" s="35"/>
      <c r="BE217" s="35"/>
      <c r="BF217" s="35"/>
      <c r="BG217" s="35"/>
    </row>
    <row r="218" ht="15.75" customHeight="1">
      <c r="A218" s="55" t="str">
        <f>IFERROR(__xludf.DUMMYFUNCTION("""COMPUTED_VALUE"""),"Tiktok")</f>
        <v>Tiktok</v>
      </c>
      <c r="B218" s="78">
        <f>IFERROR(__xludf.DUMMYFUNCTION("""COMPUTED_VALUE"""),46218.0)</f>
        <v>46218</v>
      </c>
      <c r="C218" s="55" t="str">
        <f>IFERROR(__xludf.DUMMYFUNCTION("""COMPUTED_VALUE"""),"July")</f>
        <v>July</v>
      </c>
      <c r="D218" s="58" t="str">
        <f>IFERROR(__xludf.DUMMYFUNCTION("""COMPUTED_VALUE"""),"https://www.tiktok.com/@the.little.green.hill/video/7662778213722017037")</f>
        <v>https://www.tiktok.com/@the.little.green.hill/video/7662778213722017037</v>
      </c>
      <c r="E218" s="55" t="str">
        <f>IFERROR(__xludf.DUMMYFUNCTION("""COMPUTED_VALUE"""),"@the.little.green.hill")</f>
        <v>@the.little.green.hill</v>
      </c>
      <c r="F218" s="55"/>
      <c r="G218" s="55" t="str">
        <f>IFERROR(__xludf.DUMMYFUNCTION("""COMPUTED_VALUE"""),"Taste")</f>
        <v>Taste</v>
      </c>
      <c r="H218" s="55"/>
      <c r="I218" s="55">
        <f>IFERROR(__xludf.DUMMYFUNCTION("""COMPUTED_VALUE"""),15.3)</f>
        <v>15.3</v>
      </c>
      <c r="J218" s="55" t="str">
        <f>IFERROR(__xludf.DUMMYFUNCTION("""COMPUTED_VALUE"""),"No – Not Recommended")</f>
        <v>No – Not Recommended</v>
      </c>
      <c r="K218" s="55"/>
      <c r="L218" s="55" t="str">
        <f>IFERROR(__xludf.DUMMYFUNCTION("""COMPUTED_VALUE"""),"Score 15.3 &lt; 30 threshold")</f>
        <v>Score 15.3 &lt; 30 threshold</v>
      </c>
      <c r="M218" s="55"/>
      <c r="N218" s="55"/>
      <c r="O218" s="55"/>
      <c r="P218" s="55">
        <f>IFERROR(__xludf.DUMMYFUNCTION("""COMPUTED_VALUE"""),367.0)</f>
        <v>367</v>
      </c>
      <c r="Q218" s="55">
        <f>IFERROR(__xludf.DUMMYFUNCTION("""COMPUTED_VALUE"""),4.0)</f>
        <v>4</v>
      </c>
      <c r="R218" s="55">
        <f>IFERROR(__xludf.DUMMYFUNCTION("""COMPUTED_VALUE"""),1.0)</f>
        <v>1</v>
      </c>
      <c r="S218" s="55"/>
      <c r="T218" s="55">
        <f>IFERROR(__xludf.DUMMYFUNCTION("""COMPUTED_VALUE"""),0.03)</f>
        <v>0.03</v>
      </c>
      <c r="U218" s="55"/>
      <c r="V218" s="55" t="str">
        <f>IFERROR(__xludf.DUMMYFUNCTION("""COMPUTED_VALUE"""),"#NUM!")</f>
        <v>#NUM!</v>
      </c>
      <c r="W218" s="55">
        <f>IFERROR(__xludf.DUMMYFUNCTION("""COMPUTED_VALUE"""),117.58)</f>
        <v>117.58</v>
      </c>
      <c r="X218" s="55"/>
      <c r="Y218" s="55"/>
      <c r="Z218" s="55"/>
      <c r="AA218" s="55"/>
      <c r="AB218" s="55"/>
      <c r="AC218" s="55"/>
      <c r="AD218" s="55"/>
      <c r="AE218" s="55"/>
      <c r="AF218" s="55"/>
      <c r="AG218" s="55"/>
      <c r="AH218" s="55"/>
      <c r="AI218" s="55"/>
      <c r="AJ218" s="55"/>
      <c r="AK218" s="55"/>
      <c r="AL218" s="55"/>
      <c r="AM218" s="55"/>
      <c r="AN218" s="55"/>
      <c r="AO218" s="55"/>
      <c r="AP218" s="55"/>
      <c r="AQ218" s="55"/>
      <c r="AR218" s="55"/>
      <c r="AS218" s="55"/>
      <c r="AT218" s="55"/>
      <c r="AU218" s="55"/>
      <c r="AV218" s="55"/>
      <c r="AW218" s="35"/>
      <c r="AX218" s="35"/>
      <c r="AY218" s="35"/>
      <c r="AZ218" s="35"/>
      <c r="BA218" s="35"/>
      <c r="BB218" s="35"/>
      <c r="BC218" s="35"/>
      <c r="BD218" s="35"/>
      <c r="BE218" s="35"/>
      <c r="BF218" s="35"/>
      <c r="BG218" s="35"/>
    </row>
    <row r="219" ht="15.75" customHeight="1">
      <c r="A219" s="55" t="str">
        <f>IFERROR(__xludf.DUMMYFUNCTION("""COMPUTED_VALUE"""),"Instagram")</f>
        <v>Instagram</v>
      </c>
      <c r="B219" s="56">
        <f>IFERROR(__xludf.DUMMYFUNCTION("""COMPUTED_VALUE"""),46191.0)</f>
        <v>46191</v>
      </c>
      <c r="C219" s="55" t="str">
        <f>IFERROR(__xludf.DUMMYFUNCTION("""COMPUTED_VALUE"""),"June")</f>
        <v>June</v>
      </c>
      <c r="D219" s="58" t="str">
        <f>IFERROR(__xludf.DUMMYFUNCTION("""COMPUTED_VALUE"""),"https://www.instagram.com/reel/DZsI3jExQCC/")</f>
        <v>https://www.instagram.com/reel/DZsI3jExQCC/</v>
      </c>
      <c r="E219" s="55" t="str">
        <f>IFERROR(__xludf.DUMMYFUNCTION("""COMPUTED_VALUE"""),"@na")</f>
        <v>@na</v>
      </c>
      <c r="F219" s="55" t="str">
        <f>IFERROR(__xludf.DUMMYFUNCTION("""COMPUTED_VALUE"""),"NA")</f>
        <v>NA</v>
      </c>
      <c r="G219" s="55" t="str">
        <f>IFERROR(__xludf.DUMMYFUNCTION("""COMPUTED_VALUE"""),"Over 40/ High Performer")</f>
        <v>Over 40/ High Performer</v>
      </c>
      <c r="H219" s="55" t="str">
        <f>IFERROR(__xludf.DUMMYFUNCTION("""COMPUTED_VALUE"""),"NA")</f>
        <v>NA</v>
      </c>
      <c r="I219" s="55">
        <f>IFERROR(__xludf.DUMMYFUNCTION("""COMPUTED_VALUE"""),0.0)</f>
        <v>0</v>
      </c>
      <c r="J219" s="55" t="str">
        <f>IFERROR(__xludf.DUMMYFUNCTION("""COMPUTED_VALUE"""),"Pending Data")</f>
        <v>Pending Data</v>
      </c>
      <c r="K219" s="55" t="str">
        <f>IFERROR(__xludf.DUMMYFUNCTION("""COMPUTED_VALUE"""),"No")</f>
        <v>No</v>
      </c>
      <c r="L219" s="55" t="str">
        <f>IFERROR(__xludf.DUMMYFUNCTION("""COMPUTED_VALUE"""),"No organic metrics captured yet")</f>
        <v>No organic metrics captured yet</v>
      </c>
      <c r="M219" s="59" t="str">
        <f>IFERROR(__xludf.DUMMYFUNCTION("""COMPUTED_VALUE"""),"No Ad Data")</f>
        <v>No Ad Data</v>
      </c>
      <c r="N219" s="55"/>
      <c r="O219" s="55"/>
      <c r="P219" s="59">
        <f>IFERROR(__xludf.DUMMYFUNCTION("""COMPUTED_VALUE"""),0.0)</f>
        <v>0</v>
      </c>
      <c r="Q219" s="59">
        <f>IFERROR(__xludf.DUMMYFUNCTION("""COMPUTED_VALUE"""),0.0)</f>
        <v>0</v>
      </c>
      <c r="R219" s="59">
        <f>IFERROR(__xludf.DUMMYFUNCTION("""COMPUTED_VALUE"""),0.0)</f>
        <v>0</v>
      </c>
      <c r="S219" s="55"/>
      <c r="T219" s="68">
        <f>IFERROR(__xludf.DUMMYFUNCTION("""COMPUTED_VALUE"""),0.0)</f>
        <v>0</v>
      </c>
      <c r="U219" s="55"/>
      <c r="V219" s="62" t="str">
        <f>IFERROR(__xludf.DUMMYFUNCTION("""COMPUTED_VALUE"""),"#NUM!")</f>
        <v>#NUM!</v>
      </c>
      <c r="W219" s="63">
        <f>IFERROR(__xludf.DUMMYFUNCTION("""COMPUTED_VALUE"""),117.58)</f>
        <v>117.58</v>
      </c>
      <c r="X219" s="59">
        <f>IFERROR(__xludf.DUMMYFUNCTION("""COMPUTED_VALUE"""),0.0)</f>
        <v>0</v>
      </c>
      <c r="Y219" s="59">
        <f>IFERROR(__xludf.DUMMYFUNCTION("""COMPUTED_VALUE"""),0.0)</f>
        <v>0</v>
      </c>
      <c r="Z219" s="59">
        <f>IFERROR(__xludf.DUMMYFUNCTION("""COMPUTED_VALUE"""),0.0)</f>
        <v>0</v>
      </c>
      <c r="AA219" s="59">
        <f>IFERROR(__xludf.DUMMYFUNCTION("""COMPUTED_VALUE"""),0.0)</f>
        <v>0</v>
      </c>
      <c r="AB219" s="64">
        <f>IFERROR(__xludf.DUMMYFUNCTION("""COMPUTED_VALUE"""),0.0)</f>
        <v>0</v>
      </c>
      <c r="AC219" s="62">
        <f>IFERROR(__xludf.DUMMYFUNCTION("""COMPUTED_VALUE"""),0.0)</f>
        <v>0</v>
      </c>
      <c r="AD219" s="62">
        <f>IFERROR(__xludf.DUMMYFUNCTION("""COMPUTED_VALUE"""),0.0)</f>
        <v>0</v>
      </c>
      <c r="AE219" s="62">
        <f>IFERROR(__xludf.DUMMYFUNCTION("""COMPUTED_VALUE"""),0.0)</f>
        <v>0</v>
      </c>
      <c r="AF219" s="55"/>
      <c r="AG219" s="55"/>
      <c r="AH219" s="55"/>
      <c r="AI219" s="55"/>
      <c r="AJ219" s="55"/>
      <c r="AK219" s="55"/>
      <c r="AL219" s="55"/>
      <c r="AM219" s="55" t="str">
        <f>IFERROR(__xludf.DUMMYFUNCTION("""COMPUTED_VALUE"""),"Q9jTBBW2U9JvIih1DRtAKnOPntIuQbEAfNxfFLXIXYRQFInDlNdFpXHseIs7V2shKGw")</f>
        <v>Q9jTBBW2U9JvIih1DRtAKnOPntIuQbEAfNxfFLXIXYRQFInDlNdFpXHseIs7V2shKGw</v>
      </c>
      <c r="AN219" s="55"/>
      <c r="AO219" s="55" t="str">
        <f>IFERROR(__xludf.DUMMYFUNCTION("""COMPUTED_VALUE"""),"NA")</f>
        <v>NA</v>
      </c>
      <c r="AP219" s="55" t="str">
        <f>IFERROR(__xludf.DUMMYFUNCTION("""COMPUTED_VALUE"""),"Video removed")</f>
        <v>Video removed</v>
      </c>
      <c r="AQ219" s="55" t="str">
        <f>IFERROR(__xludf.DUMMYFUNCTION("""COMPUTED_VALUE"""),"NA")</f>
        <v>NA</v>
      </c>
      <c r="AR219" s="55" t="str">
        <f>IFERROR(__xludf.DUMMYFUNCTION("""COMPUTED_VALUE"""),"NA")</f>
        <v>NA</v>
      </c>
      <c r="AS219" s="55" t="str">
        <f>IFERROR(__xludf.DUMMYFUNCTION("""COMPUTED_VALUE"""),"NA")</f>
        <v>NA</v>
      </c>
      <c r="AT219" s="55" t="str">
        <f>IFERROR(__xludf.DUMMYFUNCTION("""COMPUTED_VALUE"""),"NA")</f>
        <v>NA</v>
      </c>
      <c r="AU219" s="55" t="str">
        <f>IFERROR(__xludf.DUMMYFUNCTION("""COMPUTED_VALUE"""),"NA")</f>
        <v>NA</v>
      </c>
      <c r="AV219" s="55"/>
      <c r="AW219" s="35"/>
      <c r="AX219" s="35"/>
      <c r="AY219" s="35"/>
      <c r="AZ219" s="35"/>
      <c r="BA219" s="35"/>
      <c r="BB219" s="35"/>
      <c r="BC219" s="35"/>
      <c r="BD219" s="35"/>
      <c r="BE219" s="35"/>
      <c r="BF219" s="35"/>
      <c r="BG219" s="35"/>
    </row>
    <row r="220" ht="15.75" customHeight="1">
      <c r="A220" s="55" t="str">
        <f>IFERROR(__xludf.DUMMYFUNCTION("""COMPUTED_VALUE"""),"Tiktok")</f>
        <v>Tiktok</v>
      </c>
      <c r="B220" s="56">
        <f>IFERROR(__xludf.DUMMYFUNCTION("""COMPUTED_VALUE"""),46192.0)</f>
        <v>46192</v>
      </c>
      <c r="C220" s="55" t="str">
        <f>IFERROR(__xludf.DUMMYFUNCTION("""COMPUTED_VALUE"""),"June")</f>
        <v>June</v>
      </c>
      <c r="D220" s="58" t="str">
        <f>IFERROR(__xludf.DUMMYFUNCTION("""COMPUTED_VALUE"""),"https://www.tiktok.com/@melinda.f4/video/7652930934123007245")</f>
        <v>https://www.tiktok.com/@melinda.f4/video/7652930934123007245</v>
      </c>
      <c r="E220" s="55" t="str">
        <f>IFERROR(__xludf.DUMMYFUNCTION("""COMPUTED_VALUE"""),"@melinda.f4")</f>
        <v>@melinda.f4</v>
      </c>
      <c r="F220" s="55" t="str">
        <f>IFERROR(__xludf.DUMMYFUNCTION("""COMPUTED_VALUE"""),"Melinda Feltner")</f>
        <v>Melinda Feltner</v>
      </c>
      <c r="G220" s="55" t="str">
        <f>IFERROR(__xludf.DUMMYFUNCTION("""COMPUTED_VALUE"""),"Cortisol")</f>
        <v>Cortisol</v>
      </c>
      <c r="H220" s="55">
        <f>IFERROR(__xludf.DUMMYFUNCTION("""COMPUTED_VALUE"""),60.0)</f>
        <v>60</v>
      </c>
      <c r="I220" s="55">
        <f>IFERROR(__xludf.DUMMYFUNCTION("""COMPUTED_VALUE"""),0.0)</f>
        <v>0</v>
      </c>
      <c r="J220" s="55" t="str">
        <f>IFERROR(__xludf.DUMMYFUNCTION("""COMPUTED_VALUE"""),"Pending Data")</f>
        <v>Pending Data</v>
      </c>
      <c r="K220" s="55" t="str">
        <f>IFERROR(__xludf.DUMMYFUNCTION("""COMPUTED_VALUE"""),"No")</f>
        <v>No</v>
      </c>
      <c r="L220" s="55" t="str">
        <f>IFERROR(__xludf.DUMMYFUNCTION("""COMPUTED_VALUE"""),"No organic metrics captured yet")</f>
        <v>No organic metrics captured yet</v>
      </c>
      <c r="M220" s="59" t="str">
        <f>IFERROR(__xludf.DUMMYFUNCTION("""COMPUTED_VALUE"""),"No Ad Data")</f>
        <v>No Ad Data</v>
      </c>
      <c r="N220" s="55"/>
      <c r="O220" s="55"/>
      <c r="P220" s="59">
        <f>IFERROR(__xludf.DUMMYFUNCTION("""COMPUTED_VALUE"""),0.0)</f>
        <v>0</v>
      </c>
      <c r="Q220" s="59">
        <f>IFERROR(__xludf.DUMMYFUNCTION("""COMPUTED_VALUE"""),0.0)</f>
        <v>0</v>
      </c>
      <c r="R220" s="59">
        <f>IFERROR(__xludf.DUMMYFUNCTION("""COMPUTED_VALUE"""),0.0)</f>
        <v>0</v>
      </c>
      <c r="S220" s="62">
        <f>IFERROR(__xludf.DUMMYFUNCTION("""COMPUTED_VALUE"""),20.0)</f>
        <v>20</v>
      </c>
      <c r="T220" s="62">
        <f>IFERROR(__xludf.DUMMYFUNCTION("""COMPUTED_VALUE"""),0.0)</f>
        <v>0</v>
      </c>
      <c r="U220" s="64">
        <f>IFERROR(__xludf.DUMMYFUNCTION("""COMPUTED_VALUE"""),1.0)</f>
        <v>1</v>
      </c>
      <c r="V220" s="62">
        <f>IFERROR(__xludf.DUMMYFUNCTION("""COMPUTED_VALUE"""),0.0)</f>
        <v>0</v>
      </c>
      <c r="W220" s="63">
        <f>IFERROR(__xludf.DUMMYFUNCTION("""COMPUTED_VALUE"""),117.58)</f>
        <v>117.58</v>
      </c>
      <c r="X220" s="59">
        <f>IFERROR(__xludf.DUMMYFUNCTION("""COMPUTED_VALUE"""),0.0)</f>
        <v>0</v>
      </c>
      <c r="Y220" s="59">
        <f>IFERROR(__xludf.DUMMYFUNCTION("""COMPUTED_VALUE"""),0.0)</f>
        <v>0</v>
      </c>
      <c r="Z220" s="59">
        <f>IFERROR(__xludf.DUMMYFUNCTION("""COMPUTED_VALUE"""),0.0)</f>
        <v>0</v>
      </c>
      <c r="AA220" s="59">
        <f>IFERROR(__xludf.DUMMYFUNCTION("""COMPUTED_VALUE"""),0.0)</f>
        <v>0</v>
      </c>
      <c r="AB220" s="64">
        <f>IFERROR(__xludf.DUMMYFUNCTION("""COMPUTED_VALUE"""),1.0)</f>
        <v>1</v>
      </c>
      <c r="AC220" s="62">
        <f>IFERROR(__xludf.DUMMYFUNCTION("""COMPUTED_VALUE"""),0.0)</f>
        <v>0</v>
      </c>
      <c r="AD220" s="62">
        <f>IFERROR(__xludf.DUMMYFUNCTION("""COMPUTED_VALUE"""),20.0)</f>
        <v>20</v>
      </c>
      <c r="AE220" s="62">
        <f>IFERROR(__xludf.DUMMYFUNCTION("""COMPUTED_VALUE"""),0.0)</f>
        <v>0</v>
      </c>
      <c r="AF220" s="55"/>
      <c r="AG220" s="55"/>
      <c r="AH220" s="55"/>
      <c r="AI220" s="55"/>
      <c r="AJ220" s="55"/>
      <c r="AK220" s="55"/>
      <c r="AL220" s="55"/>
      <c r="AM220" s="55" t="str">
        <f>IFERROR(__xludf.DUMMYFUNCTION("""COMPUTED_VALUE"""),"#wVPKEhhbhr5O0cllm6T9y/JmHEq05eZiMZEA8dJWBF08i+44h8kND+84OyyECrU=")</f>
        <v>#wVPKEhhbhr5O0cllm6T9y/JmHEq05eZiMZEA8dJWBF08i+44h8kND+84OyyECrU=</v>
      </c>
      <c r="AN220" s="55"/>
      <c r="AO220" s="58" t="str">
        <f>IFERROR(__xludf.DUMMYFUNCTION("""COMPUTED_VALUE"""),"https://us.brand.joinbrands.com/job/689663")</f>
        <v>https://us.brand.joinbrands.com/job/689663</v>
      </c>
      <c r="AP220" s="55" t="str">
        <f>IFERROR(__xludf.DUMMYFUNCTION("""COMPUTED_VALUE"""),"Color Corrections")</f>
        <v>Color Corrections</v>
      </c>
      <c r="AQ220" s="55" t="str">
        <f>IFERROR(__xludf.DUMMYFUNCTION("""COMPUTED_VALUE"""),"Check out the Ashwaganda coffee from @vagdamusa that wonâ€™t leave your jittery but will leave you satisfied wanting more. Get yours today @target.#ashwagandha #vagdamusa...")</f>
        <v>Check out the Ashwaganda coffee from @vagdamusa that wonâ€™t leave your jittery but will leave you satisfied wanting more. Get yours today @target.#ashwagandha #vagdamusa...</v>
      </c>
      <c r="AR220" s="55" t="str">
        <f>IFERROR(__xludf.DUMMYFUNCTION("""COMPUTED_VALUE"""),"Have you ever felt like your morning coffee is doing more harm than good?")</f>
        <v>Have you ever felt like your morning coffee is doing more harm than good?</v>
      </c>
      <c r="AS220" s="55" t="str">
        <f>IFERROR(__xludf.DUMMYFUNCTION("""COMPUTED_VALUE"""),"Curiosity / Question")</f>
        <v>Curiosity / Question</v>
      </c>
      <c r="AT220" s="55" t="str">
        <f>IFERROR(__xludf.DUMMYFUNCTION("""COMPUTED_VALUE"""),"• I used to start every morning with regular coffee, but by mid-afternoon, I felt wired, tired, and reaching for snacks.
• Then I learned that regular coffee can be a contributor to stress and that crash cycle.
• So I switched the coffee to KSM 66 Ashwaga"&amp;"ndha Coffee.
• I'm talking about jitters, that afternoon crash, and let's not even start on the stress that it gives you sometimes.")</f>
        <v>• I used to start every morning with regular coffee, but by mid-afternoon, I felt wired, tired, and reaching for snacks.
• Then I learned that regular coffee can be a contributor to stress and that crash cycle.
• So I switched the coffee to KSM 66 Ashwagandha Coffee.
• I'm talking about jitters, that afternoon crash, and let's not even start on the stress that it gives you sometimes.</v>
      </c>
      <c r="AU220" s="55" t="str">
        <f>IFERROR(__xludf.DUMMYFUNCTION("""COMPUTED_VALUE"""),"Go to Target and get yours today.")</f>
        <v>Go to Target and get yours today.</v>
      </c>
      <c r="AV220" s="55" t="str">
        <f>IFERROR(__xludf.DUMMYFUNCTION("""COMPUTED_VALUE"""),"Have you ever felt like your morning coffee is doing more harm than good? I'm talking about jitters, that afternoon crash, and let's not even start on the stress that it gives you sometimes. Well, I found something that's totally changed my routine. It's "&amp;"the Vodham Ashwagandha coffee, and honestly, it has been a game changer. I didn't quit coffee. I just upgraded it. I used to start every morning with regular coffee, but by mid-afternoon, I felt wired, tired, and reaching for snacks. Then I learned that r"&amp;"egular coffee can be a contributor to stress and that crash cycle. So I switched the coffee to KSM 66 Ashwagandha Coffee. It's this incredible wellness innovation and it's now available at Target. If you're looking for a super simple way to upgrade your m"&amp;"ornings and feel genuinely better, you have to try this. Click that link below to grab yours today. If you've been thinking about quitting coffee, maybe you don't need to quit. You just need to upgrade it. Go to Target and get yours today.")</f>
        <v>Have you ever felt like your morning coffee is doing more harm than good? I'm talking about jitters, that afternoon crash, and let's not even start on the stress that it gives you sometimes. Well, I found something that's totally changed my routine. It's the Vodham Ashwagandha coffee, and honestly, it has been a game changer. I didn't quit coffee. I just upgraded it. I used to start every morning with regular coffee, but by mid-afternoon, I felt wired, tired, and reaching for snacks. Then I learned that regular coffee can be a contributor to stress and that crash cycle. So I switched the coffee to KSM 66 Ashwagandha Coffee. It's this incredible wellness innovation and it's now available at Target. If you're looking for a super simple way to upgrade your mornings and feel genuinely better, you have to try this. Click that link below to grab yours today. If you've been thinking about quitting coffee, maybe you don't need to quit. You just need to upgrade it. Go to Target and get yours today.</v>
      </c>
      <c r="AW220" s="35"/>
      <c r="AX220" s="35"/>
      <c r="AY220" s="35"/>
      <c r="AZ220" s="35"/>
      <c r="BA220" s="35"/>
      <c r="BB220" s="35"/>
      <c r="BC220" s="35"/>
      <c r="BD220" s="35"/>
      <c r="BE220" s="35"/>
      <c r="BF220" s="35"/>
      <c r="BG220" s="35"/>
    </row>
    <row r="221" ht="15.75" customHeight="1">
      <c r="A221" s="55" t="str">
        <f>IFERROR(__xludf.DUMMYFUNCTION("""COMPUTED_VALUE"""),"Tiktok")</f>
        <v>Tiktok</v>
      </c>
      <c r="B221" s="56">
        <f>IFERROR(__xludf.DUMMYFUNCTION("""COMPUTED_VALUE"""),46199.0)</f>
        <v>46199</v>
      </c>
      <c r="C221" s="55" t="str">
        <f>IFERROR(__xludf.DUMMYFUNCTION("""COMPUTED_VALUE"""),"June")</f>
        <v>June</v>
      </c>
      <c r="D221" s="58" t="str">
        <f>IFERROR(__xludf.DUMMYFUNCTION("""COMPUTED_VALUE"""),"https://www.tiktok.com/t/ZTBTwNRUT/")</f>
        <v>https://www.tiktok.com/t/ZTBTwNRUT/</v>
      </c>
      <c r="E221" s="55" t="str">
        <f>IFERROR(__xludf.DUMMYFUNCTION("""COMPUTED_VALUE"""),"NA")</f>
        <v>NA</v>
      </c>
      <c r="F221" s="55" t="str">
        <f>IFERROR(__xludf.DUMMYFUNCTION("""COMPUTED_VALUE"""),"NA")</f>
        <v>NA</v>
      </c>
      <c r="G221" s="55" t="str">
        <f>IFERROR(__xludf.DUMMYFUNCTION("""COMPUTED_VALUE"""),"Cortisol")</f>
        <v>Cortisol</v>
      </c>
      <c r="H221" s="55" t="str">
        <f>IFERROR(__xludf.DUMMYFUNCTION("""COMPUTED_VALUE"""),"NA")</f>
        <v>NA</v>
      </c>
      <c r="I221" s="55">
        <f>IFERROR(__xludf.DUMMYFUNCTION("""COMPUTED_VALUE"""),17.7)</f>
        <v>17.7</v>
      </c>
      <c r="J221" s="55" t="str">
        <f>IFERROR(__xludf.DUMMYFUNCTION("""COMPUTED_VALUE"""),"Pending Data")</f>
        <v>Pending Data</v>
      </c>
      <c r="K221" s="55" t="str">
        <f>IFERROR(__xludf.DUMMYFUNCTION("""COMPUTED_VALUE"""),"No")</f>
        <v>No</v>
      </c>
      <c r="L221" s="55" t="str">
        <f>IFERROR(__xludf.DUMMYFUNCTION("""COMPUTED_VALUE"""),"No organic metrics captured yet")</f>
        <v>No organic metrics captured yet</v>
      </c>
      <c r="M221" s="59" t="str">
        <f>IFERROR(__xludf.DUMMYFUNCTION("""COMPUTED_VALUE"""),"No Ad Data")</f>
        <v>No Ad Data</v>
      </c>
      <c r="N221" s="55"/>
      <c r="O221" s="55"/>
      <c r="P221" s="59">
        <f>IFERROR(__xludf.DUMMYFUNCTION("""COMPUTED_VALUE"""),574.0)</f>
        <v>574</v>
      </c>
      <c r="Q221" s="59">
        <f>IFERROR(__xludf.DUMMYFUNCTION("""COMPUTED_VALUE"""),4.0)</f>
        <v>4</v>
      </c>
      <c r="R221" s="59">
        <f>IFERROR(__xludf.DUMMYFUNCTION("""COMPUTED_VALUE"""),0.0)</f>
        <v>0</v>
      </c>
      <c r="S221" s="62">
        <f>IFERROR(__xludf.DUMMYFUNCTION("""COMPUTED_VALUE"""),0.0)</f>
        <v>0</v>
      </c>
      <c r="T221" s="62">
        <f>IFERROR(__xludf.DUMMYFUNCTION("""COMPUTED_VALUE"""),0.0)</f>
        <v>0</v>
      </c>
      <c r="U221" s="64">
        <f>IFERROR(__xludf.DUMMYFUNCTION("""COMPUTED_VALUE"""),0.0)</f>
        <v>0</v>
      </c>
      <c r="V221" s="62">
        <f>IFERROR(__xludf.DUMMYFUNCTION("""COMPUTED_VALUE"""),0.0)</f>
        <v>0</v>
      </c>
      <c r="W221" s="63">
        <f>IFERROR(__xludf.DUMMYFUNCTION("""COMPUTED_VALUE"""),117.58)</f>
        <v>117.58</v>
      </c>
      <c r="X221" s="59">
        <f>IFERROR(__xludf.DUMMYFUNCTION("""COMPUTED_VALUE"""),0.0)</f>
        <v>0</v>
      </c>
      <c r="Y221" s="59">
        <f>IFERROR(__xludf.DUMMYFUNCTION("""COMPUTED_VALUE"""),0.0)</f>
        <v>0</v>
      </c>
      <c r="Z221" s="59">
        <f>IFERROR(__xludf.DUMMYFUNCTION("""COMPUTED_VALUE"""),0.0)</f>
        <v>0</v>
      </c>
      <c r="AA221" s="59">
        <f>IFERROR(__xludf.DUMMYFUNCTION("""COMPUTED_VALUE"""),0.0)</f>
        <v>0</v>
      </c>
      <c r="AB221" s="64">
        <f>IFERROR(__xludf.DUMMYFUNCTION("""COMPUTED_VALUE"""),0.0)</f>
        <v>0</v>
      </c>
      <c r="AC221" s="62">
        <f>IFERROR(__xludf.DUMMYFUNCTION("""COMPUTED_VALUE"""),0.0)</f>
        <v>0</v>
      </c>
      <c r="AD221" s="62">
        <f>IFERROR(__xludf.DUMMYFUNCTION("""COMPUTED_VALUE"""),0.0)</f>
        <v>0</v>
      </c>
      <c r="AE221" s="62">
        <f>IFERROR(__xludf.DUMMYFUNCTION("""COMPUTED_VALUE"""),0.0)</f>
        <v>0</v>
      </c>
      <c r="AF221" s="55"/>
      <c r="AG221" s="55"/>
      <c r="AH221" s="55"/>
      <c r="AI221" s="55"/>
      <c r="AJ221" s="55"/>
      <c r="AK221" s="55"/>
      <c r="AL221" s="55"/>
      <c r="AM221" s="55" t="str">
        <f>IFERROR(__xludf.DUMMYFUNCTION("""COMPUTED_VALUE"""),"#TvacF8d8h5P0aI9HPeVQP4Pbsf2oW05GQONYQvRROf4eG0leWKPYt9x3tpf5a/U=")</f>
        <v>#TvacF8d8h5P0aI9HPeVQP4Pbsf2oW05GQONYQvRROf4eG0leWKPYt9x3tpf5a/U=</v>
      </c>
      <c r="AN221" s="55"/>
      <c r="AO221" s="55" t="str">
        <f>IFERROR(__xludf.DUMMYFUNCTION("""COMPUTED_VALUE"""),"NA")</f>
        <v>NA</v>
      </c>
      <c r="AP221" s="55" t="str">
        <f>IFERROR(__xludf.DUMMYFUNCTION("""COMPUTED_VALUE"""),"NA")</f>
        <v>NA</v>
      </c>
      <c r="AQ221" s="55" t="str">
        <f>IFERROR(__xludf.DUMMYFUNCTION("""COMPUTED_VALUE"""),"NA")</f>
        <v>NA</v>
      </c>
      <c r="AR221" s="55" t="str">
        <f>IFERROR(__xludf.DUMMYFUNCTION("""COMPUTED_VALUE"""),"NA")</f>
        <v>NA</v>
      </c>
      <c r="AS221" s="55" t="str">
        <f>IFERROR(__xludf.DUMMYFUNCTION("""COMPUTED_VALUE"""),"NA")</f>
        <v>NA</v>
      </c>
      <c r="AT221" s="55" t="str">
        <f>IFERROR(__xludf.DUMMYFUNCTION("""COMPUTED_VALUE"""),"NA")</f>
        <v>NA</v>
      </c>
      <c r="AU221" s="55"/>
      <c r="AV221" s="55"/>
      <c r="AW221" s="35"/>
      <c r="AX221" s="35"/>
      <c r="AY221" s="35"/>
      <c r="AZ221" s="35"/>
      <c r="BA221" s="35"/>
      <c r="BB221" s="35"/>
      <c r="BC221" s="35"/>
      <c r="BD221" s="35"/>
      <c r="BE221" s="35"/>
      <c r="BF221" s="35"/>
      <c r="BG221" s="35"/>
    </row>
    <row r="222" ht="15.75" customHeight="1">
      <c r="A222" s="55" t="str">
        <f>IFERROR(__xludf.DUMMYFUNCTION("""COMPUTED_VALUE"""),"Tiktok")</f>
        <v>Tiktok</v>
      </c>
      <c r="B222" s="56">
        <f>IFERROR(__xludf.DUMMYFUNCTION("""COMPUTED_VALUE"""),46199.0)</f>
        <v>46199</v>
      </c>
      <c r="C222" s="55" t="str">
        <f>IFERROR(__xludf.DUMMYFUNCTION("""COMPUTED_VALUE"""),"June")</f>
        <v>June</v>
      </c>
      <c r="D222" s="58" t="str">
        <f>IFERROR(__xludf.DUMMYFUNCTION("""COMPUTED_VALUE"""),"https://www.tiktok.com/t/ZTBE6YpyV/")</f>
        <v>https://www.tiktok.com/t/ZTBE6YpyV/</v>
      </c>
      <c r="E222" s="55" t="str">
        <f>IFERROR(__xludf.DUMMYFUNCTION("""COMPUTED_VALUE"""),"NA")</f>
        <v>NA</v>
      </c>
      <c r="F222" s="55" t="str">
        <f>IFERROR(__xludf.DUMMYFUNCTION("""COMPUTED_VALUE"""),"NA")</f>
        <v>NA</v>
      </c>
      <c r="G222" s="55" t="str">
        <f>IFERROR(__xludf.DUMMYFUNCTION("""COMPUTED_VALUE"""),"Cortisol")</f>
        <v>Cortisol</v>
      </c>
      <c r="H222" s="55" t="str">
        <f>IFERROR(__xludf.DUMMYFUNCTION("""COMPUTED_VALUE"""),"NA")</f>
        <v>NA</v>
      </c>
      <c r="I222" s="55">
        <f>IFERROR(__xludf.DUMMYFUNCTION("""COMPUTED_VALUE"""),5.2)</f>
        <v>5.2</v>
      </c>
      <c r="J222" s="55" t="str">
        <f>IFERROR(__xludf.DUMMYFUNCTION("""COMPUTED_VALUE"""),"Pending Data")</f>
        <v>Pending Data</v>
      </c>
      <c r="K222" s="55" t="str">
        <f>IFERROR(__xludf.DUMMYFUNCTION("""COMPUTED_VALUE"""),"No")</f>
        <v>No</v>
      </c>
      <c r="L222" s="55" t="str">
        <f>IFERROR(__xludf.DUMMYFUNCTION("""COMPUTED_VALUE"""),"No organic metrics captured yet")</f>
        <v>No organic metrics captured yet</v>
      </c>
      <c r="M222" s="59" t="str">
        <f>IFERROR(__xludf.DUMMYFUNCTION("""COMPUTED_VALUE"""),"No Ad Data")</f>
        <v>No Ad Data</v>
      </c>
      <c r="N222" s="55"/>
      <c r="O222" s="55"/>
      <c r="P222" s="59">
        <f>IFERROR(__xludf.DUMMYFUNCTION("""COMPUTED_VALUE"""),68.0)</f>
        <v>68</v>
      </c>
      <c r="Q222" s="59">
        <f>IFERROR(__xludf.DUMMYFUNCTION("""COMPUTED_VALUE"""),0.0)</f>
        <v>0</v>
      </c>
      <c r="R222" s="59">
        <f>IFERROR(__xludf.DUMMYFUNCTION("""COMPUTED_VALUE"""),0.0)</f>
        <v>0</v>
      </c>
      <c r="S222" s="62">
        <f>IFERROR(__xludf.DUMMYFUNCTION("""COMPUTED_VALUE"""),0.0)</f>
        <v>0</v>
      </c>
      <c r="T222" s="62">
        <f>IFERROR(__xludf.DUMMYFUNCTION("""COMPUTED_VALUE"""),0.0)</f>
        <v>0</v>
      </c>
      <c r="U222" s="64">
        <f>IFERROR(__xludf.DUMMYFUNCTION("""COMPUTED_VALUE"""),0.0)</f>
        <v>0</v>
      </c>
      <c r="V222" s="62">
        <f>IFERROR(__xludf.DUMMYFUNCTION("""COMPUTED_VALUE"""),0.0)</f>
        <v>0</v>
      </c>
      <c r="W222" s="63">
        <f>IFERROR(__xludf.DUMMYFUNCTION("""COMPUTED_VALUE"""),117.58)</f>
        <v>117.58</v>
      </c>
      <c r="X222" s="59">
        <f>IFERROR(__xludf.DUMMYFUNCTION("""COMPUTED_VALUE"""),0.0)</f>
        <v>0</v>
      </c>
      <c r="Y222" s="59">
        <f>IFERROR(__xludf.DUMMYFUNCTION("""COMPUTED_VALUE"""),0.0)</f>
        <v>0</v>
      </c>
      <c r="Z222" s="59">
        <f>IFERROR(__xludf.DUMMYFUNCTION("""COMPUTED_VALUE"""),0.0)</f>
        <v>0</v>
      </c>
      <c r="AA222" s="59">
        <f>IFERROR(__xludf.DUMMYFUNCTION("""COMPUTED_VALUE"""),0.0)</f>
        <v>0</v>
      </c>
      <c r="AB222" s="64">
        <f>IFERROR(__xludf.DUMMYFUNCTION("""COMPUTED_VALUE"""),0.0)</f>
        <v>0</v>
      </c>
      <c r="AC222" s="62">
        <f>IFERROR(__xludf.DUMMYFUNCTION("""COMPUTED_VALUE"""),0.0)</f>
        <v>0</v>
      </c>
      <c r="AD222" s="62">
        <f>IFERROR(__xludf.DUMMYFUNCTION("""COMPUTED_VALUE"""),0.0)</f>
        <v>0</v>
      </c>
      <c r="AE222" s="62">
        <f>IFERROR(__xludf.DUMMYFUNCTION("""COMPUTED_VALUE"""),0.0)</f>
        <v>0</v>
      </c>
      <c r="AF222" s="55"/>
      <c r="AG222" s="55"/>
      <c r="AH222" s="55"/>
      <c r="AI222" s="55"/>
      <c r="AJ222" s="55"/>
      <c r="AK222" s="55"/>
      <c r="AL222" s="55"/>
      <c r="AM222" s="55" t="str">
        <f>IFERROR(__xludf.DUMMYFUNCTION("""COMPUTED_VALUE"""),"#3+FfxNFM6VW8CzW/qdSUXLtAhvxfgG3ERvL0HUwG9W8w89I599QEQCLGVStKLx8=")</f>
        <v>#3+FfxNFM6VW8CzW/qdSUXLtAhvxfgG3ERvL0HUwG9W8w89I599QEQCLGVStKLx8=</v>
      </c>
      <c r="AN222" s="55"/>
      <c r="AO222" s="55" t="str">
        <f>IFERROR(__xludf.DUMMYFUNCTION("""COMPUTED_VALUE"""),"NA")</f>
        <v>NA</v>
      </c>
      <c r="AP222" s="55" t="str">
        <f>IFERROR(__xludf.DUMMYFUNCTION("""COMPUTED_VALUE"""),"NA")</f>
        <v>NA</v>
      </c>
      <c r="AQ222" s="55" t="str">
        <f>IFERROR(__xludf.DUMMYFUNCTION("""COMPUTED_VALUE"""),"NA")</f>
        <v>NA</v>
      </c>
      <c r="AR222" s="55" t="str">
        <f>IFERROR(__xludf.DUMMYFUNCTION("""COMPUTED_VALUE"""),"NA")</f>
        <v>NA</v>
      </c>
      <c r="AS222" s="55" t="str">
        <f>IFERROR(__xludf.DUMMYFUNCTION("""COMPUTED_VALUE"""),"NA")</f>
        <v>NA</v>
      </c>
      <c r="AT222" s="55" t="str">
        <f>IFERROR(__xludf.DUMMYFUNCTION("""COMPUTED_VALUE"""),"NA")</f>
        <v>NA</v>
      </c>
      <c r="AU222" s="55"/>
      <c r="AV222" s="55"/>
      <c r="AW222" s="35"/>
      <c r="AX222" s="35"/>
      <c r="AY222" s="35"/>
      <c r="AZ222" s="35"/>
      <c r="BA222" s="35"/>
      <c r="BB222" s="35"/>
      <c r="BC222" s="35"/>
      <c r="BD222" s="35"/>
      <c r="BE222" s="35"/>
      <c r="BF222" s="35"/>
      <c r="BG222" s="35"/>
    </row>
    <row r="223" ht="15.75" customHeight="1">
      <c r="A223" s="55" t="str">
        <f>IFERROR(__xludf.DUMMYFUNCTION("""COMPUTED_VALUE"""),"Tiktok")</f>
        <v>Tiktok</v>
      </c>
      <c r="B223" s="56">
        <f>IFERROR(__xludf.DUMMYFUNCTION("""COMPUTED_VALUE"""),46192.0)</f>
        <v>46192</v>
      </c>
      <c r="C223" s="55" t="str">
        <f>IFERROR(__xludf.DUMMYFUNCTION("""COMPUTED_VALUE"""),"June")</f>
        <v>June</v>
      </c>
      <c r="D223" s="58" t="str">
        <f>IFERROR(__xludf.DUMMYFUNCTION("""COMPUTED_VALUE"""),"https://www.tiktok.com/@mamaede3nagringa/video/7652705482792045854")</f>
        <v>https://www.tiktok.com/@mamaede3nagringa/video/7652705482792045854</v>
      </c>
      <c r="E223" s="55" t="str">
        <f>IFERROR(__xludf.DUMMYFUNCTION("""COMPUTED_VALUE"""),"@na")</f>
        <v>@na</v>
      </c>
      <c r="F223" s="55" t="str">
        <f>IFERROR(__xludf.DUMMYFUNCTION("""COMPUTED_VALUE"""),"Monique Chaves")</f>
        <v>Monique Chaves</v>
      </c>
      <c r="G223" s="55" t="str">
        <f>IFERROR(__xludf.DUMMYFUNCTION("""COMPUTED_VALUE"""),"Cortisol")</f>
        <v>Cortisol</v>
      </c>
      <c r="H223" s="55" t="str">
        <f>IFERROR(__xludf.DUMMYFUNCTION("""COMPUTED_VALUE"""),"NA")</f>
        <v>NA</v>
      </c>
      <c r="I223" s="55">
        <f>IFERROR(__xludf.DUMMYFUNCTION("""COMPUTED_VALUE"""),0.0)</f>
        <v>0</v>
      </c>
      <c r="J223" s="55" t="str">
        <f>IFERROR(__xludf.DUMMYFUNCTION("""COMPUTED_VALUE"""),"Pending Data")</f>
        <v>Pending Data</v>
      </c>
      <c r="K223" s="55" t="str">
        <f>IFERROR(__xludf.DUMMYFUNCTION("""COMPUTED_VALUE"""),"Yes")</f>
        <v>Yes</v>
      </c>
      <c r="L223" s="55" t="str">
        <f>IFERROR(__xludf.DUMMYFUNCTION("""COMPUTED_VALUE"""),"No organic metrics captured yet")</f>
        <v>No organic metrics captured yet</v>
      </c>
      <c r="M223" s="59" t="str">
        <f>IFERROR(__xludf.DUMMYFUNCTION("""COMPUTED_VALUE"""),"Logic Fit ✓")</f>
        <v>Logic Fit ✓</v>
      </c>
      <c r="N223" s="55"/>
      <c r="O223" s="55"/>
      <c r="P223" s="59">
        <f>IFERROR(__xludf.DUMMYFUNCTION("""COMPUTED_VALUE"""),0.0)</f>
        <v>0</v>
      </c>
      <c r="Q223" s="59">
        <f>IFERROR(__xludf.DUMMYFUNCTION("""COMPUTED_VALUE"""),0.0)</f>
        <v>0</v>
      </c>
      <c r="R223" s="59">
        <f>IFERROR(__xludf.DUMMYFUNCTION("""COMPUTED_VALUE"""),0.0)</f>
        <v>0</v>
      </c>
      <c r="S223" s="55"/>
      <c r="T223" s="68">
        <f>IFERROR(__xludf.DUMMYFUNCTION("""COMPUTED_VALUE"""),0.0)</f>
        <v>0</v>
      </c>
      <c r="U223" s="55"/>
      <c r="V223" s="62">
        <f>IFERROR(__xludf.DUMMYFUNCTION("""COMPUTED_VALUE"""),0.0)</f>
        <v>0</v>
      </c>
      <c r="W223" s="63">
        <f>IFERROR(__xludf.DUMMYFUNCTION("""COMPUTED_VALUE"""),117.58)</f>
        <v>117.58</v>
      </c>
      <c r="X223" s="59">
        <f>IFERROR(__xludf.DUMMYFUNCTION("""COMPUTED_VALUE"""),0.0)</f>
        <v>0</v>
      </c>
      <c r="Y223" s="59">
        <f>IFERROR(__xludf.DUMMYFUNCTION("""COMPUTED_VALUE"""),0.0)</f>
        <v>0</v>
      </c>
      <c r="Z223" s="59">
        <f>IFERROR(__xludf.DUMMYFUNCTION("""COMPUTED_VALUE"""),0.0)</f>
        <v>0</v>
      </c>
      <c r="AA223" s="59">
        <f>IFERROR(__xludf.DUMMYFUNCTION("""COMPUTED_VALUE"""),0.0)</f>
        <v>0</v>
      </c>
      <c r="AB223" s="64">
        <f>IFERROR(__xludf.DUMMYFUNCTION("""COMPUTED_VALUE"""),0.0)</f>
        <v>0</v>
      </c>
      <c r="AC223" s="62">
        <f>IFERROR(__xludf.DUMMYFUNCTION("""COMPUTED_VALUE"""),0.0)</f>
        <v>0</v>
      </c>
      <c r="AD223" s="62">
        <f>IFERROR(__xludf.DUMMYFUNCTION("""COMPUTED_VALUE"""),0.0)</f>
        <v>0</v>
      </c>
      <c r="AE223" s="62">
        <f>IFERROR(__xludf.DUMMYFUNCTION("""COMPUTED_VALUE"""),0.0)</f>
        <v>0</v>
      </c>
      <c r="AF223" s="55" t="str">
        <f>IFERROR(__xludf.DUMMYFUNCTION("""COMPUTED_VALUE"""),"Yes")</f>
        <v>Yes</v>
      </c>
      <c r="AG223" s="55"/>
      <c r="AH223" s="55"/>
      <c r="AI223" s="55"/>
      <c r="AJ223" s="55"/>
      <c r="AK223" s="55"/>
      <c r="AL223" s="55"/>
      <c r="AM223" s="55" t="str">
        <f>IFERROR(__xludf.DUMMYFUNCTION("""COMPUTED_VALUE"""),"#fXBqBPAaDK94su16EpIjJAUnIZCda+oJBC2jNlhy9kFcpwHYisMcYhgwxTXNNR8=")</f>
        <v>#fXBqBPAaDK94su16EpIjJAUnIZCda+oJBC2jNlhy9kFcpwHYisMcYhgwxTXNNR8=</v>
      </c>
      <c r="AN223" s="55"/>
      <c r="AO223" s="58" t="str">
        <f>IFERROR(__xludf.DUMMYFUNCTION("""COMPUTED_VALUE"""),"https://us.brand.joinbrands.com/job/689873")</f>
        <v>https://us.brand.joinbrands.com/job/689873</v>
      </c>
      <c r="AP223" s="55" t="str">
        <f>IFERROR(__xludf.DUMMYFUNCTION("""COMPUTED_VALUE"""),"Video removed")</f>
        <v>Video removed</v>
      </c>
      <c r="AQ223" s="55" t="str">
        <f>IFERROR(__xludf.DUMMYFUNCTION("""COMPUTED_VALUE"""),"NA")</f>
        <v>NA</v>
      </c>
      <c r="AR223" s="55" t="str">
        <f>IFERROR(__xludf.DUMMYFUNCTION("""COMPUTED_VALUE"""),"NA")</f>
        <v>NA</v>
      </c>
      <c r="AS223" s="55" t="str">
        <f>IFERROR(__xludf.DUMMYFUNCTION("""COMPUTED_VALUE"""),"NA")</f>
        <v>NA</v>
      </c>
      <c r="AT223" s="55" t="str">
        <f>IFERROR(__xludf.DUMMYFUNCTION("""COMPUTED_VALUE"""),"NA")</f>
        <v>NA</v>
      </c>
      <c r="AU223" s="55"/>
      <c r="AV223" s="55"/>
      <c r="AW223" s="35"/>
      <c r="AX223" s="35"/>
      <c r="AY223" s="35"/>
      <c r="AZ223" s="35"/>
      <c r="BA223" s="35"/>
      <c r="BB223" s="35"/>
      <c r="BC223" s="35"/>
      <c r="BD223" s="35"/>
      <c r="BE223" s="35"/>
      <c r="BF223" s="35"/>
      <c r="BG223" s="35"/>
    </row>
    <row r="224" ht="15.75" customHeight="1">
      <c r="A224" s="55" t="str">
        <f>IFERROR(__xludf.DUMMYFUNCTION("""COMPUTED_VALUE"""),"Tiktok")</f>
        <v>Tiktok</v>
      </c>
      <c r="B224" s="56">
        <f>IFERROR(__xludf.DUMMYFUNCTION("""COMPUTED_VALUE"""),46185.0)</f>
        <v>46185</v>
      </c>
      <c r="C224" s="55" t="str">
        <f>IFERROR(__xludf.DUMMYFUNCTION("""COMPUTED_VALUE"""),"June")</f>
        <v>June</v>
      </c>
      <c r="D224" s="58" t="str">
        <f>IFERROR(__xludf.DUMMYFUNCTION("""COMPUTED_VALUE"""),"https://www.tiktok.com/@sandreiawalker_/video/7650303618138131725")</f>
        <v>https://www.tiktok.com/@sandreiawalker_/video/7650303618138131725</v>
      </c>
      <c r="E224" s="55" t="str">
        <f>IFERROR(__xludf.DUMMYFUNCTION("""COMPUTED_VALUE"""),"@sandreiawalker_")</f>
        <v>@sandreiawalker_</v>
      </c>
      <c r="F224" s="55" t="str">
        <f>IFERROR(__xludf.DUMMYFUNCTION("""COMPUTED_VALUE"""),"Sandreia Walker")</f>
        <v>Sandreia Walker</v>
      </c>
      <c r="G224" s="55" t="str">
        <f>IFERROR(__xludf.DUMMYFUNCTION("""COMPUTED_VALUE"""),"Target In-Store Discovery")</f>
        <v>Target In-Store Discovery</v>
      </c>
      <c r="H224" s="55">
        <f>IFERROR(__xludf.DUMMYFUNCTION("""COMPUTED_VALUE"""),27.0)</f>
        <v>27</v>
      </c>
      <c r="I224" s="55">
        <f>IFERROR(__xludf.DUMMYFUNCTION("""COMPUTED_VALUE"""),53.6)</f>
        <v>53.6</v>
      </c>
      <c r="J224" s="55" t="str">
        <f>IFERROR(__xludf.DUMMYFUNCTION("""COMPUTED_VALUE"""),"Yes – Recommend")</f>
        <v>Yes – Recommend</v>
      </c>
      <c r="K224" s="55" t="str">
        <f>IFERROR(__xludf.DUMMYFUNCTION("""COMPUTED_VALUE"""),"Yes")</f>
        <v>Yes</v>
      </c>
      <c r="L224" s="55" t="str">
        <f>IFERROR(__xludf.DUMMYFUNCTION("""COMPUTED_VALUE"""),"Score 35.3 ≥ 30; 6-sec 31.0% ≥ 25%")</f>
        <v>Score 35.3 ≥ 30; 6-sec 31.0% ≥ 25%</v>
      </c>
      <c r="M224" s="59" t="str">
        <f>IFERROR(__xludf.DUMMYFUNCTION("""COMPUTED_VALUE"""),"Logic Fit ✓")</f>
        <v>Logic Fit ✓</v>
      </c>
      <c r="N224" s="55"/>
      <c r="O224" s="55"/>
      <c r="P224" s="59">
        <f>IFERROR(__xludf.DUMMYFUNCTION("""COMPUTED_VALUE"""),155.0)</f>
        <v>155</v>
      </c>
      <c r="Q224" s="59">
        <f>IFERROR(__xludf.DUMMYFUNCTION("""COMPUTED_VALUE"""),11.0)</f>
        <v>11</v>
      </c>
      <c r="R224" s="59">
        <f>IFERROR(__xludf.DUMMYFUNCTION("""COMPUTED_VALUE"""),0.0)</f>
        <v>0</v>
      </c>
      <c r="S224" s="68">
        <f>IFERROR(__xludf.DUMMYFUNCTION("""COMPUTED_VALUE"""),70.0)</f>
        <v>70</v>
      </c>
      <c r="T224" s="68">
        <f>IFERROR(__xludf.DUMMYFUNCTION("""COMPUTED_VALUE"""),31.0)</f>
        <v>31</v>
      </c>
      <c r="U224" s="55"/>
      <c r="V224" s="62">
        <f>IFERROR(__xludf.DUMMYFUNCTION("""COMPUTED_VALUE"""),0.07096774194)</f>
        <v>0.07096774194</v>
      </c>
      <c r="W224" s="63">
        <f>IFERROR(__xludf.DUMMYFUNCTION("""COMPUTED_VALUE"""),52.58)</f>
        <v>52.58</v>
      </c>
      <c r="X224" s="59">
        <f>IFERROR(__xludf.DUMMYFUNCTION("""COMPUTED_VALUE"""),279249.0)</f>
        <v>279249</v>
      </c>
      <c r="Y224" s="59">
        <f>IFERROR(__xludf.DUMMYFUNCTION("""COMPUTED_VALUE"""),1306.0)</f>
        <v>1306</v>
      </c>
      <c r="Z224" s="59">
        <f>IFERROR(__xludf.DUMMYFUNCTION("""COMPUTED_VALUE"""),161.0)</f>
        <v>161</v>
      </c>
      <c r="AA224" s="59">
        <f>IFERROR(__xludf.DUMMYFUNCTION("""COMPUTED_VALUE"""),117.0)</f>
        <v>117</v>
      </c>
      <c r="AB224" s="64">
        <f>IFERROR(__xludf.DUMMYFUNCTION("""COMPUTED_VALUE"""),8.0)</f>
        <v>8</v>
      </c>
      <c r="AC224" s="62">
        <f>IFERROR(__xludf.DUMMYFUNCTION("""COMPUTED_VALUE"""),0.56)</f>
        <v>0.56</v>
      </c>
      <c r="AD224" s="62">
        <f>IFERROR(__xludf.DUMMYFUNCTION("""COMPUTED_VALUE"""),76.4)</f>
        <v>76.4</v>
      </c>
      <c r="AE224" s="62">
        <f>IFERROR(__xludf.DUMMYFUNCTION("""COMPUTED_VALUE"""),34.0)</f>
        <v>34</v>
      </c>
      <c r="AF224" s="55" t="str">
        <f>IFERROR(__xludf.DUMMYFUNCTION("""COMPUTED_VALUE"""),"Yes")</f>
        <v>Yes</v>
      </c>
      <c r="AG224" s="63">
        <f>IFERROR(__xludf.DUMMYFUNCTION("""COMPUTED_VALUE"""),2350.87)</f>
        <v>2350.87</v>
      </c>
      <c r="AH224" s="59">
        <f>IFERROR(__xludf.DUMMYFUNCTION("""COMPUTED_VALUE"""),274296.0)</f>
        <v>274296</v>
      </c>
      <c r="AI224" s="55"/>
      <c r="AJ224" s="59">
        <f>IFERROR(__xludf.DUMMYFUNCTION("""COMPUTED_VALUE"""),1227.0)</f>
        <v>1227</v>
      </c>
      <c r="AK224" s="62">
        <f>IFERROR(__xludf.DUMMYFUNCTION("""COMPUTED_VALUE"""),0.4473)</f>
        <v>0.4473</v>
      </c>
      <c r="AL224" s="65">
        <f>IFERROR(__xludf.DUMMYFUNCTION("""COMPUTED_VALUE"""),1.916)</f>
        <v>1.916</v>
      </c>
      <c r="AM224" s="55" t="str">
        <f>IFERROR(__xludf.DUMMYFUNCTION("""COMPUTED_VALUE"""),"#wV/QNw+qN/aMr33LlekMZv8nMRcTar34sryreJGiuQMsypnxNE+2D7TTnCa/gf4=")</f>
        <v>#wV/QNw+qN/aMr33LlekMZv8nMRcTar34sryreJGiuQMsypnxNE+2D7TTnCa/gf4=</v>
      </c>
      <c r="AN224" s="55"/>
      <c r="AO224" s="58" t="str">
        <f>IFERROR(__xludf.DUMMYFUNCTION("""COMPUTED_VALUE"""),"https://us.brand.joinbrands.com/job/687369")</f>
        <v>https://us.brand.joinbrands.com/job/687369</v>
      </c>
      <c r="AP224" s="55" t="str">
        <f>IFERROR(__xludf.DUMMYFUNCTION("""COMPUTED_VALUE"""),"Good")</f>
        <v>Good</v>
      </c>
      <c r="AQ224" s="55" t="str">
        <f>IFERROR(__xludf.DUMMYFUNCTION("""COMPUTED_VALUE"""),"I found my new favorite coffee brand @VAHDAM USA you can grab yours now from @target #ashwagandha #target #inspiration #coffee #wellness")</f>
        <v>I found my new favorite coffee brand @VAHDAM USA you can grab yours now from @target #ashwagandha #target #inspiration #coffee #wellness</v>
      </c>
      <c r="AR224" s="55" t="str">
        <f>IFERROR(__xludf.DUMMYFUNCTION("""COMPUTED_VALUE"""),"Is that serious when it comes to my ashwagandha coffee?")</f>
        <v>Is that serious when it comes to my ashwagandha coffee?</v>
      </c>
      <c r="AS224" s="55" t="str">
        <f>IFERROR(__xludf.DUMMYFUNCTION("""COMPUTED_VALUE"""),"Curiosity / Question")</f>
        <v>Curiosity / Question</v>
      </c>
      <c r="AT224" s="55" t="str">
        <f>IFERROR(__xludf.DUMMYFUNCTION("""COMPUTED_VALUE"""),"• So if you're anything like me and getting ready for a busy summer, head over to target and grab your ashwagandha coffee today.
• As a mom of three with one husband, I need all the help I can get.
• This is my go to for busy summer days when I need the e"&amp;"nergy to get up with everything on my schedule.
• Thanks to target, I can stock up and get myself a whole chest full to make it through the summer.")</f>
        <v>• So if you're anything like me and getting ready for a busy summer, head over to target and grab your ashwagandha coffee today.
• As a mom of three with one husband, I need all the help I can get.
• This is my go to for busy summer days when I need the energy to get up with everything on my schedule.
• Thanks to target, I can stock up and get myself a whole chest full to make it through the summer.</v>
      </c>
      <c r="AU224" s="55" t="str">
        <f>IFERROR(__xludf.DUMMYFUNCTION("""COMPUTED_VALUE"""),"So if you're anything like me and getting ready for a busy summer, head over to target and grab your ashwagandha coffee today.")</f>
        <v>So if you're anything like me and getting ready for a busy summer, head over to target and grab your ashwagandha coffee today.</v>
      </c>
      <c r="AV224" s="55" t="str">
        <f>IFERROR(__xludf.DUMMYFUNCTION("""COMPUTED_VALUE"""),"Is that serious when it comes to my ashwagandha coffee? Thanks to target, I can stock up and get myself a whole chest full to make it through the summer. As a mom of three with one husband, I need all the help I can get. This is my go to for busy summer d"&amp;"ays when I need the energy to get up with everything on my schedule. So if you're anything like me and getting ready for a busy summer, head over to target and grab your ashwagandha coffee today. Trust me, you're gonna want a chest full, too.")</f>
        <v>Is that serious when it comes to my ashwagandha coffee? Thanks to target, I can stock up and get myself a whole chest full to make it through the summer. As a mom of three with one husband, I need all the help I can get. This is my go to for busy summer days when I need the energy to get up with everything on my schedule. So if you're anything like me and getting ready for a busy summer, head over to target and grab your ashwagandha coffee today. Trust me, you're gonna want a chest full, too.</v>
      </c>
      <c r="AW224" s="35"/>
      <c r="AX224" s="35"/>
      <c r="AY224" s="35"/>
      <c r="AZ224" s="35"/>
      <c r="BA224" s="35"/>
      <c r="BB224" s="35"/>
      <c r="BC224" s="35"/>
      <c r="BD224" s="35"/>
      <c r="BE224" s="35"/>
      <c r="BF224" s="35"/>
      <c r="BG224" s="35"/>
    </row>
    <row r="225" ht="15.75" customHeight="1">
      <c r="A225" s="55" t="str">
        <f>IFERROR(__xludf.DUMMYFUNCTION("""COMPUTED_VALUE"""),"Instagram")</f>
        <v>Instagram</v>
      </c>
      <c r="B225" s="56">
        <f>IFERROR(__xludf.DUMMYFUNCTION("""COMPUTED_VALUE"""),46198.0)</f>
        <v>46198</v>
      </c>
      <c r="C225" s="55" t="str">
        <f>IFERROR(__xludf.DUMMYFUNCTION("""COMPUTED_VALUE"""),"June")</f>
        <v>June</v>
      </c>
      <c r="D225" s="58" t="str">
        <f>IFERROR(__xludf.DUMMYFUNCTION("""COMPUTED_VALUE"""),"https://www.instagram.com/reel/DZ-INDoR2l7/")</f>
        <v>https://www.instagram.com/reel/DZ-INDoR2l7/</v>
      </c>
      <c r="E225" s="55" t="str">
        <f>IFERROR(__xludf.DUMMYFUNCTION("""COMPUTED_VALUE"""),"ugczeyn")</f>
        <v>ugczeyn</v>
      </c>
      <c r="F225" s="55" t="str">
        <f>IFERROR(__xludf.DUMMYFUNCTION("""COMPUTED_VALUE"""),"NA")</f>
        <v>NA</v>
      </c>
      <c r="G225" s="55" t="str">
        <f>IFERROR(__xludf.DUMMYFUNCTION("""COMPUTED_VALUE"""),"Taste")</f>
        <v>Taste</v>
      </c>
      <c r="H225" s="55">
        <f>IFERROR(__xludf.DUMMYFUNCTION("""COMPUTED_VALUE"""),23.0)</f>
        <v>23</v>
      </c>
      <c r="I225" s="55">
        <f>IFERROR(__xludf.DUMMYFUNCTION("""COMPUTED_VALUE"""),57.6)</f>
        <v>57.6</v>
      </c>
      <c r="J225" s="55" t="str">
        <f>IFERROR(__xludf.DUMMYFUNCTION("""COMPUTED_VALUE"""),"Yes – Recommend")</f>
        <v>Yes – Recommend</v>
      </c>
      <c r="K225" s="55" t="str">
        <f>IFERROR(__xludf.DUMMYFUNCTION("""COMPUTED_VALUE"""),"Yes")</f>
        <v>Yes</v>
      </c>
      <c r="L225" s="55" t="str">
        <f>IFERROR(__xludf.DUMMYFUNCTION("""COMPUTED_VALUE"""),"Score 58.4 ≥ 20 threshold")</f>
        <v>Score 58.4 ≥ 20 threshold</v>
      </c>
      <c r="M225" s="59" t="str">
        <f>IFERROR(__xludf.DUMMYFUNCTION("""COMPUTED_VALUE"""),"No Ad Data")</f>
        <v>No Ad Data</v>
      </c>
      <c r="N225" s="55" t="str">
        <f>IFERROR(__xludf.DUMMYFUNCTION("""COMPUTED_VALUE"""),"15UGC-Taste-CTA-ugczeyn")</f>
        <v>15UGC-Taste-CTA-ugczeyn</v>
      </c>
      <c r="O225" s="58" t="str">
        <f>IFERROR(__xludf.DUMMYFUNCTION("""COMPUTED_VALUE"""),"https://buy.vahdam.com/coffee-cta-ugc-taste")</f>
        <v>https://buy.vahdam.com/coffee-cta-ugc-taste</v>
      </c>
      <c r="P225" s="59">
        <f>IFERROR(__xludf.DUMMYFUNCTION("""COMPUTED_VALUE"""),208000.0)</f>
        <v>208000</v>
      </c>
      <c r="Q225" s="59">
        <f>IFERROR(__xludf.DUMMYFUNCTION("""COMPUTED_VALUE"""),2.0)</f>
        <v>2</v>
      </c>
      <c r="R225" s="59">
        <f>IFERROR(__xludf.DUMMYFUNCTION("""COMPUTED_VALUE"""),31.0)</f>
        <v>31</v>
      </c>
      <c r="S225" s="55"/>
      <c r="T225" s="68">
        <f>IFERROR(__xludf.DUMMYFUNCTION("""COMPUTED_VALUE"""),0.0)</f>
        <v>0</v>
      </c>
      <c r="U225" s="55"/>
      <c r="V225" s="62">
        <f>IFERROR(__xludf.DUMMYFUNCTION("""COMPUTED_VALUE"""),0.0)</f>
        <v>0</v>
      </c>
      <c r="W225" s="63">
        <f>IFERROR(__xludf.DUMMYFUNCTION("""COMPUTED_VALUE"""),117.58)</f>
        <v>117.58</v>
      </c>
      <c r="X225" s="59">
        <f>IFERROR(__xludf.DUMMYFUNCTION("""COMPUTED_VALUE"""),208000.0)</f>
        <v>208000</v>
      </c>
      <c r="Y225" s="59">
        <f>IFERROR(__xludf.DUMMYFUNCTION("""COMPUTED_VALUE"""),2.0)</f>
        <v>2</v>
      </c>
      <c r="Z225" s="59">
        <f>IFERROR(__xludf.DUMMYFUNCTION("""COMPUTED_VALUE"""),31.0)</f>
        <v>31</v>
      </c>
      <c r="AA225" s="59">
        <f>IFERROR(__xludf.DUMMYFUNCTION("""COMPUTED_VALUE"""),0.0)</f>
        <v>0</v>
      </c>
      <c r="AB225" s="64">
        <f>IFERROR(__xludf.DUMMYFUNCTION("""COMPUTED_VALUE"""),0.0)</f>
        <v>0</v>
      </c>
      <c r="AC225" s="62">
        <f>IFERROR(__xludf.DUMMYFUNCTION("""COMPUTED_VALUE"""),0.0)</f>
        <v>0</v>
      </c>
      <c r="AD225" s="62">
        <f>IFERROR(__xludf.DUMMYFUNCTION("""COMPUTED_VALUE"""),0.0)</f>
        <v>0</v>
      </c>
      <c r="AE225" s="62">
        <f>IFERROR(__xludf.DUMMYFUNCTION("""COMPUTED_VALUE"""),0.0)</f>
        <v>0</v>
      </c>
      <c r="AF225" s="55"/>
      <c r="AG225" s="55"/>
      <c r="AH225" s="55"/>
      <c r="AI225" s="55"/>
      <c r="AJ225" s="55"/>
      <c r="AK225" s="55"/>
      <c r="AL225" s="55"/>
      <c r="AM225" s="55" t="str">
        <f>IFERROR(__xludf.DUMMYFUNCTION("""COMPUTED_VALUE"""),"Q9jTBBVN_P0HFp24yxU3v0rLGGZMFgYI8uGNrsW9_EYfywwGTcllzrnMbtG8C5wXppw")</f>
        <v>Q9jTBBVN_P0HFp24yxU3v0rLGGZMFgYI8uGNrsW9_EYfywwGTcllzrnMbtG8C5wXppw</v>
      </c>
      <c r="AN225" s="55"/>
      <c r="AO225" s="55" t="str">
        <f>IFERROR(__xludf.DUMMYFUNCTION("""COMPUTED_VALUE"""),"NA")</f>
        <v>NA</v>
      </c>
      <c r="AP225" s="55" t="str">
        <f>IFERROR(__xludf.DUMMYFUNCTION("""COMPUTED_VALUE"""),"[IG Outlier — excluded from avg]")</f>
        <v>[IG Outlier — excluded from avg]</v>
      </c>
      <c r="AQ225" s="55" t="str">
        <f>IFERROR(__xludf.DUMMYFUNCTION("""COMPUTED_VALUE"""),"NA")</f>
        <v>NA</v>
      </c>
      <c r="AR225" s="55" t="str">
        <f>IFERROR(__xludf.DUMMYFUNCTION("""COMPUTED_VALUE"""),"Meet Vadam Ashwagandha Coffee Plus.")</f>
        <v>Meet Vadam Ashwagandha Coffee Plus.</v>
      </c>
      <c r="AS225" s="55" t="str">
        <f>IFERROR(__xludf.DUMMYFUNCTION("""COMPUTED_VALUE"""),"General / Lifestyle")</f>
        <v>General / Lifestyle</v>
      </c>
      <c r="AT225" s="55" t="str">
        <f>IFERROR(__xludf.DUMMYFUNCTION("""COMPUTED_VALUE"""),"• This instant coffee combines KSM66 Ashwagandha, Lion's Mane, Chaga, and L-theanine in one simple cup.
• I love that it brings together premium coffee and functional ingredients with a smooth, rich taste.
• It's quick to prepare and fits seamlessly into "&amp;"my daily routine.
• Whether I'm working or relaxing, it's become part of my routine.")</f>
        <v>• This instant coffee combines KSM66 Ashwagandha, Lion's Mane, Chaga, and L-theanine in one simple cup.
• I love that it brings together premium coffee and functional ingredients with a smooth, rich taste.
• It's quick to prepare and fits seamlessly into my daily routine.
• Whether I'm working or relaxing, it's become part of my routine.</v>
      </c>
      <c r="AU225" s="55" t="str">
        <f>IFERROR(__xludf.DUMMYFUNCTION("""COMPUTED_VALUE"""),"Whether I'm working or relaxing, it's become part of my routine.")</f>
        <v>Whether I'm working or relaxing, it's become part of my routine.</v>
      </c>
      <c r="AV225" s="55" t="str">
        <f>IFERROR(__xludf.DUMMYFUNCTION("""COMPUTED_VALUE"""),"Meet Vadam Ashwagandha Coffee Plus. This instant coffee combines KSM66 Ashwagandha, Lion's Mane, Chaga, and L-theanine in one simple cup. It's quick to prepare and fits seamlessly into my daily routine. I love that it brings together premium coffee and fu"&amp;"nctional ingredients with a smooth, rich taste. Whether I'm working or relaxing, it's become part of my routine. Discover more. Link in my bio.")</f>
        <v>Meet Vadam Ashwagandha Coffee Plus. This instant coffee combines KSM66 Ashwagandha, Lion's Mane, Chaga, and L-theanine in one simple cup. It's quick to prepare and fits seamlessly into my daily routine. I love that it brings together premium coffee and functional ingredients with a smooth, rich taste. Whether I'm working or relaxing, it's become part of my routine. Discover more. Link in my bio.</v>
      </c>
      <c r="AW225" s="35"/>
      <c r="AX225" s="35"/>
      <c r="AY225" s="35"/>
      <c r="AZ225" s="35"/>
      <c r="BA225" s="35"/>
      <c r="BB225" s="35"/>
      <c r="BC225" s="35"/>
      <c r="BD225" s="35"/>
      <c r="BE225" s="35"/>
      <c r="BF225" s="35"/>
      <c r="BG225" s="35"/>
    </row>
    <row r="226" ht="15.75" customHeight="1">
      <c r="A226" s="55" t="str">
        <f>IFERROR(__xludf.DUMMYFUNCTION("""COMPUTED_VALUE"""),"Instagram")</f>
        <v>Instagram</v>
      </c>
      <c r="B226" s="56">
        <f>IFERROR(__xludf.DUMMYFUNCTION("""COMPUTED_VALUE"""),46188.0)</f>
        <v>46188</v>
      </c>
      <c r="C226" s="55" t="str">
        <f>IFERROR(__xludf.DUMMYFUNCTION("""COMPUTED_VALUE"""),"June")</f>
        <v>June</v>
      </c>
      <c r="D226" s="58" t="str">
        <f>IFERROR(__xludf.DUMMYFUNCTION("""COMPUTED_VALUE"""),"https://www.instagram.com/reel/DZnEukDMIvC/")</f>
        <v>https://www.instagram.com/reel/DZnEukDMIvC/</v>
      </c>
      <c r="E226" s="55" t="str">
        <f>IFERROR(__xludf.DUMMYFUNCTION("""COMPUTED_VALUE"""),"@irish")</f>
        <v>@irish</v>
      </c>
      <c r="F226" s="55" t="str">
        <f>IFERROR(__xludf.DUMMYFUNCTION("""COMPUTED_VALUE"""),"NA")</f>
        <v>NA</v>
      </c>
      <c r="G226" s="55" t="str">
        <f>IFERROR(__xludf.DUMMYFUNCTION("""COMPUTED_VALUE"""),"Target Shelf Showdown")</f>
        <v>Target Shelf Showdown</v>
      </c>
      <c r="H226" s="55">
        <f>IFERROR(__xludf.DUMMYFUNCTION("""COMPUTED_VALUE"""),50.0)</f>
        <v>50</v>
      </c>
      <c r="I226" s="55">
        <f>IFERROR(__xludf.DUMMYFUNCTION("""COMPUTED_VALUE"""),21.5)</f>
        <v>21.5</v>
      </c>
      <c r="J226" s="55" t="str">
        <f>IFERROR(__xludf.DUMMYFUNCTION("""COMPUTED_VALUE"""),"Yes – Recommend")</f>
        <v>Yes – Recommend</v>
      </c>
      <c r="K226" s="55" t="str">
        <f>IFERROR(__xludf.DUMMYFUNCTION("""COMPUTED_VALUE"""),"Yes")</f>
        <v>Yes</v>
      </c>
      <c r="L226" s="55" t="str">
        <f>IFERROR(__xludf.DUMMYFUNCTION("""COMPUTED_VALUE"""),"Score 22.6 ≥ 20 threshold")</f>
        <v>Score 22.6 ≥ 20 threshold</v>
      </c>
      <c r="M226" s="59" t="str">
        <f>IFERROR(__xludf.DUMMYFUNCTION("""COMPUTED_VALUE"""),"Logic Fit ✓")</f>
        <v>Logic Fit ✓</v>
      </c>
      <c r="N226" s="59" t="str">
        <f>IFERROR(__xludf.DUMMYFUNCTION("""COMPUTED_VALUE"""),"JB-UGC-4-Irish")</f>
        <v>JB-UGC-4-Irish</v>
      </c>
      <c r="O226" s="55"/>
      <c r="P226" s="59">
        <f>IFERROR(__xludf.DUMMYFUNCTION("""COMPUTED_VALUE"""),162.0)</f>
        <v>162</v>
      </c>
      <c r="Q226" s="59">
        <f>IFERROR(__xludf.DUMMYFUNCTION("""COMPUTED_VALUE"""),7.0)</f>
        <v>7</v>
      </c>
      <c r="R226" s="59">
        <f>IFERROR(__xludf.DUMMYFUNCTION("""COMPUTED_VALUE"""),0.0)</f>
        <v>0</v>
      </c>
      <c r="S226" s="55"/>
      <c r="T226" s="68">
        <f>IFERROR(__xludf.DUMMYFUNCTION("""COMPUTED_VALUE"""),0.0)</f>
        <v>0</v>
      </c>
      <c r="U226" s="55"/>
      <c r="V226" s="62">
        <f>IFERROR(__xludf.DUMMYFUNCTION("""COMPUTED_VALUE"""),0.04320987654)</f>
        <v>0.04320987654</v>
      </c>
      <c r="W226" s="63">
        <f>IFERROR(__xludf.DUMMYFUNCTION("""COMPUTED_VALUE"""),72.99)</f>
        <v>72.99</v>
      </c>
      <c r="X226" s="59">
        <f>IFERROR(__xludf.DUMMYFUNCTION("""COMPUTED_VALUE"""),102000.0)</f>
        <v>102000</v>
      </c>
      <c r="Y226" s="59">
        <f>IFERROR(__xludf.DUMMYFUNCTION("""COMPUTED_VALUE"""),0.0)</f>
        <v>0</v>
      </c>
      <c r="Z226" s="59">
        <f>IFERROR(__xludf.DUMMYFUNCTION("""COMPUTED_VALUE"""),6.0)</f>
        <v>6</v>
      </c>
      <c r="AA226" s="59">
        <f>IFERROR(__xludf.DUMMYFUNCTION("""COMPUTED_VALUE"""),0.0)</f>
        <v>0</v>
      </c>
      <c r="AB226" s="64">
        <f>IFERROR(__xludf.DUMMYFUNCTION("""COMPUTED_VALUE"""),0.0)</f>
        <v>0</v>
      </c>
      <c r="AC226" s="62">
        <f>IFERROR(__xludf.DUMMYFUNCTION("""COMPUTED_VALUE"""),0.0)</f>
        <v>0</v>
      </c>
      <c r="AD226" s="62">
        <f>IFERROR(__xludf.DUMMYFUNCTION("""COMPUTED_VALUE"""),0.0)</f>
        <v>0</v>
      </c>
      <c r="AE226" s="62">
        <f>IFERROR(__xludf.DUMMYFUNCTION("""COMPUTED_VALUE"""),0.0)</f>
        <v>0</v>
      </c>
      <c r="AF226" s="55" t="str">
        <f>IFERROR(__xludf.DUMMYFUNCTION("""COMPUTED_VALUE"""),"Yes")</f>
        <v>Yes</v>
      </c>
      <c r="AG226" s="63">
        <f>IFERROR(__xludf.DUMMYFUNCTION("""COMPUTED_VALUE"""),792.5)</f>
        <v>792.5</v>
      </c>
      <c r="AH226" s="59">
        <f>IFERROR(__xludf.DUMMYFUNCTION("""COMPUTED_VALUE"""),97420.0)</f>
        <v>97420</v>
      </c>
      <c r="AI226" s="55"/>
      <c r="AJ226" s="59">
        <f>IFERROR(__xludf.DUMMYFUNCTION("""COMPUTED_VALUE"""),15951.0)</f>
        <v>15951</v>
      </c>
      <c r="AK226" s="62">
        <f>IFERROR(__xludf.DUMMYFUNCTION("""COMPUTED_VALUE"""),16.3734)</f>
        <v>16.3734</v>
      </c>
      <c r="AL226" s="65">
        <f>IFERROR(__xludf.DUMMYFUNCTION("""COMPUTED_VALUE"""),0.05)</f>
        <v>0.05</v>
      </c>
      <c r="AM226" s="55" t="str">
        <f>IFERROR(__xludf.DUMMYFUNCTION("""COMPUTED_VALUE"""),"Q9jTBBUYqlfqwZdQz3N8B8CDlO2ebiHUs3W0kblbozk1fnnTjRKgkARS8PE_4kET")</f>
        <v>Q9jTBBUYqlfqwZdQz3N8B8CDlO2ebiHUs3W0kblbozk1fnnTjRKgkARS8PE_4kET</v>
      </c>
      <c r="AN226" s="55"/>
      <c r="AO226" s="55" t="str">
        <f>IFERROR(__xludf.DUMMYFUNCTION("""COMPUTED_VALUE"""),"NA")</f>
        <v>NA</v>
      </c>
      <c r="AP226" s="55" t="str">
        <f>IFERROR(__xludf.DUMMYFUNCTION("""COMPUTED_VALUE"""),"NA")</f>
        <v>NA</v>
      </c>
      <c r="AQ226" s="55" t="str">
        <f>IFERROR(__xludf.DUMMYFUNCTION("""COMPUTED_VALUE"""),"NA")</f>
        <v>NA</v>
      </c>
      <c r="AR226" s="55" t="str">
        <f>IFERROR(__xludf.DUMMYFUNCTION("""COMPUTED_VALUE"""),"Okay, this tastes just like a Frappuccino from a coffee shop.")</f>
        <v>Okay, this tastes just like a Frappuccino from a coffee shop.</v>
      </c>
      <c r="AS226" s="55" t="str">
        <f>IFERROR(__xludf.DUMMYFUNCTION("""COMPUTED_VALUE"""),"Taste / Sensory")</f>
        <v>Taste / Sensory</v>
      </c>
      <c r="AT226" s="55" t="str">
        <f>IFERROR(__xludf.DUMMYFUNCTION("""COMPUTED_VALUE"""),"• And it has ashwagandha and turmeric, so it just feels like a little upgrade to my daily coffee routine.
• I grabbed this back-dumb ashwagandha coffee at Target.
• I whipped the coffee with a little sugar and just a splash of hot water, and it turned int"&amp;"o this thick, fluffy foam.
• It's perfect for summer.")</f>
        <v>• And it has ashwagandha and turmeric, so it just feels like a little upgrade to my daily coffee routine.
• I grabbed this back-dumb ashwagandha coffee at Target.
• I whipped the coffee with a little sugar and just a splash of hot water, and it turned into this thick, fluffy foam.
• It's perfect for summer.</v>
      </c>
      <c r="AU226" s="55" t="str">
        <f>IFERROR(__xludf.DUMMYFUNCTION("""COMPUTED_VALUE"""),"I grabbed this back-dumb ashwagandha coffee at Target.")</f>
        <v>I grabbed this back-dumb ashwagandha coffee at Target.</v>
      </c>
      <c r="AV226" s="55" t="str">
        <f>IFERROR(__xludf.DUMMYFUNCTION("""COMPUTED_VALUE"""),"Okay, this tastes just like a Frappuccino from a coffee shop. Like, seriously. It's perfect for summer. I grabbed this back-dumb ashwagandha coffee at Target. I whipped the coffee with a little sugar and just a splash of hot water, and it turned into this"&amp;" thick, fluffy foam. Seriously, look at this. Then I pour it over the frozen milk blend and, and honestly, I keep it in my freezer with frozen milk. Then I just blend it up. Super simple, super quick. But wait, this time I did something extra. Oh my gosh,"&amp;" it tastes like a cafe frappuccino. But I made it in like two minutes at home. So fast, so easy, and actually so good. And it has ashwagandha and turmeric, so it just feels like a little upgrade to my daily coffee routine. Okay, I'm obsessed.")</f>
        <v>Okay, this tastes just like a Frappuccino from a coffee shop. Like, seriously. It's perfect for summer. I grabbed this back-dumb ashwagandha coffee at Target. I whipped the coffee with a little sugar and just a splash of hot water, and it turned into this thick, fluffy foam. Seriously, look at this. Then I pour it over the frozen milk blend and, and honestly, I keep it in my freezer with frozen milk. Then I just blend it up. Super simple, super quick. But wait, this time I did something extra. Oh my gosh, it tastes like a cafe frappuccino. But I made it in like two minutes at home. So fast, so easy, and actually so good. And it has ashwagandha and turmeric, so it just feels like a little upgrade to my daily coffee routine. Okay, I'm obsessed.</v>
      </c>
      <c r="AW226" s="35"/>
      <c r="AX226" s="35"/>
      <c r="AY226" s="35"/>
      <c r="AZ226" s="35"/>
      <c r="BA226" s="35"/>
      <c r="BB226" s="35"/>
      <c r="BC226" s="35"/>
      <c r="BD226" s="35"/>
      <c r="BE226" s="35"/>
      <c r="BF226" s="35"/>
      <c r="BG226" s="35"/>
    </row>
    <row r="227" ht="15.75" customHeight="1">
      <c r="A227" s="55" t="str">
        <f>IFERROR(__xludf.DUMMYFUNCTION("""COMPUTED_VALUE"""),"Tiktok")</f>
        <v>Tiktok</v>
      </c>
      <c r="B227" s="56">
        <f>IFERROR(__xludf.DUMMYFUNCTION("""COMPUTED_VALUE"""),46192.0)</f>
        <v>46192</v>
      </c>
      <c r="C227" s="55" t="str">
        <f>IFERROR(__xludf.DUMMYFUNCTION("""COMPUTED_VALUE"""),"June")</f>
        <v>June</v>
      </c>
      <c r="D227" s="58" t="str">
        <f>IFERROR(__xludf.DUMMYFUNCTION("""COMPUTED_VALUE"""),"https://www.tiktok.com/@bethchancey8/video/7652909940931136781")</f>
        <v>https://www.tiktok.com/@bethchancey8/video/7652909940931136781</v>
      </c>
      <c r="E227" s="55" t="str">
        <f>IFERROR(__xludf.DUMMYFUNCTION("""COMPUTED_VALUE"""),"@bethchancey8")</f>
        <v>@bethchancey8</v>
      </c>
      <c r="F227" s="55" t="str">
        <f>IFERROR(__xludf.DUMMYFUNCTION("""COMPUTED_VALUE"""),"Beth Chancey")</f>
        <v>Beth Chancey</v>
      </c>
      <c r="G227" s="55" t="str">
        <f>IFERROR(__xludf.DUMMYFUNCTION("""COMPUTED_VALUE"""),"Target Shelf Showdown")</f>
        <v>Target Shelf Showdown</v>
      </c>
      <c r="H227" s="55">
        <f>IFERROR(__xludf.DUMMYFUNCTION("""COMPUTED_VALUE"""),49.0)</f>
        <v>49</v>
      </c>
      <c r="I227" s="55">
        <f>IFERROR(__xludf.DUMMYFUNCTION("""COMPUTED_VALUE"""),70.2)</f>
        <v>70.2</v>
      </c>
      <c r="J227" s="55" t="str">
        <f>IFERROR(__xludf.DUMMYFUNCTION("""COMPUTED_VALUE"""),"Yes – Recommend")</f>
        <v>Yes – Recommend</v>
      </c>
      <c r="K227" s="55" t="str">
        <f>IFERROR(__xludf.DUMMYFUNCTION("""COMPUTED_VALUE"""),"Yes")</f>
        <v>Yes</v>
      </c>
      <c r="L227" s="55" t="str">
        <f>IFERROR(__xludf.DUMMYFUNCTION("""COMPUTED_VALUE"""),"Score 59.1 ≥ 30")</f>
        <v>Score 59.1 ≥ 30</v>
      </c>
      <c r="M227" s="59" t="str">
        <f>IFERROR(__xludf.DUMMYFUNCTION("""COMPUTED_VALUE"""),"Logic Fit ✓")</f>
        <v>Logic Fit ✓</v>
      </c>
      <c r="N227" s="55"/>
      <c r="O227" s="55"/>
      <c r="P227" s="59">
        <f>IFERROR(__xludf.DUMMYFUNCTION("""COMPUTED_VALUE"""),728.0)</f>
        <v>728</v>
      </c>
      <c r="Q227" s="59">
        <f>IFERROR(__xludf.DUMMYFUNCTION("""COMPUTED_VALUE"""),56.0)</f>
        <v>56</v>
      </c>
      <c r="R227" s="59">
        <f>IFERROR(__xludf.DUMMYFUNCTION("""COMPUTED_VALUE"""),5.0)</f>
        <v>5</v>
      </c>
      <c r="S227" s="55"/>
      <c r="T227" s="68">
        <f>IFERROR(__xludf.DUMMYFUNCTION("""COMPUTED_VALUE"""),18.6)</f>
        <v>18.6</v>
      </c>
      <c r="U227" s="55"/>
      <c r="V227" s="62">
        <f>IFERROR(__xludf.DUMMYFUNCTION("""COMPUTED_VALUE"""),0.083)</f>
        <v>0.083</v>
      </c>
      <c r="W227" s="63">
        <f>IFERROR(__xludf.DUMMYFUNCTION("""COMPUTED_VALUE"""),67.58)</f>
        <v>67.58</v>
      </c>
      <c r="X227" s="59">
        <f>IFERROR(__xludf.DUMMYFUNCTION("""COMPUTED_VALUE"""),42782.0)</f>
        <v>42782</v>
      </c>
      <c r="Y227" s="59">
        <f>IFERROR(__xludf.DUMMYFUNCTION("""COMPUTED_VALUE"""),145.0)</f>
        <v>145</v>
      </c>
      <c r="Z227" s="59">
        <f>IFERROR(__xludf.DUMMYFUNCTION("""COMPUTED_VALUE"""),7.0)</f>
        <v>7</v>
      </c>
      <c r="AA227" s="59">
        <f>IFERROR(__xludf.DUMMYFUNCTION("""COMPUTED_VALUE"""),12.0)</f>
        <v>12</v>
      </c>
      <c r="AB227" s="64">
        <f>IFERROR(__xludf.DUMMYFUNCTION("""COMPUTED_VALUE"""),3.0)</f>
        <v>3</v>
      </c>
      <c r="AC227" s="62">
        <f>IFERROR(__xludf.DUMMYFUNCTION("""COMPUTED_VALUE"""),0.38)</f>
        <v>0.38</v>
      </c>
      <c r="AD227" s="62">
        <f>IFERROR(__xludf.DUMMYFUNCTION("""COMPUTED_VALUE"""),20.2)</f>
        <v>20.2</v>
      </c>
      <c r="AE227" s="62">
        <f>IFERROR(__xludf.DUMMYFUNCTION("""COMPUTED_VALUE"""),6.4)</f>
        <v>6.4</v>
      </c>
      <c r="AF227" s="55" t="str">
        <f>IFERROR(__xludf.DUMMYFUNCTION("""COMPUTED_VALUE"""),"Yes")</f>
        <v>Yes</v>
      </c>
      <c r="AG227" s="63">
        <f>IFERROR(__xludf.DUMMYFUNCTION("""COMPUTED_VALUE"""),80.19)</f>
        <v>80.19</v>
      </c>
      <c r="AH227" s="59">
        <f>IFERROR(__xludf.DUMMYFUNCTION("""COMPUTED_VALUE"""),22997.0)</f>
        <v>22997</v>
      </c>
      <c r="AI227" s="55"/>
      <c r="AJ227" s="59">
        <f>IFERROR(__xludf.DUMMYFUNCTION("""COMPUTED_VALUE"""),184.0)</f>
        <v>184</v>
      </c>
      <c r="AK227" s="62">
        <f>IFERROR(__xludf.DUMMYFUNCTION("""COMPUTED_VALUE"""),0.8001)</f>
        <v>0.8001</v>
      </c>
      <c r="AL227" s="65">
        <f>IFERROR(__xludf.DUMMYFUNCTION("""COMPUTED_VALUE"""),0.436)</f>
        <v>0.436</v>
      </c>
      <c r="AM227" s="55" t="str">
        <f>IFERROR(__xludf.DUMMYFUNCTION("""COMPUTED_VALUE"""),"#bs0lXY61M1J3Q+Jqag1wyiSBoGWZkS03mVYgCozca/IMyIJmSubarPwwU8mjVIQ=")</f>
        <v>#bs0lXY61M1J3Q+Jqag1wyiSBoGWZkS03mVYgCozca/IMyIJmSubarPwwU8mjVIQ=</v>
      </c>
      <c r="AN227" s="55"/>
      <c r="AO227" s="58" t="str">
        <f>IFERROR(__xludf.DUMMYFUNCTION("""COMPUTED_VALUE"""),"https://us.brand.joinbrands.com/job/692049")</f>
        <v>https://us.brand.joinbrands.com/job/692049</v>
      </c>
      <c r="AP227" s="55" t="str">
        <f>IFERROR(__xludf.DUMMYFUNCTION("""COMPUTED_VALUE"""),"56 likes | MISFIT: Strong organic signal (score 70.7, 18.6% 6-sec) but only $80.19 spent — content was under-invested in ads.")</f>
        <v>56 likes | MISFIT: Strong organic signal (score 70.7, 18.6% 6-sec) but only $80.19 spent — content was under-invested in ads.</v>
      </c>
      <c r="AQ227" s="55" t="str">
        <f>IFERROR(__xludf.DUMMYFUNCTION("""COMPUTED_VALUE"""),"@VAHDAM USA it has such a great taste and helps relieve stress! #vahdam #coffee #ashwagandha #fyppp")</f>
        <v>@VAHDAM USA it has such a great taste and helps relieve stress! #vahdam #coffee #ashwagandha #fyppp</v>
      </c>
      <c r="AR227" s="55" t="str">
        <f>IFERROR(__xludf.DUMMYFUNCTION("""COMPUTED_VALUE"""),"y'all, if you haven't tried this ashwagandha coffee, you need to try.")</f>
        <v>y'all, if you haven't tried this ashwagandha coffee, you need to try.</v>
      </c>
      <c r="AS227" s="55" t="str">
        <f>IFERROR(__xludf.DUMMYFUNCTION("""COMPUTED_VALUE"""),"Call-Out / If You")</f>
        <v>Call-Out / If You</v>
      </c>
      <c r="AT227" s="55" t="str">
        <f>IFERROR(__xludf.DUMMYFUNCTION("""COMPUTED_VALUE"""),"• In this ashwagandha coffee, it contains turmeric, limes, main and other ingredients that helps calm your nerves and relax.
• And it's just all over.")</f>
        <v>• In this ashwagandha coffee, it contains turmeric, limes, main and other ingredients that helps calm your nerves and relax.
• And it's just all over.</v>
      </c>
      <c r="AU227" s="55" t="str">
        <f>IFERROR(__xludf.DUMMYFUNCTION("""COMPUTED_VALUE"""),"Good for your mental health.")</f>
        <v>Good for your mental health.</v>
      </c>
      <c r="AV227" s="55" t="str">
        <f>IFERROR(__xludf.DUMMYFUNCTION("""COMPUTED_VALUE"""),"Hey, y'all, if you haven't tried this ashwagandha coffee, you need to try. I love this. In this ashwagandha coffee, it contains turmeric, limes, main and other ingredients that helps calm your nerves and relax. And it's just all over. Good for your mental"&amp;" health.")</f>
        <v>Hey, y'all, if you haven't tried this ashwagandha coffee, you need to try. I love this. In this ashwagandha coffee, it contains turmeric, limes, main and other ingredients that helps calm your nerves and relax. And it's just all over. Good for your mental health.</v>
      </c>
      <c r="AW227" s="35"/>
      <c r="AX227" s="35"/>
      <c r="AY227" s="35"/>
      <c r="AZ227" s="35"/>
      <c r="BA227" s="35"/>
      <c r="BB227" s="35"/>
      <c r="BC227" s="35"/>
      <c r="BD227" s="35"/>
      <c r="BE227" s="35"/>
      <c r="BF227" s="35"/>
      <c r="BG227" s="35"/>
    </row>
    <row r="228" ht="15.75" customHeight="1">
      <c r="A228" s="55" t="str">
        <f>IFERROR(__xludf.DUMMYFUNCTION("""COMPUTED_VALUE"""),"Instagram")</f>
        <v>Instagram</v>
      </c>
      <c r="B228" s="56">
        <f>IFERROR(__xludf.DUMMYFUNCTION("""COMPUTED_VALUE"""),46201.0)</f>
        <v>46201</v>
      </c>
      <c r="C228" s="55" t="str">
        <f>IFERROR(__xludf.DUMMYFUNCTION("""COMPUTED_VALUE"""),"June")</f>
        <v>June</v>
      </c>
      <c r="D228" s="58" t="str">
        <f>IFERROR(__xludf.DUMMYFUNCTION("""COMPUTED_VALUE"""),"https://www.instagram.com/reel/DZ7nHd_RKKs/?utm_source=ig_web_copy_link&amp;igsh=NTc4MTIwNjQ2YQ==")</f>
        <v>https://www.instagram.com/reel/DZ7nHd_RKKs/?utm_source=ig_web_copy_link&amp;igsh=NTc4MTIwNjQ2YQ==</v>
      </c>
      <c r="E228" s="55" t="str">
        <f>IFERROR(__xludf.DUMMYFUNCTION("""COMPUTED_VALUE"""),"@softightning")</f>
        <v>@softightning</v>
      </c>
      <c r="F228" s="55" t="str">
        <f>IFERROR(__xludf.DUMMYFUNCTION("""COMPUTED_VALUE"""),"NA")</f>
        <v>NA</v>
      </c>
      <c r="G228" s="55" t="str">
        <f>IFERROR(__xludf.DUMMYFUNCTION("""COMPUTED_VALUE"""),"Over 40/ High Performer")</f>
        <v>Over 40/ High Performer</v>
      </c>
      <c r="H228" s="55">
        <f>IFERROR(__xludf.DUMMYFUNCTION("""COMPUTED_VALUE"""),13.0)</f>
        <v>13</v>
      </c>
      <c r="I228" s="55">
        <f>IFERROR(__xludf.DUMMYFUNCTION("""COMPUTED_VALUE"""),44.0)</f>
        <v>44</v>
      </c>
      <c r="J228" s="55" t="str">
        <f>IFERROR(__xludf.DUMMYFUNCTION("""COMPUTED_VALUE"""),"Yes – Recommend")</f>
        <v>Yes – Recommend</v>
      </c>
      <c r="K228" s="55" t="str">
        <f>IFERROR(__xludf.DUMMYFUNCTION("""COMPUTED_VALUE"""),"Review before running ads")</f>
        <v>Review before running ads</v>
      </c>
      <c r="L228" s="55" t="str">
        <f>IFERROR(__xludf.DUMMYFUNCTION("""COMPUTED_VALUE"""),"Score 44.5 ≥ 20 threshold")</f>
        <v>Score 44.5 ≥ 20 threshold</v>
      </c>
      <c r="M228" s="59" t="str">
        <f>IFERROR(__xludf.DUMMYFUNCTION("""COMPUTED_VALUE"""),"No Ad Data")</f>
        <v>No Ad Data</v>
      </c>
      <c r="N228" s="55"/>
      <c r="O228" s="55"/>
      <c r="P228" s="59">
        <f>IFERROR(__xludf.DUMMYFUNCTION("""COMPUTED_VALUE"""),35249.0)</f>
        <v>35249</v>
      </c>
      <c r="Q228" s="59">
        <f>IFERROR(__xludf.DUMMYFUNCTION("""COMPUTED_VALUE"""),1.0)</f>
        <v>1</v>
      </c>
      <c r="R228" s="59">
        <f>IFERROR(__xludf.DUMMYFUNCTION("""COMPUTED_VALUE"""),5.0)</f>
        <v>5</v>
      </c>
      <c r="S228" s="55"/>
      <c r="T228" s="68">
        <f>IFERROR(__xludf.DUMMYFUNCTION("""COMPUTED_VALUE"""),0.0)</f>
        <v>0</v>
      </c>
      <c r="U228" s="55"/>
      <c r="V228" s="62">
        <f>IFERROR(__xludf.DUMMYFUNCTION("""COMPUTED_VALUE"""),0.0)</f>
        <v>0</v>
      </c>
      <c r="W228" s="63">
        <f>IFERROR(__xludf.DUMMYFUNCTION("""COMPUTED_VALUE"""),117.58)</f>
        <v>117.58</v>
      </c>
      <c r="X228" s="59">
        <f>IFERROR(__xludf.DUMMYFUNCTION("""COMPUTED_VALUE"""),35249.0)</f>
        <v>35249</v>
      </c>
      <c r="Y228" s="59">
        <f>IFERROR(__xludf.DUMMYFUNCTION("""COMPUTED_VALUE"""),1.0)</f>
        <v>1</v>
      </c>
      <c r="Z228" s="59">
        <f>IFERROR(__xludf.DUMMYFUNCTION("""COMPUTED_VALUE"""),5.0)</f>
        <v>5</v>
      </c>
      <c r="AA228" s="59">
        <f>IFERROR(__xludf.DUMMYFUNCTION("""COMPUTED_VALUE"""),0.0)</f>
        <v>0</v>
      </c>
      <c r="AB228" s="64">
        <f>IFERROR(__xludf.DUMMYFUNCTION("""COMPUTED_VALUE"""),0.0)</f>
        <v>0</v>
      </c>
      <c r="AC228" s="62">
        <f>IFERROR(__xludf.DUMMYFUNCTION("""COMPUTED_VALUE"""),0.0)</f>
        <v>0</v>
      </c>
      <c r="AD228" s="62">
        <f>IFERROR(__xludf.DUMMYFUNCTION("""COMPUTED_VALUE"""),0.0)</f>
        <v>0</v>
      </c>
      <c r="AE228" s="62">
        <f>IFERROR(__xludf.DUMMYFUNCTION("""COMPUTED_VALUE"""),0.0)</f>
        <v>0</v>
      </c>
      <c r="AF228" s="55"/>
      <c r="AG228" s="55"/>
      <c r="AH228" s="55"/>
      <c r="AI228" s="55"/>
      <c r="AJ228" s="55"/>
      <c r="AK228" s="55"/>
      <c r="AL228" s="55"/>
      <c r="AM228" s="55" t="str">
        <f>IFERROR(__xludf.DUMMYFUNCTION("""COMPUTED_VALUE"""),"NA")</f>
        <v>NA</v>
      </c>
      <c r="AN228" s="55"/>
      <c r="AO228" s="55" t="str">
        <f>IFERROR(__xludf.DUMMYFUNCTION("""COMPUTED_VALUE"""),"NA")</f>
        <v>NA</v>
      </c>
      <c r="AP228" s="55" t="str">
        <f>IFERROR(__xludf.DUMMYFUNCTION("""COMPUTED_VALUE"""),"[IG Outlier — excluded from avg]")</f>
        <v>[IG Outlier — excluded from avg]</v>
      </c>
      <c r="AQ228" s="55" t="str">
        <f>IFERROR(__xludf.DUMMYFUNCTION("""COMPUTED_VALUE"""),"Daily coffee, upgraded with Ashwagandha âœ¨ Now available at Target. A perfect balance of calm focus and natural energy in every cup. @vahdamusa @target #ad")</f>
        <v>Daily coffee, upgraded with Ashwagandha âœ¨ Now available at Target. A perfect balance of calm focus and natural energy in every cup. @vahdamusa @target #ad</v>
      </c>
      <c r="AR228" s="55" t="str">
        <f>IFERROR(__xludf.DUMMYFUNCTION("""COMPUTED_VALUE"""),"I found Vada Maspaganda Coffee at Target and I am obsessed.")</f>
        <v>I found Vada Maspaganda Coffee at Target and I am obsessed.</v>
      </c>
      <c r="AS228" s="55" t="str">
        <f>IFERROR(__xludf.DUMMYFUNCTION("""COMPUTED_VALUE"""),"Personal Discovery")</f>
        <v>Personal Discovery</v>
      </c>
      <c r="AT228" s="55" t="str">
        <f>IFERROR(__xludf.DUMMYFUNCTION("""COMPUTED_VALUE"""),"• It's made with ashpaganda and other runnest ingredients that help support calm, steady energy.
• I found Vada Maspaganda Coffee at Target and I am obsessed.")</f>
        <v>• It's made with ashpaganda and other runnest ingredients that help support calm, steady energy.
• I found Vada Maspaganda Coffee at Target and I am obsessed.</v>
      </c>
      <c r="AU228" s="55" t="str">
        <f>IFERROR(__xludf.DUMMYFUNCTION("""COMPUTED_VALUE"""),"It's made with ashpaganda and other runnest ingredients that help support calm, steady energy.")</f>
        <v>It's made with ashpaganda and other runnest ingredients that help support calm, steady energy.</v>
      </c>
      <c r="AV228" s="55" t="str">
        <f>IFERROR(__xludf.DUMMYFUNCTION("""COMPUTED_VALUE"""),"I found Vada Maspaganda Coffee at Target and I am obsessed. It's made with ashpaganda and other runnest ingredients that help support calm, steady energy.")</f>
        <v>I found Vada Maspaganda Coffee at Target and I am obsessed. It's made with ashpaganda and other runnest ingredients that help support calm, steady energy.</v>
      </c>
      <c r="AW228" s="35"/>
      <c r="AX228" s="35"/>
      <c r="AY228" s="35"/>
      <c r="AZ228" s="35"/>
      <c r="BA228" s="35"/>
      <c r="BB228" s="35"/>
      <c r="BC228" s="35"/>
      <c r="BD228" s="35"/>
      <c r="BE228" s="35"/>
      <c r="BF228" s="35"/>
      <c r="BG228" s="35"/>
    </row>
    <row r="229" ht="15.75" customHeight="1">
      <c r="A229" s="55" t="str">
        <f>IFERROR(__xludf.DUMMYFUNCTION("""COMPUTED_VALUE"""),"Instagram")</f>
        <v>Instagram</v>
      </c>
      <c r="B229" s="56">
        <f>IFERROR(__xludf.DUMMYFUNCTION("""COMPUTED_VALUE"""),46199.0)</f>
        <v>46199</v>
      </c>
      <c r="C229" s="55" t="str">
        <f>IFERROR(__xludf.DUMMYFUNCTION("""COMPUTED_VALUE"""),"June")</f>
        <v>June</v>
      </c>
      <c r="D229" s="58" t="str">
        <f>IFERROR(__xludf.DUMMYFUNCTION("""COMPUTED_VALUE"""),"https://www.instagram.com/reel/DaAnDS0RGcp/")</f>
        <v>https://www.instagram.com/reel/DaAnDS0RGcp/</v>
      </c>
      <c r="E229" s="55" t="str">
        <f>IFERROR(__xludf.DUMMYFUNCTION("""COMPUTED_VALUE"""),"@na")</f>
        <v>@na</v>
      </c>
      <c r="F229" s="55" t="str">
        <f>IFERROR(__xludf.DUMMYFUNCTION("""COMPUTED_VALUE"""),"NA")</f>
        <v>NA</v>
      </c>
      <c r="G229" s="55" t="str">
        <f>IFERROR(__xludf.DUMMYFUNCTION("""COMPUTED_VALUE"""),"Target Shelf Showdown")</f>
        <v>Target Shelf Showdown</v>
      </c>
      <c r="H229" s="55">
        <f>IFERROR(__xludf.DUMMYFUNCTION("""COMPUTED_VALUE"""),15.0)</f>
        <v>15</v>
      </c>
      <c r="I229" s="55">
        <f>IFERROR(__xludf.DUMMYFUNCTION("""COMPUTED_VALUE"""),45.9)</f>
        <v>45.9</v>
      </c>
      <c r="J229" s="55" t="str">
        <f>IFERROR(__xludf.DUMMYFUNCTION("""COMPUTED_VALUE"""),"Yes – Recommend")</f>
        <v>Yes – Recommend</v>
      </c>
      <c r="K229" s="55" t="str">
        <f>IFERROR(__xludf.DUMMYFUNCTION("""COMPUTED_VALUE"""),"No")</f>
        <v>No</v>
      </c>
      <c r="L229" s="55" t="str">
        <f>IFERROR(__xludf.DUMMYFUNCTION("""COMPUTED_VALUE"""),"Score 46.4 ≥ 20 threshold")</f>
        <v>Score 46.4 ≥ 20 threshold</v>
      </c>
      <c r="M229" s="59" t="str">
        <f>IFERROR(__xludf.DUMMYFUNCTION("""COMPUTED_VALUE"""),"No Ad Data")</f>
        <v>No Ad Data</v>
      </c>
      <c r="N229" s="59" t="str">
        <f>IFERROR(__xludf.DUMMYFUNCTION("""COMPUTED_VALUE"""),"Skip-bg too loud")</f>
        <v>Skip-bg too loud</v>
      </c>
      <c r="O229" s="55"/>
      <c r="P229" s="59">
        <f>IFERROR(__xludf.DUMMYFUNCTION("""COMPUTED_VALUE"""),34000.0)</f>
        <v>34000</v>
      </c>
      <c r="Q229" s="59">
        <f>IFERROR(__xludf.DUMMYFUNCTION("""COMPUTED_VALUE"""),1.0)</f>
        <v>1</v>
      </c>
      <c r="R229" s="59">
        <f>IFERROR(__xludf.DUMMYFUNCTION("""COMPUTED_VALUE"""),10.0)</f>
        <v>10</v>
      </c>
      <c r="S229" s="55"/>
      <c r="T229" s="68">
        <f>IFERROR(__xludf.DUMMYFUNCTION("""COMPUTED_VALUE"""),0.0)</f>
        <v>0</v>
      </c>
      <c r="U229" s="55"/>
      <c r="V229" s="62">
        <f>IFERROR(__xludf.DUMMYFUNCTION("""COMPUTED_VALUE"""),0.0)</f>
        <v>0</v>
      </c>
      <c r="W229" s="63">
        <f>IFERROR(__xludf.DUMMYFUNCTION("""COMPUTED_VALUE"""),72.99)</f>
        <v>72.99</v>
      </c>
      <c r="X229" s="59">
        <f>IFERROR(__xludf.DUMMYFUNCTION("""COMPUTED_VALUE"""),34000.0)</f>
        <v>34000</v>
      </c>
      <c r="Y229" s="59">
        <f>IFERROR(__xludf.DUMMYFUNCTION("""COMPUTED_VALUE"""),1.0)</f>
        <v>1</v>
      </c>
      <c r="Z229" s="59">
        <f>IFERROR(__xludf.DUMMYFUNCTION("""COMPUTED_VALUE"""),10.0)</f>
        <v>10</v>
      </c>
      <c r="AA229" s="59">
        <f>IFERROR(__xludf.DUMMYFUNCTION("""COMPUTED_VALUE"""),0.0)</f>
        <v>0</v>
      </c>
      <c r="AB229" s="64">
        <f>IFERROR(__xludf.DUMMYFUNCTION("""COMPUTED_VALUE"""),0.0)</f>
        <v>0</v>
      </c>
      <c r="AC229" s="62">
        <f>IFERROR(__xludf.DUMMYFUNCTION("""COMPUTED_VALUE"""),0.0)</f>
        <v>0</v>
      </c>
      <c r="AD229" s="62">
        <f>IFERROR(__xludf.DUMMYFUNCTION("""COMPUTED_VALUE"""),0.0)</f>
        <v>0</v>
      </c>
      <c r="AE229" s="62">
        <f>IFERROR(__xludf.DUMMYFUNCTION("""COMPUTED_VALUE"""),0.0)</f>
        <v>0</v>
      </c>
      <c r="AF229" s="55"/>
      <c r="AG229" s="55"/>
      <c r="AH229" s="55"/>
      <c r="AI229" s="55"/>
      <c r="AJ229" s="55"/>
      <c r="AK229" s="55"/>
      <c r="AL229" s="55"/>
      <c r="AM229" s="55" t="str">
        <f>IFERROR(__xludf.DUMMYFUNCTION("""COMPUTED_VALUE"""),"NA")</f>
        <v>NA</v>
      </c>
      <c r="AN229" s="55"/>
      <c r="AO229" s="55" t="str">
        <f>IFERROR(__xludf.DUMMYFUNCTION("""COMPUTED_VALUE"""),"NA")</f>
        <v>NA</v>
      </c>
      <c r="AP229" s="55" t="str">
        <f>IFERROR(__xludf.DUMMYFUNCTION("""COMPUTED_VALUE"""),"[IG Outlier — excluded from avg]")</f>
        <v>[IG Outlier — excluded from avg]</v>
      </c>
      <c r="AQ229" s="55" t="str">
        <f>IFERROR(__xludf.DUMMYFUNCTION("""COMPUTED_VALUE"""),"NA")</f>
        <v>NA</v>
      </c>
      <c r="AR229" s="55" t="str">
        <f>IFERROR(__xludf.DUMMYFUNCTION("""COMPUTED_VALUE"""),"I've been enjoying ashwagandha as part of my daily routine.")</f>
        <v>I've been enjoying ashwagandha as part of my daily routine.</v>
      </c>
      <c r="AS229" s="55" t="str">
        <f>IFERROR(__xludf.DUMMYFUNCTION("""COMPUTED_VALUE"""),"General / Lifestyle")</f>
        <v>General / Lifestyle</v>
      </c>
      <c r="AT229" s="55" t="str">
        <f>IFERROR(__xludf.DUMMYFUNCTION("""COMPUTED_VALUE"""),"• It is an easy and convenient way to support everyday wellness and help me stay balanced throughout the day.")</f>
        <v>• It is an easy and convenient way to support everyday wellness and help me stay balanced throughout the day.</v>
      </c>
      <c r="AU229" s="55" t="str">
        <f>IFERROR(__xludf.DUMMYFUNCTION("""COMPUTED_VALUE"""),"Definitely a great addition to my self-care routine.")</f>
        <v>Definitely a great addition to my self-care routine.</v>
      </c>
      <c r="AV229" s="55" t="str">
        <f>IFERROR(__xludf.DUMMYFUNCTION("""COMPUTED_VALUE"""),"I've been enjoying ashwagandha as part of my daily routine. It is an easy and convenient way to support everyday wellness and help me stay balanced throughout the day. Definitely a great addition to my self-care routine.")</f>
        <v>I've been enjoying ashwagandha as part of my daily routine. It is an easy and convenient way to support everyday wellness and help me stay balanced throughout the day. Definitely a great addition to my self-care routine.</v>
      </c>
      <c r="AW229" s="35"/>
      <c r="AX229" s="35"/>
      <c r="AY229" s="35"/>
      <c r="AZ229" s="35"/>
      <c r="BA229" s="35"/>
      <c r="BB229" s="35"/>
      <c r="BC229" s="35"/>
      <c r="BD229" s="35"/>
      <c r="BE229" s="35"/>
      <c r="BF229" s="35"/>
      <c r="BG229" s="35"/>
    </row>
    <row r="230" ht="15.75" customHeight="1">
      <c r="A230" s="55" t="str">
        <f>IFERROR(__xludf.DUMMYFUNCTION("""COMPUTED_VALUE"""),"Tiktok")</f>
        <v>Tiktok</v>
      </c>
      <c r="B230" s="56">
        <f>IFERROR(__xludf.DUMMYFUNCTION("""COMPUTED_VALUE"""),46192.0)</f>
        <v>46192</v>
      </c>
      <c r="C230" s="55" t="str">
        <f>IFERROR(__xludf.DUMMYFUNCTION("""COMPUTED_VALUE"""),"June")</f>
        <v>June</v>
      </c>
      <c r="D230" s="58" t="str">
        <f>IFERROR(__xludf.DUMMYFUNCTION("""COMPUTED_VALUE"""),"https://www.tiktok.com/@brandedugc/video/7653135997743402271")</f>
        <v>https://www.tiktok.com/@brandedugc/video/7653135997743402271</v>
      </c>
      <c r="E230" s="55" t="str">
        <f>IFERROR(__xludf.DUMMYFUNCTION("""COMPUTED_VALUE"""),"@brandedugc")</f>
        <v>@brandedugc</v>
      </c>
      <c r="F230" s="55" t="str">
        <f>IFERROR(__xludf.DUMMYFUNCTION("""COMPUTED_VALUE"""),"Elizabeth Pat")</f>
        <v>Elizabeth Pat</v>
      </c>
      <c r="G230" s="55" t="str">
        <f>IFERROR(__xludf.DUMMYFUNCTION("""COMPUTED_VALUE"""),"Over 40/ High Performer")</f>
        <v>Over 40/ High Performer</v>
      </c>
      <c r="H230" s="55">
        <f>IFERROR(__xludf.DUMMYFUNCTION("""COMPUTED_VALUE"""),48.0)</f>
        <v>48</v>
      </c>
      <c r="I230" s="55">
        <f>IFERROR(__xludf.DUMMYFUNCTION("""COMPUTED_VALUE"""),42.0)</f>
        <v>42</v>
      </c>
      <c r="J230" s="55" t="str">
        <f>IFERROR(__xludf.DUMMYFUNCTION("""COMPUTED_VALUE"""),"Yes – Recommend")</f>
        <v>Yes – Recommend</v>
      </c>
      <c r="K230" s="55" t="str">
        <f>IFERROR(__xludf.DUMMYFUNCTION("""COMPUTED_VALUE"""),"Yes")</f>
        <v>Yes</v>
      </c>
      <c r="L230" s="55" t="str">
        <f>IFERROR(__xludf.DUMMYFUNCTION("""COMPUTED_VALUE"""),"Score 34.3 ≥ 30; 6-sec 27.6% ≥ 25%")</f>
        <v>Score 34.3 ≥ 30; 6-sec 27.6% ≥ 25%</v>
      </c>
      <c r="M230" s="59" t="str">
        <f>IFERROR(__xludf.DUMMYFUNCTION("""COMPUTED_VALUE"""),"Algorithm spent low")</f>
        <v>Algorithm spent low</v>
      </c>
      <c r="N230" s="55"/>
      <c r="O230" s="55"/>
      <c r="P230" s="59">
        <f>IFERROR(__xludf.DUMMYFUNCTION("""COMPUTED_VALUE"""),163.0)</f>
        <v>163</v>
      </c>
      <c r="Q230" s="59">
        <f>IFERROR(__xludf.DUMMYFUNCTION("""COMPUTED_VALUE"""),9.0)</f>
        <v>9</v>
      </c>
      <c r="R230" s="59">
        <f>IFERROR(__xludf.DUMMYFUNCTION("""COMPUTED_VALUE"""),0.0)</f>
        <v>0</v>
      </c>
      <c r="S230" s="55"/>
      <c r="T230" s="68">
        <f>IFERROR(__xludf.DUMMYFUNCTION("""COMPUTED_VALUE"""),27.6)</f>
        <v>27.6</v>
      </c>
      <c r="U230" s="55"/>
      <c r="V230" s="62">
        <f>IFERROR(__xludf.DUMMYFUNCTION("""COMPUTED_VALUE"""),0.0552)</f>
        <v>0.0552</v>
      </c>
      <c r="W230" s="63">
        <f>IFERROR(__xludf.DUMMYFUNCTION("""COMPUTED_VALUE"""),117.58)</f>
        <v>117.58</v>
      </c>
      <c r="X230" s="59">
        <f>IFERROR(__xludf.DUMMYFUNCTION("""COMPUTED_VALUE"""),19160.0)</f>
        <v>19160</v>
      </c>
      <c r="Y230" s="59">
        <f>IFERROR(__xludf.DUMMYFUNCTION("""COMPUTED_VALUE"""),20.0)</f>
        <v>20</v>
      </c>
      <c r="Z230" s="59">
        <f>IFERROR(__xludf.DUMMYFUNCTION("""COMPUTED_VALUE"""),0.0)</f>
        <v>0</v>
      </c>
      <c r="AA230" s="59">
        <f>IFERROR(__xludf.DUMMYFUNCTION("""COMPUTED_VALUE"""),5.0)</f>
        <v>5</v>
      </c>
      <c r="AB230" s="64">
        <f>IFERROR(__xludf.DUMMYFUNCTION("""COMPUTED_VALUE"""),2.0)</f>
        <v>2</v>
      </c>
      <c r="AC230" s="62">
        <f>IFERROR(__xludf.DUMMYFUNCTION("""COMPUTED_VALUE"""),0.13)</f>
        <v>0.13</v>
      </c>
      <c r="AD230" s="62">
        <f>IFERROR(__xludf.DUMMYFUNCTION("""COMPUTED_VALUE"""),14.1)</f>
        <v>14.1</v>
      </c>
      <c r="AE230" s="62">
        <f>IFERROR(__xludf.DUMMYFUNCTION("""COMPUTED_VALUE"""),3.7)</f>
        <v>3.7</v>
      </c>
      <c r="AF230" s="55" t="str">
        <f>IFERROR(__xludf.DUMMYFUNCTION("""COMPUTED_VALUE"""),"Yes")</f>
        <v>Yes</v>
      </c>
      <c r="AG230" s="63">
        <f>IFERROR(__xludf.DUMMYFUNCTION("""COMPUTED_VALUE"""),34.53)</f>
        <v>34.53</v>
      </c>
      <c r="AH230" s="59">
        <f>IFERROR(__xludf.DUMMYFUNCTION("""COMPUTED_VALUE"""),11436.0)</f>
        <v>11436</v>
      </c>
      <c r="AI230" s="55"/>
      <c r="AJ230" s="59">
        <f>IFERROR(__xludf.DUMMYFUNCTION("""COMPUTED_VALUE"""),68.0)</f>
        <v>68</v>
      </c>
      <c r="AK230" s="62">
        <f>IFERROR(__xludf.DUMMYFUNCTION("""COMPUTED_VALUE"""),0.5946)</f>
        <v>0.5946</v>
      </c>
      <c r="AL230" s="65">
        <f>IFERROR(__xludf.DUMMYFUNCTION("""COMPUTED_VALUE"""),0.508)</f>
        <v>0.508</v>
      </c>
      <c r="AM230" s="55" t="str">
        <f>IFERROR(__xludf.DUMMYFUNCTION("""COMPUTED_VALUE"""),"#IGZnfzMEXBqCrCCpmy5/jiw+ZUfk3lyG+g1T0rtBvg/fduaaq+3kn6hPzjLrkiA=")</f>
        <v>#IGZnfzMEXBqCrCCpmy5/jiw+ZUfk3lyG+g1T0rtBvg/fduaaq+3kn6hPzjLrkiA=</v>
      </c>
      <c r="AN230" s="55"/>
      <c r="AO230" s="58" t="str">
        <f>IFERROR(__xludf.DUMMYFUNCTION("""COMPUTED_VALUE"""),"https://us.brand.joinbrands.com/job/690415")</f>
        <v>https://us.brand.joinbrands.com/job/690415</v>
      </c>
      <c r="AP230" s="55" t="str">
        <f>IFERROR(__xludf.DUMMYFUNCTION("""COMPUTED_VALUE"""),"NA | MISFIT: Strong organic signal (score 44.2, 27.6% 6-sec) but only $34.53 spent — content was under-invested in ads.")</f>
        <v>NA | MISFIT: Strong organic signal (score 44.2, 27.6% 6-sec) but only $34.53 spent — content was under-invested in ads.</v>
      </c>
      <c r="AQ230" s="55" t="str">
        <f>IFERROR(__xludf.DUMMYFUNCTION("""COMPUTED_VALUE"""),"If coffee has been hitting differently lately, you might want to try this. I've been enjoying VAHDAMÂ® Ashwagandha Coffee for a calmer, more balanced start to my mornings. Found it at Target. âœ¨...")</f>
        <v>If coffee has been hitting differently lately, you might want to try this. I've been enjoying VAHDAMÂ® Ashwagandha Coffee for a calmer, more balanced start to my mornings. Found it at Target. âœ¨...</v>
      </c>
      <c r="AR230" s="55" t="str">
        <f>IFERROR(__xludf.DUMMYFUNCTION("""COMPUTED_VALUE"""),"Has anyone else noticed that after 40, coffee hits different?")</f>
        <v>Has anyone else noticed that after 40, coffee hits different?</v>
      </c>
      <c r="AS230" s="55" t="str">
        <f>IFERROR(__xludf.DUMMYFUNCTION("""COMPUTED_VALUE"""),"Age / Life Stage")</f>
        <v>Age / Life Stage</v>
      </c>
      <c r="AT230" s="55" t="str">
        <f>IFERROR(__xludf.DUMMYFUNCTION("""COMPUTED_VALUE"""),"• It's actually real coffee, but upgraded with wellness ingredients like ashwagandha, l theanine, turmeric, and functional mushrooms all in one cup.
• I mean, don't get me wrong, I still want my morning coffee, but I don't want the jitters, the energy cra"&amp;"sh, or feeling stressed before my day even starts.
• So when I saw Badam Ashwagandha coffee at target, I got curious.
• What I love is that it's not trying to replace coffee.")</f>
        <v>• It's actually real coffee, but upgraded with wellness ingredients like ashwagandha, l theanine, turmeric, and functional mushrooms all in one cup.
• I mean, don't get me wrong, I still want my morning coffee, but I don't want the jitters, the energy crash, or feeling stressed before my day even starts.
• So when I saw Badam Ashwagandha coffee at target, I got curious.
• What I love is that it's not trying to replace coffee.</v>
      </c>
      <c r="AU230" s="55" t="str">
        <f>IFERROR(__xludf.DUMMYFUNCTION("""COMPUTED_VALUE"""),"If you're looking for a simple wellness swab that fits into your morning routine, you can find Vadam Ashawandha coffee at target stores nationwide or target com.")</f>
        <v>If you're looking for a simple wellness swab that fits into your morning routine, you can find Vadam Ashawandha coffee at target stores nationwide or target com.</v>
      </c>
      <c r="AV230" s="55" t="str">
        <f>IFERROR(__xludf.DUMMYFUNCTION("""COMPUTED_VALUE"""),"Has anyone else noticed that after 40, coffee hits different? I mean, don't get me wrong, I still want my morning coffee, but I don't want the jitters, the energy crash, or feeling stressed before my day even starts. So when I saw Badam Ashwagandha coffee"&amp;" at target, I got curious. What I love is that it's not trying to replace coffee. It's actually real coffee, but upgraded with wellness ingredients like ashwagandha, l theanine, turmeric, and functional mushrooms all in one cup. And honestly, the biggest "&amp;"difference I've noticed is how the energy feels. I still get the morning boost I love, but it feels calmer and more balanced. No jitters, no afternoon crash, just steady energy that helps me get through my day. If you're looking for a simple wellness swab"&amp;" that fits into your morning routine, you can find Vadam Ashawandha coffee at target stores nationwide or target com.")</f>
        <v>Has anyone else noticed that after 40, coffee hits different? I mean, don't get me wrong, I still want my morning coffee, but I don't want the jitters, the energy crash, or feeling stressed before my day even starts. So when I saw Badam Ashwagandha coffee at target, I got curious. What I love is that it's not trying to replace coffee. It's actually real coffee, but upgraded with wellness ingredients like ashwagandha, l theanine, turmeric, and functional mushrooms all in one cup. And honestly, the biggest difference I've noticed is how the energy feels. I still get the morning boost I love, but it feels calmer and more balanced. No jitters, no afternoon crash, just steady energy that helps me get through my day. If you're looking for a simple wellness swab that fits into your morning routine, you can find Vadam Ashawandha coffee at target stores nationwide or target com.</v>
      </c>
      <c r="AW230" s="35"/>
      <c r="AX230" s="35"/>
      <c r="AY230" s="35"/>
      <c r="AZ230" s="35"/>
      <c r="BA230" s="35"/>
      <c r="BB230" s="35"/>
      <c r="BC230" s="35"/>
      <c r="BD230" s="35"/>
      <c r="BE230" s="35"/>
      <c r="BF230" s="35"/>
      <c r="BG230" s="35"/>
    </row>
    <row r="231" ht="15.75" customHeight="1">
      <c r="A231" s="55" t="str">
        <f>IFERROR(__xludf.DUMMYFUNCTION("""COMPUTED_VALUE"""),"Tiktok")</f>
        <v>Tiktok</v>
      </c>
      <c r="B231" s="56">
        <f>IFERROR(__xludf.DUMMYFUNCTION("""COMPUTED_VALUE"""),46191.0)</f>
        <v>46191</v>
      </c>
      <c r="C231" s="55" t="str">
        <f>IFERROR(__xludf.DUMMYFUNCTION("""COMPUTED_VALUE"""),"June")</f>
        <v>June</v>
      </c>
      <c r="D231" s="58" t="str">
        <f>IFERROR(__xludf.DUMMYFUNCTION("""COMPUTED_VALUE"""),"https://www.tiktok.com/@mama_sparks19/video/7652798064142470430")</f>
        <v>https://www.tiktok.com/@mama_sparks19/video/7652798064142470430</v>
      </c>
      <c r="E231" s="55" t="str">
        <f>IFERROR(__xludf.DUMMYFUNCTION("""COMPUTED_VALUE"""),"@mama_sparks19")</f>
        <v>@mama_sparks19</v>
      </c>
      <c r="F231" s="55" t="str">
        <f>IFERROR(__xludf.DUMMYFUNCTION("""COMPUTED_VALUE"""),"Tanya Stark")</f>
        <v>Tanya Stark</v>
      </c>
      <c r="G231" s="55" t="str">
        <f>IFERROR(__xludf.DUMMYFUNCTION("""COMPUTED_VALUE"""),"Cortisol")</f>
        <v>Cortisol</v>
      </c>
      <c r="H231" s="55">
        <f>IFERROR(__xludf.DUMMYFUNCTION("""COMPUTED_VALUE"""),103.0)</f>
        <v>103</v>
      </c>
      <c r="I231" s="55">
        <f>IFERROR(__xludf.DUMMYFUNCTION("""COMPUTED_VALUE"""),55.4)</f>
        <v>55.4</v>
      </c>
      <c r="J231" s="55" t="str">
        <f>IFERROR(__xludf.DUMMYFUNCTION("""COMPUTED_VALUE"""),"Yes – Recommend")</f>
        <v>Yes – Recommend</v>
      </c>
      <c r="K231" s="55" t="str">
        <f>IFERROR(__xludf.DUMMYFUNCTION("""COMPUTED_VALUE"""),"Yes")</f>
        <v>Yes</v>
      </c>
      <c r="L231" s="55" t="str">
        <f>IFERROR(__xludf.DUMMYFUNCTION("""COMPUTED_VALUE"""),"Score 39.3 | 6-sec 15.0% — Yes threshold met")</f>
        <v>Score 39.3 | 6-sec 15.0% — Yes threshold met</v>
      </c>
      <c r="M231" s="59" t="str">
        <f>IFERROR(__xludf.DUMMYFUNCTION("""COMPUTED_VALUE"""),"Logic Fit ✓")</f>
        <v>Logic Fit ✓</v>
      </c>
      <c r="N231" s="55"/>
      <c r="O231" s="55"/>
      <c r="P231" s="59">
        <f>IFERROR(__xludf.DUMMYFUNCTION("""COMPUTED_VALUE"""),450.0)</f>
        <v>450</v>
      </c>
      <c r="Q231" s="59">
        <f>IFERROR(__xludf.DUMMYFUNCTION("""COMPUTED_VALUE"""),12.0)</f>
        <v>12</v>
      </c>
      <c r="R231" s="59">
        <f>IFERROR(__xludf.DUMMYFUNCTION("""COMPUTED_VALUE"""),0.0)</f>
        <v>0</v>
      </c>
      <c r="S231" s="55"/>
      <c r="T231" s="68">
        <f>IFERROR(__xludf.DUMMYFUNCTION("""COMPUTED_VALUE"""),15.0)</f>
        <v>15</v>
      </c>
      <c r="U231" s="55"/>
      <c r="V231" s="62">
        <f>IFERROR(__xludf.DUMMYFUNCTION("""COMPUTED_VALUE"""),0.0)</f>
        <v>0</v>
      </c>
      <c r="W231" s="63">
        <f>IFERROR(__xludf.DUMMYFUNCTION("""COMPUTED_VALUE"""),117.58)</f>
        <v>117.58</v>
      </c>
      <c r="X231" s="59">
        <f>IFERROR(__xludf.DUMMYFUNCTION("""COMPUTED_VALUE"""),16822.0)</f>
        <v>16822</v>
      </c>
      <c r="Y231" s="59">
        <f>IFERROR(__xludf.DUMMYFUNCTION("""COMPUTED_VALUE"""),116.0)</f>
        <v>116</v>
      </c>
      <c r="Z231" s="59">
        <f>IFERROR(__xludf.DUMMYFUNCTION("""COMPUTED_VALUE"""),3.0)</f>
        <v>3</v>
      </c>
      <c r="AA231" s="59">
        <f>IFERROR(__xludf.DUMMYFUNCTION("""COMPUTED_VALUE"""),29.0)</f>
        <v>29</v>
      </c>
      <c r="AB231" s="64">
        <f>IFERROR(__xludf.DUMMYFUNCTION("""COMPUTED_VALUE"""),5.0)</f>
        <v>5</v>
      </c>
      <c r="AC231" s="62">
        <f>IFERROR(__xludf.DUMMYFUNCTION("""COMPUTED_VALUE"""),0.87)</f>
        <v>0.87</v>
      </c>
      <c r="AD231" s="62">
        <f>IFERROR(__xludf.DUMMYFUNCTION("""COMPUTED_VALUE"""),34.0)</f>
        <v>34</v>
      </c>
      <c r="AE231" s="62">
        <f>IFERROR(__xludf.DUMMYFUNCTION("""COMPUTED_VALUE"""),16.7)</f>
        <v>16.7</v>
      </c>
      <c r="AF231" s="55" t="str">
        <f>IFERROR(__xludf.DUMMYFUNCTION("""COMPUTED_VALUE"""),"Yes")</f>
        <v>Yes</v>
      </c>
      <c r="AG231" s="63">
        <f>IFERROR(__xludf.DUMMYFUNCTION("""COMPUTED_VALUE"""),230.61)</f>
        <v>230.61</v>
      </c>
      <c r="AH231" s="59">
        <f>IFERROR(__xludf.DUMMYFUNCTION("""COMPUTED_VALUE"""),15607.0)</f>
        <v>15607</v>
      </c>
      <c r="AI231" s="55"/>
      <c r="AJ231" s="59">
        <f>IFERROR(__xludf.DUMMYFUNCTION("""COMPUTED_VALUE"""),536.0)</f>
        <v>536</v>
      </c>
      <c r="AK231" s="62">
        <f>IFERROR(__xludf.DUMMYFUNCTION("""COMPUTED_VALUE"""),3.4344)</f>
        <v>3.4344</v>
      </c>
      <c r="AL231" s="65">
        <f>IFERROR(__xludf.DUMMYFUNCTION("""COMPUTED_VALUE"""),0.43)</f>
        <v>0.43</v>
      </c>
      <c r="AM231" s="55" t="str">
        <f>IFERROR(__xludf.DUMMYFUNCTION("""COMPUTED_VALUE"""),"#/iMYb231wzRy+OjOO0NzOhvbLjZExhXVlznGj6DprufIL4u2e9K4CGSN0Rd8xs4=")</f>
        <v>#/iMYb231wzRy+OjOO0NzOhvbLjZExhXVlznGj6DprufIL4u2e9K4CGSN0Rd8xs4=</v>
      </c>
      <c r="AN231" s="55"/>
      <c r="AO231" s="58" t="str">
        <f>IFERROR(__xludf.DUMMYFUNCTION("""COMPUTED_VALUE"""),"https://us.brand.joinbrands.com/job/689764")</f>
        <v>https://us.brand.joinbrands.com/job/689764</v>
      </c>
      <c r="AP231" s="55" t="str">
        <f>IFERROR(__xludf.DUMMYFUNCTION("""COMPUTED_VALUE"""),"NA")</f>
        <v>NA</v>
      </c>
      <c r="AQ231" s="55" t="str">
        <f>IFERROR(__xludf.DUMMYFUNCTION("""COMPUTED_VALUE"""),"Still struggling to lose weight? High cortisol might be working against you. This ashwagandha coffee from @VAHDAM USA with functional mushrooms has become part of my morning routine for calmer...")</f>
        <v>Still struggling to lose weight? High cortisol might be working against you. This ashwagandha coffee from @VAHDAM USA with functional mushrooms has become part of my morning routine for calmer...</v>
      </c>
      <c r="AR231" s="55" t="str">
        <f>IFERROR(__xludf.DUMMYFUNCTION("""COMPUTED_VALUE"""),"High cortisol is why you're gaining weight, craving sugar and crashing at three PM it's not your willpower.")</f>
        <v>High cortisol is why you're gaining weight, craving sugar and crashing at three PM it's not your willpower.</v>
      </c>
      <c r="AS231" s="55" t="str">
        <f>IFERROR(__xludf.DUMMYFUNCTION("""COMPUTED_VALUE"""),"Problem / Pain Point")</f>
        <v>Problem / Pain Point</v>
      </c>
      <c r="AT231" s="55" t="str">
        <f>IFERROR(__xludf.DUMMYFUNCTION("""COMPUTED_VALUE"""),"• Instead of taking a bunch of separate supplements, this has premium Arabica coffee plus K SM 66 ashwagandha, turmeric or cumin, L theanine and functional mushrooms like lions mane and chaga.
• Once I hit my 40s, I started noticing the energy crashes, th"&amp;"e stress eating, feeling puffy, and that stubborn weight that seemed way harder to manage.
• It's clinically studied to support stress management and reduce cortisol by 28% in eight weeks.
• This is bottom Ashwagandha coffee.")</f>
        <v>• Instead of taking a bunch of separate supplements, this has premium Arabica coffee plus K SM 66 ashwagandha, turmeric or cumin, L theanine and functional mushrooms like lions mane and chaga.
• Once I hit my 40s, I started noticing the energy crashes, the stress eating, feeling puffy, and that stubborn weight that seemed way harder to manage.
• It's clinically studied to support stress management and reduce cortisol by 28% in eight weeks.
• This is bottom Ashwagandha coffee.</v>
      </c>
      <c r="AU231" s="55" t="str">
        <f>IFERROR(__xludf.DUMMYFUNCTION("""COMPUTED_VALUE"""),"Bottom Ashwagandha coffee is now available at target stores nationwide and on target.com, which made it super easy to find.")</f>
        <v>Bottom Ashwagandha coffee is now available at target stores nationwide and on target.com, which made it super easy to find.</v>
      </c>
      <c r="AV231" s="55" t="str">
        <f>IFERROR(__xludf.DUMMYFUNCTION("""COMPUTED_VALUE"""),"High cortisol is why you're gaining weight, craving sugar and crashing at three PM it's not your willpower. And honestly, nobody told me that. Once I hit my 40s, I started noticing the energy crashes, the stress eating, feeling puffy, and that stubborn we"&amp;"ight that seemed way harder to manage. So when I found this, I was genuinely intrigued. This is bottom Ashwagandha coffee. It's basically regular coffee upgraded with 5 wellness ingredients in one singular cup. Instead of taking a bunch of separate supple"&amp;"ments, this has premium Arabica coffee plus K SM 66 ashwagandha, turmeric or cumin, L theanine and functional mushrooms like lions mane and chaga. What really caught my attention was the K SM 66 ashwagandha. It's clinically studied to support stress manag"&amp;"ement and reduce cortisol by 28% in eight weeks. And if you're dealing with stressful mornings, menopause changes, cravings, mood swings, or just feeling off balance lately, you probably understand why that matters. The biggest surprise, it actually taste"&amp;"s like delicious regular coffee. Not earthy, not weird, not like a supplement, just really good coffee. And I personally love that. I get calmer energy without the jitters and crashes I used to get from a regular coffee. Bottom Ashwagandha coffee is now a"&amp;"vailable at target stores nationwide and on target.com, which made it super easy to find. Follow along for more simple wellness upgrades that actually fit into real life. Cheers.")</f>
        <v>High cortisol is why you're gaining weight, craving sugar and crashing at three PM it's not your willpower. And honestly, nobody told me that. Once I hit my 40s, I started noticing the energy crashes, the stress eating, feeling puffy, and that stubborn weight that seemed way harder to manage. So when I found this, I was genuinely intrigued. This is bottom Ashwagandha coffee. It's basically regular coffee upgraded with 5 wellness ingredients in one singular cup. Instead of taking a bunch of separate supplements, this has premium Arabica coffee plus K SM 66 ashwagandha, turmeric or cumin, L theanine and functional mushrooms like lions mane and chaga. What really caught my attention was the K SM 66 ashwagandha. It's clinically studied to support stress management and reduce cortisol by 28% in eight weeks. And if you're dealing with stressful mornings, menopause changes, cravings, mood swings, or just feeling off balance lately, you probably understand why that matters. The biggest surprise, it actually tastes like delicious regular coffee. Not earthy, not weird, not like a supplement, just really good coffee. And I personally love that. I get calmer energy without the jitters and crashes I used to get from a regular coffee. Bottom Ashwagandha coffee is now available at target stores nationwide and on target.com, which made it super easy to find. Follow along for more simple wellness upgrades that actually fit into real life. Cheers.</v>
      </c>
      <c r="AW231" s="35"/>
      <c r="AX231" s="35"/>
      <c r="AY231" s="35"/>
      <c r="AZ231" s="35"/>
      <c r="BA231" s="35"/>
      <c r="BB231" s="35"/>
      <c r="BC231" s="35"/>
      <c r="BD231" s="35"/>
      <c r="BE231" s="35"/>
      <c r="BF231" s="35"/>
      <c r="BG231" s="35"/>
    </row>
    <row r="232" ht="15.75" customHeight="1">
      <c r="A232" s="55" t="str">
        <f>IFERROR(__xludf.DUMMYFUNCTION("""COMPUTED_VALUE"""),"Instagram")</f>
        <v>Instagram</v>
      </c>
      <c r="B232" s="56">
        <f>IFERROR(__xludf.DUMMYFUNCTION("""COMPUTED_VALUE"""),46201.0)</f>
        <v>46201</v>
      </c>
      <c r="C232" s="55" t="str">
        <f>IFERROR(__xludf.DUMMYFUNCTION("""COMPUTED_VALUE"""),"June")</f>
        <v>June</v>
      </c>
      <c r="D232" s="58" t="str">
        <f>IFERROR(__xludf.DUMMYFUNCTION("""COMPUTED_VALUE"""),"https://www.instagram.com/reel/DZxw1XxC2ez/")</f>
        <v>https://www.instagram.com/reel/DZxw1XxC2ez/</v>
      </c>
      <c r="E232" s="55" t="str">
        <f>IFERROR(__xludf.DUMMYFUNCTION("""COMPUTED_VALUE"""),"@livingcrazy4u")</f>
        <v>@livingcrazy4u</v>
      </c>
      <c r="F232" s="55" t="str">
        <f>IFERROR(__xludf.DUMMYFUNCTION("""COMPUTED_VALUE"""),"NA")</f>
        <v>NA</v>
      </c>
      <c r="G232" s="55" t="str">
        <f>IFERROR(__xludf.DUMMYFUNCTION("""COMPUTED_VALUE"""),"Taste")</f>
        <v>Taste</v>
      </c>
      <c r="H232" s="55">
        <f>IFERROR(__xludf.DUMMYFUNCTION("""COMPUTED_VALUE"""),25.0)</f>
        <v>25</v>
      </c>
      <c r="I232" s="55">
        <f>IFERROR(__xludf.DUMMYFUNCTION("""COMPUTED_VALUE"""),73.4)</f>
        <v>73.4</v>
      </c>
      <c r="J232" s="55" t="str">
        <f>IFERROR(__xludf.DUMMYFUNCTION("""COMPUTED_VALUE"""),"Yes – Recommend")</f>
        <v>Yes – Recommend</v>
      </c>
      <c r="K232" s="55" t="str">
        <f>IFERROR(__xludf.DUMMYFUNCTION("""COMPUTED_VALUE"""),"Yes")</f>
        <v>Yes</v>
      </c>
      <c r="L232" s="55" t="str">
        <f>IFERROR(__xludf.DUMMYFUNCTION("""COMPUTED_VALUE"""),"Score 76.9 ≥ 20 threshold")</f>
        <v>Score 76.9 ≥ 20 threshold</v>
      </c>
      <c r="M232" s="59" t="str">
        <f>IFERROR(__xludf.DUMMYFUNCTION("""COMPUTED_VALUE"""),"No Ad Data")</f>
        <v>No Ad Data</v>
      </c>
      <c r="N232" s="55" t="str">
        <f>IFERROR(__xludf.DUMMYFUNCTION("""COMPUTED_VALUE"""),"16UGC-Taste-CTA-livingcrazy4u")</f>
        <v>16UGC-Taste-CTA-livingcrazy4u</v>
      </c>
      <c r="O232" s="58" t="str">
        <f>IFERROR(__xludf.DUMMYFUNCTION("""COMPUTED_VALUE"""),"https://buy.vahdam.com/coffee-cta-ugc-taste")</f>
        <v>https://buy.vahdam.com/coffee-cta-ugc-taste</v>
      </c>
      <c r="P232" s="59">
        <f>IFERROR(__xludf.DUMMYFUNCTION("""COMPUTED_VALUE"""),7389.0)</f>
        <v>7389</v>
      </c>
      <c r="Q232" s="59">
        <f>IFERROR(__xludf.DUMMYFUNCTION("""COMPUTED_VALUE"""),156.0)</f>
        <v>156</v>
      </c>
      <c r="R232" s="59">
        <f>IFERROR(__xludf.DUMMYFUNCTION("""COMPUTED_VALUE"""),100.0)</f>
        <v>100</v>
      </c>
      <c r="S232" s="55"/>
      <c r="T232" s="68">
        <f>IFERROR(__xludf.DUMMYFUNCTION("""COMPUTED_VALUE"""),0.0)</f>
        <v>0</v>
      </c>
      <c r="U232" s="55"/>
      <c r="V232" s="62">
        <f>IFERROR(__xludf.DUMMYFUNCTION("""COMPUTED_VALUE"""),0.128)</f>
        <v>0.128</v>
      </c>
      <c r="W232" s="63">
        <f>IFERROR(__xludf.DUMMYFUNCTION("""COMPUTED_VALUE"""),117.58)</f>
        <v>117.58</v>
      </c>
      <c r="X232" s="59">
        <f>IFERROR(__xludf.DUMMYFUNCTION("""COMPUTED_VALUE"""),7389.0)</f>
        <v>7389</v>
      </c>
      <c r="Y232" s="59">
        <f>IFERROR(__xludf.DUMMYFUNCTION("""COMPUTED_VALUE"""),156.0)</f>
        <v>156</v>
      </c>
      <c r="Z232" s="59">
        <f>IFERROR(__xludf.DUMMYFUNCTION("""COMPUTED_VALUE"""),100.0)</f>
        <v>100</v>
      </c>
      <c r="AA232" s="59">
        <f>IFERROR(__xludf.DUMMYFUNCTION("""COMPUTED_VALUE"""),0.0)</f>
        <v>0</v>
      </c>
      <c r="AB232" s="64">
        <f>IFERROR(__xludf.DUMMYFUNCTION("""COMPUTED_VALUE"""),0.0)</f>
        <v>0</v>
      </c>
      <c r="AC232" s="62">
        <f>IFERROR(__xludf.DUMMYFUNCTION("""COMPUTED_VALUE"""),0.128)</f>
        <v>0.128</v>
      </c>
      <c r="AD232" s="62">
        <f>IFERROR(__xludf.DUMMYFUNCTION("""COMPUTED_VALUE"""),0.0)</f>
        <v>0</v>
      </c>
      <c r="AE232" s="62">
        <f>IFERROR(__xludf.DUMMYFUNCTION("""COMPUTED_VALUE"""),0.0)</f>
        <v>0</v>
      </c>
      <c r="AF232" s="55"/>
      <c r="AG232" s="55"/>
      <c r="AH232" s="55"/>
      <c r="AI232" s="55"/>
      <c r="AJ232" s="55"/>
      <c r="AK232" s="55"/>
      <c r="AL232" s="55"/>
      <c r="AM232" s="55" t="str">
        <f>IFERROR(__xludf.DUMMYFUNCTION("""COMPUTED_VALUE"""),"Q9jTBBVproVsZThpStqY6fK_dtl9OU1yNJy12T_YaQ1F4GWm8pH6COr0O4oTVdB5YZA")</f>
        <v>Q9jTBBVproVsZThpStqY6fK_dtl9OU1yNJy12T_YaQ1F4GWm8pH6COr0O4oTVdB5YZA</v>
      </c>
      <c r="AN232" s="55"/>
      <c r="AO232" s="55" t="str">
        <f>IFERROR(__xludf.DUMMYFUNCTION("""COMPUTED_VALUE"""),"NA")</f>
        <v>NA</v>
      </c>
      <c r="AP232" s="55" t="str">
        <f>IFERROR(__xludf.DUMMYFUNCTION("""COMPUTED_VALUE"""),"NA")</f>
        <v>NA</v>
      </c>
      <c r="AQ232" s="55" t="str">
        <f>IFERROR(__xludf.DUMMYFUNCTION("""COMPUTED_VALUE"""),"Coffee is one thing I won't compromise on, so I was curious if this could actually taste like real coffee... and it did. ðŸ¤Ž I've been loving VAHDAMÂ® Ashwagandha Coffee because it gives me a...")</f>
        <v>Coffee is one thing I won't compromise on, so I was curious if this could actually taste like real coffee... and it did. ðŸ¤Ž I've been loving VAHDAMÂ® Ashwagandha Coffee because it gives me a...</v>
      </c>
      <c r="AR232" s="55" t="str">
        <f>IFERROR(__xludf.DUMMYFUNCTION("""COMPUTED_VALUE"""),"Target just dropped a coffee upgrade I didn't expect.")</f>
        <v>Target just dropped a coffee upgrade I didn't expect.</v>
      </c>
      <c r="AS232" s="55" t="str">
        <f>IFERROR(__xludf.DUMMYFUNCTION("""COMPUTED_VALUE"""),"In-Store / Target Discovery")</f>
        <v>In-Store / Target Discovery</v>
      </c>
      <c r="AT232" s="55" t="str">
        <f>IFERROR(__xludf.DUMMYFUNCTION("""COMPUTED_VALUE"""),"• Badan Ashkawanda coffee combines KSM 66 Ashkawanda L-theanine, turmeric and functional mushrooms for calmer, smoother energy.
• If your morning coffee leaves you jittery or crashing after 40, listen to this.
• It actually tastes like delicious regular c"&amp;"offee, not weird health tastes.
• On hot Florida days, I love drinking it over ice.")</f>
        <v>• Badan Ashkawanda coffee combines KSM 66 Ashkawanda L-theanine, turmeric and functional mushrooms for calmer, smoother energy.
• If your morning coffee leaves you jittery or crashing after 40, listen to this.
• It actually tastes like delicious regular coffee, not weird health tastes.
• On hot Florida days, I love drinking it over ice.</v>
      </c>
      <c r="AU232" s="55" t="str">
        <f>IFERROR(__xludf.DUMMYFUNCTION("""COMPUTED_VALUE"""),"Go get yours now on Target.")</f>
        <v>Go get yours now on Target.</v>
      </c>
      <c r="AV232" s="55" t="str">
        <f>IFERROR(__xludf.DUMMYFUNCTION("""COMPUTED_VALUE"""),"Target just dropped a coffee upgrade I didn't expect. If your morning coffee leaves you jittery or crashing after 40, listen to this. Badan Ashkawanda coffee combines KSM 66 Ashkawanda L-theanine, turmeric and functional mushrooms for calmer, smoother ene"&amp;"rgy. It actually tastes like delicious regular coffee, not weird health tastes. On hot Florida days, I love drinking it over ice. It's so refreshing. Go get yours now on Target. Bye!")</f>
        <v>Target just dropped a coffee upgrade I didn't expect. If your morning coffee leaves you jittery or crashing after 40, listen to this. Badan Ashkawanda coffee combines KSM 66 Ashkawanda L-theanine, turmeric and functional mushrooms for calmer, smoother energy. It actually tastes like delicious regular coffee, not weird health tastes. On hot Florida days, I love drinking it over ice. It's so refreshing. Go get yours now on Target. Bye!</v>
      </c>
      <c r="AW232" s="35"/>
      <c r="AX232" s="35"/>
      <c r="AY232" s="35"/>
      <c r="AZ232" s="35"/>
      <c r="BA232" s="35"/>
      <c r="BB232" s="35"/>
      <c r="BC232" s="35"/>
      <c r="BD232" s="35"/>
      <c r="BE232" s="35"/>
      <c r="BF232" s="35"/>
      <c r="BG232" s="35"/>
    </row>
    <row r="233" ht="15.75" customHeight="1">
      <c r="A233" s="55" t="str">
        <f>IFERROR(__xludf.DUMMYFUNCTION("""COMPUTED_VALUE"""),"Tiktok")</f>
        <v>Tiktok</v>
      </c>
      <c r="B233" s="56">
        <f>IFERROR(__xludf.DUMMYFUNCTION("""COMPUTED_VALUE"""),46189.0)</f>
        <v>46189</v>
      </c>
      <c r="C233" s="55" t="str">
        <f>IFERROR(__xludf.DUMMYFUNCTION("""COMPUTED_VALUE"""),"June")</f>
        <v>June</v>
      </c>
      <c r="D233" s="58" t="str">
        <f>IFERROR(__xludf.DUMMYFUNCTION("""COMPUTED_VALUE"""),"https://www.tiktok.com/@reyandmomadventures/video/7652014124540382478")</f>
        <v>https://www.tiktok.com/@reyandmomadventures/video/7652014124540382478</v>
      </c>
      <c r="E233" s="55" t="str">
        <f>IFERROR(__xludf.DUMMYFUNCTION("""COMPUTED_VALUE"""),"@reyandmomadventures")</f>
        <v>@reyandmomadventures</v>
      </c>
      <c r="F233" s="55" t="str">
        <f>IFERROR(__xludf.DUMMYFUNCTION("""COMPUTED_VALUE"""),"Dulce Carranza")</f>
        <v>Dulce Carranza</v>
      </c>
      <c r="G233" s="55" t="str">
        <f>IFERROR(__xludf.DUMMYFUNCTION("""COMPUTED_VALUE"""),"Over 40/ High Performer")</f>
        <v>Over 40/ High Performer</v>
      </c>
      <c r="H233" s="55">
        <f>IFERROR(__xludf.DUMMYFUNCTION("""COMPUTED_VALUE"""),38.0)</f>
        <v>38</v>
      </c>
      <c r="I233" s="55">
        <f>IFERROR(__xludf.DUMMYFUNCTION("""COMPUTED_VALUE"""),41.9)</f>
        <v>41.9</v>
      </c>
      <c r="J233" s="55" t="str">
        <f>IFERROR(__xludf.DUMMYFUNCTION("""COMPUTED_VALUE"""),"Yes – Recommend")</f>
        <v>Yes – Recommend</v>
      </c>
      <c r="K233" s="55" t="str">
        <f>IFERROR(__xludf.DUMMYFUNCTION("""COMPUTED_VALUE"""),"Yes")</f>
        <v>Yes</v>
      </c>
      <c r="L233" s="55" t="str">
        <f>IFERROR(__xludf.DUMMYFUNCTION("""COMPUTED_VALUE"""),"Score 34.8 ≥ 30")</f>
        <v>Score 34.8 ≥ 30</v>
      </c>
      <c r="M233" s="59" t="str">
        <f>IFERROR(__xludf.DUMMYFUNCTION("""COMPUTED_VALUE"""),"Algorithm spent low")</f>
        <v>Algorithm spent low</v>
      </c>
      <c r="N233" s="55"/>
      <c r="O233" s="55"/>
      <c r="P233" s="59">
        <f>IFERROR(__xludf.DUMMYFUNCTION("""COMPUTED_VALUE"""),98.0)</f>
        <v>98</v>
      </c>
      <c r="Q233" s="59">
        <f>IFERROR(__xludf.DUMMYFUNCTION("""COMPUTED_VALUE"""),6.0)</f>
        <v>6</v>
      </c>
      <c r="R233" s="59">
        <f>IFERROR(__xludf.DUMMYFUNCTION("""COMPUTED_VALUE"""),5.0)</f>
        <v>5</v>
      </c>
      <c r="S233" s="55"/>
      <c r="T233" s="68">
        <f>IFERROR(__xludf.DUMMYFUNCTION("""COMPUTED_VALUE"""),17.5)</f>
        <v>17.5</v>
      </c>
      <c r="U233" s="55"/>
      <c r="V233" s="62">
        <f>IFERROR(__xludf.DUMMYFUNCTION("""COMPUTED_VALUE"""),0.193)</f>
        <v>0.193</v>
      </c>
      <c r="W233" s="63">
        <f>IFERROR(__xludf.DUMMYFUNCTION("""COMPUTED_VALUE"""),117.58)</f>
        <v>117.58</v>
      </c>
      <c r="X233" s="59">
        <f>IFERROR(__xludf.DUMMYFUNCTION("""COMPUTED_VALUE"""),6457.0)</f>
        <v>6457</v>
      </c>
      <c r="Y233" s="59">
        <f>IFERROR(__xludf.DUMMYFUNCTION("""COMPUTED_VALUE"""),13.0)</f>
        <v>13</v>
      </c>
      <c r="Z233" s="59">
        <f>IFERROR(__xludf.DUMMYFUNCTION("""COMPUTED_VALUE"""),6.0)</f>
        <v>6</v>
      </c>
      <c r="AA233" s="59">
        <f>IFERROR(__xludf.DUMMYFUNCTION("""COMPUTED_VALUE"""),13.0)</f>
        <v>13</v>
      </c>
      <c r="AB233" s="64">
        <f>IFERROR(__xludf.DUMMYFUNCTION("""COMPUTED_VALUE"""),2.0)</f>
        <v>2</v>
      </c>
      <c r="AC233" s="62">
        <f>IFERROR(__xludf.DUMMYFUNCTION("""COMPUTED_VALUE"""),0.49)</f>
        <v>0.49</v>
      </c>
      <c r="AD233" s="62">
        <f>IFERROR(__xludf.DUMMYFUNCTION("""COMPUTED_VALUE"""),17.9)</f>
        <v>17.9</v>
      </c>
      <c r="AE233" s="62">
        <f>IFERROR(__xludf.DUMMYFUNCTION("""COMPUTED_VALUE"""),5.1)</f>
        <v>5.1</v>
      </c>
      <c r="AF233" s="55" t="str">
        <f>IFERROR(__xludf.DUMMYFUNCTION("""COMPUTED_VALUE"""),"Yes")</f>
        <v>Yes</v>
      </c>
      <c r="AG233" s="63">
        <f>IFERROR(__xludf.DUMMYFUNCTION("""COMPUTED_VALUE"""),9.88)</f>
        <v>9.88</v>
      </c>
      <c r="AH233" s="59">
        <f>IFERROR(__xludf.DUMMYFUNCTION("""COMPUTED_VALUE"""),3543.0)</f>
        <v>3543</v>
      </c>
      <c r="AI233" s="55"/>
      <c r="AJ233" s="59">
        <f>IFERROR(__xludf.DUMMYFUNCTION("""COMPUTED_VALUE"""),16.0)</f>
        <v>16</v>
      </c>
      <c r="AK233" s="62">
        <f>IFERROR(__xludf.DUMMYFUNCTION("""COMPUTED_VALUE"""),0.4516)</f>
        <v>0.4516</v>
      </c>
      <c r="AL233" s="65">
        <f>IFERROR(__xludf.DUMMYFUNCTION("""COMPUTED_VALUE"""),0.618)</f>
        <v>0.618</v>
      </c>
      <c r="AM233" s="55" t="str">
        <f>IFERROR(__xludf.DUMMYFUNCTION("""COMPUTED_VALUE"""),"#Utxgd8aBzOCvmeVfbTNpEQJJA0PTO9t/jj61mXsoT/rPcbEc2biIr2owb6opBS0=")</f>
        <v>#Utxgd8aBzOCvmeVfbTNpEQJJA0PTO9t/jj61mXsoT/rPcbEc2biIr2owb6opBS0=</v>
      </c>
      <c r="AN233" s="55"/>
      <c r="AO233" s="58" t="str">
        <f>IFERROR(__xludf.DUMMYFUNCTION("""COMPUTED_VALUE"""),"https://us.brand.joinbrands.com/job/690419")</f>
        <v>https://us.brand.joinbrands.com/job/690419</v>
      </c>
      <c r="AP233" s="55" t="str">
        <f>IFERROR(__xludf.DUMMYFUNCTION("""COMPUTED_VALUE"""),"NA | MISFIT: Strong organic signal (score 44.8, 17.5% 6-sec) but only $9.88 spent — content was under-invested in ads.")</f>
        <v>NA | MISFIT: Strong organic signal (score 44.8, 17.5% 6-sec) but only $9.88 spent — content was under-invested in ads.</v>
      </c>
      <c r="AQ233" s="55" t="str">
        <f>IFERROR(__xludf.DUMMYFUNCTION("""COMPUTED_VALUE"""),"I upgraded my daily coffee routine with VAHDAMÂ® Ashwagandha Coffee â˜•ï¸âœ¨ It combines coffee with 5 wellness ingredients in one cup for calmer energy and no jitters or crash. The best part? It...")</f>
        <v>I upgraded my daily coffee routine with VAHDAMÂ® Ashwagandha Coffee â˜•ï¸_x008f_âœ¨ It combines coffee with 5 wellness ingredients in one cup for calmer energy and no jitters or crash. The best part? It...</v>
      </c>
      <c r="AR233" s="55" t="str">
        <f>IFERROR(__xludf.DUMMYFUNCTION("""COMPUTED_VALUE"""),"Can we talk how drinking coffee after 40 hits different?")</f>
        <v>Can we talk how drinking coffee after 40 hits different?</v>
      </c>
      <c r="AS233" s="55" t="str">
        <f>IFERROR(__xludf.DUMMYFUNCTION("""COMPUTED_VALUE"""),"Age / Life Stage")</f>
        <v>Age / Life Stage</v>
      </c>
      <c r="AT233" s="55" t="str">
        <f>IFERROR(__xludf.DUMMYFUNCTION("""COMPUTED_VALUE"""),"• So when I found Vadam Ashwagandha coffee, I was so curious because it's coffee upgraded with five wellness ingredients in one cup.
• It has ashwagandha, turmeric, eleuthero, lion's mane, and chaga mushrooms.
• What I like is that I still get my coffee r"&amp;"outine, but with a calmer energy and no crash.
• And honestly, it tastes just like delicious regular coffee.")</f>
        <v>• So when I found Vadam Ashwagandha coffee, I was so curious because it's coffee upgraded with five wellness ingredients in one cup.
• It has ashwagandha, turmeric, eleuthero, lion's mane, and chaga mushrooms.
• What I like is that I still get my coffee routine, but with a calmer energy and no crash.
• And honestly, it tastes just like delicious regular coffee.</v>
      </c>
      <c r="AU233" s="55" t="str">
        <f>IFERROR(__xludf.DUMMYFUNCTION("""COMPUTED_VALUE"""),"I get mine at target, and at target com")</f>
        <v>I get mine at target, and at target com</v>
      </c>
      <c r="AV233" s="55" t="str">
        <f>IFERROR(__xludf.DUMMYFUNCTION("""COMPUTED_VALUE"""),"Can we talk how drinking coffee after 40 hits different? Because I really do enjoy drinking coffee, but I hate those jitters, and I hate afternoon crashes. So when I found Vadam Ashwagandha coffee, I was so curious because it's coffee upgraded with five w"&amp;"ellness ingredients in one cup. It has ashwagandha, turmeric, eleuthero, lion's mane, and chaga mushrooms. What I like is that I still get my coffee routine, but with a calmer energy and no crash. And honestly, it tastes just like delicious regular coffee"&amp;". I get mine at target, and at target com")</f>
        <v>Can we talk how drinking coffee after 40 hits different? Because I really do enjoy drinking coffee, but I hate those jitters, and I hate afternoon crashes. So when I found Vadam Ashwagandha coffee, I was so curious because it's coffee upgraded with five wellness ingredients in one cup. It has ashwagandha, turmeric, eleuthero, lion's mane, and chaga mushrooms. What I like is that I still get my coffee routine, but with a calmer energy and no crash. And honestly, it tastes just like delicious regular coffee. I get mine at target, and at target com</v>
      </c>
      <c r="AW233" s="35"/>
      <c r="AX233" s="35"/>
      <c r="AY233" s="35"/>
      <c r="AZ233" s="35"/>
      <c r="BA233" s="35"/>
      <c r="BB233" s="35"/>
      <c r="BC233" s="35"/>
      <c r="BD233" s="35"/>
      <c r="BE233" s="35"/>
      <c r="BF233" s="35"/>
      <c r="BG233" s="35"/>
    </row>
    <row r="234" ht="15.75" customHeight="1">
      <c r="A234" s="55" t="str">
        <f>IFERROR(__xludf.DUMMYFUNCTION("""COMPUTED_VALUE"""),"Instagram")</f>
        <v>Instagram</v>
      </c>
      <c r="B234" s="56">
        <f>IFERROR(__xludf.DUMMYFUNCTION("""COMPUTED_VALUE"""),46191.0)</f>
        <v>46191</v>
      </c>
      <c r="C234" s="55" t="str">
        <f>IFERROR(__xludf.DUMMYFUNCTION("""COMPUTED_VALUE"""),"June")</f>
        <v>June</v>
      </c>
      <c r="D234" s="58" t="str">
        <f>IFERROR(__xludf.DUMMYFUNCTION("""COMPUTED_VALUE"""),"https://www.instagram.com/reel/DZsc8phRjmp/")</f>
        <v>https://www.instagram.com/reel/DZsc8phRjmp/</v>
      </c>
      <c r="E234" s="55" t="str">
        <f>IFERROR(__xludf.DUMMYFUNCTION("""COMPUTED_VALUE"""),"@loarrainealbernazugc")</f>
        <v>@loarrainealbernazugc</v>
      </c>
      <c r="F234" s="55" t="str">
        <f>IFERROR(__xludf.DUMMYFUNCTION("""COMPUTED_VALUE"""),"NA")</f>
        <v>NA</v>
      </c>
      <c r="G234" s="55" t="str">
        <f>IFERROR(__xludf.DUMMYFUNCTION("""COMPUTED_VALUE"""),"Cortisol")</f>
        <v>Cortisol</v>
      </c>
      <c r="H234" s="55">
        <f>IFERROR(__xludf.DUMMYFUNCTION("""COMPUTED_VALUE"""),29.0)</f>
        <v>29</v>
      </c>
      <c r="I234" s="55">
        <f>IFERROR(__xludf.DUMMYFUNCTION("""COMPUTED_VALUE"""),65.5)</f>
        <v>65.5</v>
      </c>
      <c r="J234" s="55" t="str">
        <f>IFERROR(__xludf.DUMMYFUNCTION("""COMPUTED_VALUE"""),"Yes – Recommend")</f>
        <v>Yes – Recommend</v>
      </c>
      <c r="K234" s="55" t="str">
        <f>IFERROR(__xludf.DUMMYFUNCTION("""COMPUTED_VALUE"""),"Yes")</f>
        <v>Yes</v>
      </c>
      <c r="L234" s="55" t="str">
        <f>IFERROR(__xludf.DUMMYFUNCTION("""COMPUTED_VALUE"""),"Score 69.2 ≥ 20 threshold")</f>
        <v>Score 69.2 ≥ 20 threshold</v>
      </c>
      <c r="M234" s="59" t="str">
        <f>IFERROR(__xludf.DUMMYFUNCTION("""COMPUTED_VALUE"""),"No Ad Data")</f>
        <v>No Ad Data</v>
      </c>
      <c r="N234" s="55" t="str">
        <f>IFERROR(__xludf.DUMMYFUNCTION("""COMPUTED_VALUE"""),"1UGC-Cortisol-CTA-lorrainealbernazugc")</f>
        <v>1UGC-Cortisol-CTA-lorrainealbernazugc</v>
      </c>
      <c r="O234" s="58" t="str">
        <f>IFERROR(__xludf.DUMMYFUNCTION("""COMPUTED_VALUE"""),"https://buy.vahdam.com/coffee-cta-ugc-cortisol")</f>
        <v>https://buy.vahdam.com/coffee-cta-ugc-cortisol</v>
      </c>
      <c r="P234" s="59">
        <f>IFERROR(__xludf.DUMMYFUNCTION("""COMPUTED_VALUE"""),3000.0)</f>
        <v>3000</v>
      </c>
      <c r="Q234" s="59">
        <f>IFERROR(__xludf.DUMMYFUNCTION("""COMPUTED_VALUE"""),220.0)</f>
        <v>220</v>
      </c>
      <c r="R234" s="59">
        <f>IFERROR(__xludf.DUMMYFUNCTION("""COMPUTED_VALUE"""),11.0)</f>
        <v>11</v>
      </c>
      <c r="S234" s="55"/>
      <c r="T234" s="68">
        <f>IFERROR(__xludf.DUMMYFUNCTION("""COMPUTED_VALUE"""),0.0)</f>
        <v>0</v>
      </c>
      <c r="U234" s="55"/>
      <c r="V234" s="62">
        <f>IFERROR(__xludf.DUMMYFUNCTION("""COMPUTED_VALUE"""),0.077)</f>
        <v>0.077</v>
      </c>
      <c r="W234" s="63">
        <f>IFERROR(__xludf.DUMMYFUNCTION("""COMPUTED_VALUE"""),117.58)</f>
        <v>117.58</v>
      </c>
      <c r="X234" s="59">
        <f>IFERROR(__xludf.DUMMYFUNCTION("""COMPUTED_VALUE"""),3000.0)</f>
        <v>3000</v>
      </c>
      <c r="Y234" s="59">
        <f>IFERROR(__xludf.DUMMYFUNCTION("""COMPUTED_VALUE"""),220.0)</f>
        <v>220</v>
      </c>
      <c r="Z234" s="59">
        <f>IFERROR(__xludf.DUMMYFUNCTION("""COMPUTED_VALUE"""),11.0)</f>
        <v>11</v>
      </c>
      <c r="AA234" s="59">
        <f>IFERROR(__xludf.DUMMYFUNCTION("""COMPUTED_VALUE"""),0.0)</f>
        <v>0</v>
      </c>
      <c r="AB234" s="64">
        <f>IFERROR(__xludf.DUMMYFUNCTION("""COMPUTED_VALUE"""),0.0)</f>
        <v>0</v>
      </c>
      <c r="AC234" s="62">
        <f>IFERROR(__xludf.DUMMYFUNCTION("""COMPUTED_VALUE"""),0.077)</f>
        <v>0.077</v>
      </c>
      <c r="AD234" s="62">
        <f>IFERROR(__xludf.DUMMYFUNCTION("""COMPUTED_VALUE"""),0.0)</f>
        <v>0</v>
      </c>
      <c r="AE234" s="62">
        <f>IFERROR(__xludf.DUMMYFUNCTION("""COMPUTED_VALUE"""),0.0)</f>
        <v>0</v>
      </c>
      <c r="AF234" s="55" t="str">
        <f>IFERROR(__xludf.DUMMYFUNCTION("""COMPUTED_VALUE"""),"Yes")</f>
        <v>Yes</v>
      </c>
      <c r="AG234" s="55"/>
      <c r="AH234" s="55"/>
      <c r="AI234" s="55"/>
      <c r="AJ234" s="55"/>
      <c r="AK234" s="55"/>
      <c r="AL234" s="55"/>
      <c r="AM234" s="55" t="str">
        <f>IFERROR(__xludf.DUMMYFUNCTION("""COMPUTED_VALUE"""),"Q9jTBBXvTRwVPb4MI1KukWMQNxOHzyM2GVFYue6JmBFrU-hF-oZmlIlkbxAZPRacLHk")</f>
        <v>Q9jTBBXvTRwVPb4MI1KukWMQNxOHzyM2GVFYue6JmBFrU-hF-oZmlIlkbxAZPRacLHk</v>
      </c>
      <c r="AN234" s="55"/>
      <c r="AO234" s="55" t="str">
        <f>IFERROR(__xludf.DUMMYFUNCTION("""COMPUTED_VALUE"""),"NA")</f>
        <v>NA</v>
      </c>
      <c r="AP234" s="55" t="str">
        <f>IFERROR(__xludf.DUMMYFUNCTION("""COMPUTED_VALUE"""),"NA")</f>
        <v>NA</v>
      </c>
      <c r="AQ234" s="55" t="str">
        <f>IFERROR(__xludf.DUMMYFUNCTION("""COMPUTED_VALUE"""),"NA")</f>
        <v>NA</v>
      </c>
      <c r="AR234" s="55" t="str">
        <f>IFERROR(__xludf.DUMMYFUNCTION("""COMPUTED_VALUE"""),"If your morning coffee leaves you feeling jittery or crashing by the afternoon, you need to try this.")</f>
        <v>If your morning coffee leaves you feeling jittery or crashing by the afternoon, you need to try this.</v>
      </c>
      <c r="AS234" s="55" t="str">
        <f>IFERROR(__xludf.DUMMYFUNCTION("""COMPUTED_VALUE"""),"Problem / Pain Point")</f>
        <v>Problem / Pain Point</v>
      </c>
      <c r="AT234" s="55" t="str">
        <f>IFERROR(__xludf.DUMMYFUNCTION("""COMPUTED_VALUE"""),"• It has five wellness ingredients in one cup for calm, focused energy without the jitters or crash.
• I found Vahdam Ashwagandha Coffee at Target and it's become my favorite coffee upgrade.
• And honestly, it tastes just like delicious regular coffee.")</f>
        <v>• It has five wellness ingredients in one cup for calm, focused energy without the jitters or crash.
• I found Vahdam Ashwagandha Coffee at Target and it's become my favorite coffee upgrade.
• And honestly, it tastes just like delicious regular coffee.</v>
      </c>
      <c r="AU234" s="55" t="str">
        <f>IFERROR(__xludf.DUMMYFUNCTION("""COMPUTED_VALUE"""),"You can find it at Target stores nationwide or on Target.com.")</f>
        <v>You can find it at Target stores nationwide or on Target.com.</v>
      </c>
      <c r="AV234" s="55" t="str">
        <f>IFERROR(__xludf.DUMMYFUNCTION("""COMPUTED_VALUE"""),"If your morning coffee leaves you feeling jittery or crashing by the afternoon, you need to try this. I found Vahdam Ashwagandha Coffee at Target and it's become my favorite coffee upgrade. It has five wellness ingredients in one cup for calm, focused ene"&amp;"rgy without the jitters or crash. And honestly, it tastes just like delicious regular coffee. You can find it at Target stores nationwide or on Target.com.")</f>
        <v>If your morning coffee leaves you feeling jittery or crashing by the afternoon, you need to try this. I found Vahdam Ashwagandha Coffee at Target and it's become my favorite coffee upgrade. It has five wellness ingredients in one cup for calm, focused energy without the jitters or crash. And honestly, it tastes just like delicious regular coffee. You can find it at Target stores nationwide or on Target.com.</v>
      </c>
      <c r="AW234" s="35"/>
      <c r="AX234" s="35"/>
      <c r="AY234" s="35"/>
      <c r="AZ234" s="35"/>
      <c r="BA234" s="35"/>
      <c r="BB234" s="35"/>
      <c r="BC234" s="35"/>
      <c r="BD234" s="35"/>
      <c r="BE234" s="35"/>
      <c r="BF234" s="35"/>
      <c r="BG234" s="35"/>
    </row>
    <row r="235" ht="15.75" customHeight="1">
      <c r="A235" s="55" t="str">
        <f>IFERROR(__xludf.DUMMYFUNCTION("""COMPUTED_VALUE"""),"Instagram")</f>
        <v>Instagram</v>
      </c>
      <c r="B235" s="56">
        <f>IFERROR(__xludf.DUMMYFUNCTION("""COMPUTED_VALUE"""),46183.0)</f>
        <v>46183</v>
      </c>
      <c r="C235" s="55" t="str">
        <f>IFERROR(__xludf.DUMMYFUNCTION("""COMPUTED_VALUE"""),"June")</f>
        <v>June</v>
      </c>
      <c r="D235" s="58" t="str">
        <f>IFERROR(__xludf.DUMMYFUNCTION("""COMPUTED_VALUE"""),"https://www.instagram.com/reels/DZaSfUDOn4H/")</f>
        <v>https://www.instagram.com/reels/DZaSfUDOn4H/</v>
      </c>
      <c r="E235" s="55" t="str">
        <f>IFERROR(__xludf.DUMMYFUNCTION("""COMPUTED_VALUE"""),"@beth")</f>
        <v>@beth</v>
      </c>
      <c r="F235" s="55" t="str">
        <f>IFERROR(__xludf.DUMMYFUNCTION("""COMPUTED_VALUE"""),"NA")</f>
        <v>NA</v>
      </c>
      <c r="G235" s="55" t="str">
        <f>IFERROR(__xludf.DUMMYFUNCTION("""COMPUTED_VALUE"""),"Target Shelf Showdown")</f>
        <v>Target Shelf Showdown</v>
      </c>
      <c r="H235" s="55">
        <f>IFERROR(__xludf.DUMMYFUNCTION("""COMPUTED_VALUE"""),32.0)</f>
        <v>32</v>
      </c>
      <c r="I235" s="55">
        <f>IFERROR(__xludf.DUMMYFUNCTION("""COMPUTED_VALUE"""),21.0)</f>
        <v>21</v>
      </c>
      <c r="J235" s="55" t="str">
        <f>IFERROR(__xludf.DUMMYFUNCTION("""COMPUTED_VALUE"""),"Yes – Recommend")</f>
        <v>Yes – Recommend</v>
      </c>
      <c r="K235" s="55" t="str">
        <f>IFERROR(__xludf.DUMMYFUNCTION("""COMPUTED_VALUE"""),"Yes")</f>
        <v>Yes</v>
      </c>
      <c r="L235" s="55" t="str">
        <f>IFERROR(__xludf.DUMMYFUNCTION("""COMPUTED_VALUE"""),"Score 22.0 ≥ 20 threshold")</f>
        <v>Score 22.0 ≥ 20 threshold</v>
      </c>
      <c r="M235" s="59" t="str">
        <f>IFERROR(__xludf.DUMMYFUNCTION("""COMPUTED_VALUE"""),"Algorithm spent low")</f>
        <v>Algorithm spent low</v>
      </c>
      <c r="N235" s="55"/>
      <c r="O235" s="55"/>
      <c r="P235" s="59">
        <f>IFERROR(__xludf.DUMMYFUNCTION("""COMPUTED_VALUE"""),163.0)</f>
        <v>163</v>
      </c>
      <c r="Q235" s="59">
        <f>IFERROR(__xludf.DUMMYFUNCTION("""COMPUTED_VALUE"""),6.0)</f>
        <v>6</v>
      </c>
      <c r="R235" s="59">
        <f>IFERROR(__xludf.DUMMYFUNCTION("""COMPUTED_VALUE"""),0.0)</f>
        <v>0</v>
      </c>
      <c r="S235" s="55"/>
      <c r="T235" s="68">
        <f>IFERROR(__xludf.DUMMYFUNCTION("""COMPUTED_VALUE"""),0.0)</f>
        <v>0</v>
      </c>
      <c r="U235" s="55"/>
      <c r="V235" s="62">
        <f>IFERROR(__xludf.DUMMYFUNCTION("""COMPUTED_VALUE"""),0.03680981595)</f>
        <v>0.03680981595</v>
      </c>
      <c r="W235" s="63">
        <f>IFERROR(__xludf.DUMMYFUNCTION("""COMPUTED_VALUE"""),67.58)</f>
        <v>67.58</v>
      </c>
      <c r="X235" s="59">
        <f>IFERROR(__xludf.DUMMYFUNCTION("""COMPUTED_VALUE"""),2988.0)</f>
        <v>2988</v>
      </c>
      <c r="Y235" s="59">
        <f>IFERROR(__xludf.DUMMYFUNCTION("""COMPUTED_VALUE"""),0.0)</f>
        <v>0</v>
      </c>
      <c r="Z235" s="59">
        <f>IFERROR(__xludf.DUMMYFUNCTION("""COMPUTED_VALUE"""),0.0)</f>
        <v>0</v>
      </c>
      <c r="AA235" s="59">
        <f>IFERROR(__xludf.DUMMYFUNCTION("""COMPUTED_VALUE"""),0.0)</f>
        <v>0</v>
      </c>
      <c r="AB235" s="64">
        <f>IFERROR(__xludf.DUMMYFUNCTION("""COMPUTED_VALUE"""),0.0)</f>
        <v>0</v>
      </c>
      <c r="AC235" s="62">
        <f>IFERROR(__xludf.DUMMYFUNCTION("""COMPUTED_VALUE"""),0.0)</f>
        <v>0</v>
      </c>
      <c r="AD235" s="62">
        <f>IFERROR(__xludf.DUMMYFUNCTION("""COMPUTED_VALUE"""),0.0)</f>
        <v>0</v>
      </c>
      <c r="AE235" s="62">
        <f>IFERROR(__xludf.DUMMYFUNCTION("""COMPUTED_VALUE"""),0.0)</f>
        <v>0</v>
      </c>
      <c r="AF235" s="55" t="str">
        <f>IFERROR(__xludf.DUMMYFUNCTION("""COMPUTED_VALUE"""),"Yes")</f>
        <v>Yes</v>
      </c>
      <c r="AG235" s="63">
        <f>IFERROR(__xludf.DUMMYFUNCTION("""COMPUTED_VALUE"""),6.35)</f>
        <v>6.35</v>
      </c>
      <c r="AH235" s="59">
        <f>IFERROR(__xludf.DUMMYFUNCTION("""COMPUTED_VALUE"""),2748.0)</f>
        <v>2748</v>
      </c>
      <c r="AI235" s="55"/>
      <c r="AJ235" s="59">
        <f>IFERROR(__xludf.DUMMYFUNCTION("""COMPUTED_VALUE"""),34.0)</f>
        <v>34</v>
      </c>
      <c r="AK235" s="62">
        <f>IFERROR(__xludf.DUMMYFUNCTION("""COMPUTED_VALUE"""),1.2373)</f>
        <v>1.2373</v>
      </c>
      <c r="AL235" s="65">
        <f>IFERROR(__xludf.DUMMYFUNCTION("""COMPUTED_VALUE"""),0.187)</f>
        <v>0.187</v>
      </c>
      <c r="AM235" s="55" t="str">
        <f>IFERROR(__xludf.DUMMYFUNCTION("""COMPUTED_VALUE"""),"Q9jTBBXTUMGIlT_pPw1xlTlMS5iwZMj1sGz5MloLzqEvq5hcoThJ2dGTqtj_JKeKPVI")</f>
        <v>Q9jTBBXTUMGIlT_pPw1xlTlMS5iwZMj1sGz5MloLzqEvq5hcoThJ2dGTqtj_JKeKPVI</v>
      </c>
      <c r="AN235" s="55"/>
      <c r="AO235" s="55" t="str">
        <f>IFERROR(__xludf.DUMMYFUNCTION("""COMPUTED_VALUE"""),"NA")</f>
        <v>NA</v>
      </c>
      <c r="AP235" s="55" t="str">
        <f>IFERROR(__xludf.DUMMYFUNCTION("""COMPUTED_VALUE"""),"Good | MISFIT: Strong organic reach (score 22.8) but only $6.35 spent on Meta — content was under-tested for paid amplification.")</f>
        <v>Good | MISFIT: Strong organic reach (score 22.8) but only $6.35 spent on Meta — content was under-tested for paid amplification.</v>
      </c>
      <c r="AQ235" s="55" t="str">
        <f>IFERROR(__xludf.DUMMYFUNCTION("""COMPUTED_VALUE"""),"NA")</f>
        <v>NA</v>
      </c>
      <c r="AR235" s="55" t="str">
        <f>IFERROR(__xludf.DUMMYFUNCTION("""COMPUTED_VALUE"""),"I picked up the Vadim ashwagandha coffee at my Target and what caught my attention is that it's not just coffee.")</f>
        <v>I picked up the Vadim ashwagandha coffee at my Target and what caught my attention is that it's not just coffee.</v>
      </c>
      <c r="AS235" s="55" t="str">
        <f>IFERROR(__xludf.DUMMYFUNCTION("""COMPUTED_VALUE"""),"In-Store / Target Discovery")</f>
        <v>In-Store / Target Discovery</v>
      </c>
      <c r="AT235" s="55" t="str">
        <f>IFERROR(__xludf.DUMMYFUNCTION("""COMPUTED_VALUE"""),"• It combines premium arabica coffee with KSM 66 ashwagandha, altheanine, turmeric, lion's mane and sugar.
• I love anything that helps simplify my routine and this gives me four supplements in one cup of coffee.
• And honestly, it actually tastes like de"&amp;"licious regular coffee.")</f>
        <v>• It combines premium arabica coffee with KSM 66 ashwagandha, altheanine, turmeric, lion's mane and sugar.
• I love anything that helps simplify my routine and this gives me four supplements in one cup of coffee.
• And honestly, it actually tastes like delicious regular coffee.</v>
      </c>
      <c r="AU235" s="55" t="str">
        <f>IFERROR(__xludf.DUMMYFUNCTION("""COMPUTED_VALUE"""),"If you're already drinking coffee every day this is definitely worth checking out at Target or Target.com and that's exactly the kind of routine upgrade I love.")</f>
        <v>If you're already drinking coffee every day this is definitely worth checking out at Target or Target.com and that's exactly the kind of routine upgrade I love.</v>
      </c>
      <c r="AV235" s="55" t="str">
        <f>IFERROR(__xludf.DUMMYFUNCTION("""COMPUTED_VALUE"""),"I picked up the Vadim ashwagandha coffee at my Target and what caught my attention is that it's not just coffee. It combines premium arabica coffee with KSM 66 ashwagandha, altheanine, turmeric, lion's mane and sugar. I love anything that helps simplify m"&amp;"y routine and this gives me four supplements in one cup of coffee. And honestly, it actually tastes like delicious regular coffee. If you're already drinking coffee every day this is definitely worth checking out at Target or Target.com and that's exactly"&amp;" the kind of routine upgrade I love.")</f>
        <v>I picked up the Vadim ashwagandha coffee at my Target and what caught my attention is that it's not just coffee. It combines premium arabica coffee with KSM 66 ashwagandha, altheanine, turmeric, lion's mane and sugar. I love anything that helps simplify my routine and this gives me four supplements in one cup of coffee. And honestly, it actually tastes like delicious regular coffee. If you're already drinking coffee every day this is definitely worth checking out at Target or Target.com and that's exactly the kind of routine upgrade I love.</v>
      </c>
      <c r="AW235" s="35"/>
      <c r="AX235" s="35"/>
      <c r="AY235" s="35"/>
      <c r="AZ235" s="35"/>
      <c r="BA235" s="35"/>
      <c r="BB235" s="35"/>
      <c r="BC235" s="35"/>
      <c r="BD235" s="35"/>
      <c r="BE235" s="35"/>
      <c r="BF235" s="35"/>
      <c r="BG235" s="35"/>
    </row>
    <row r="236" ht="15.75" customHeight="1">
      <c r="A236" s="55" t="str">
        <f>IFERROR(__xludf.DUMMYFUNCTION("""COMPUTED_VALUE"""),"Instagram")</f>
        <v>Instagram</v>
      </c>
      <c r="B236" s="56">
        <f>IFERROR(__xludf.DUMMYFUNCTION("""COMPUTED_VALUE"""),46192.0)</f>
        <v>46192</v>
      </c>
      <c r="C236" s="55" t="str">
        <f>IFERROR(__xludf.DUMMYFUNCTION("""COMPUTED_VALUE"""),"June")</f>
        <v>June</v>
      </c>
      <c r="D236" s="58" t="str">
        <f>IFERROR(__xludf.DUMMYFUNCTION("""COMPUTED_VALUE"""),"https://www.instagram.com/reel/DZv-6pFxzwU/")</f>
        <v>https://www.instagram.com/reel/DZv-6pFxzwU/</v>
      </c>
      <c r="E236" s="55" t="str">
        <f>IFERROR(__xludf.DUMMYFUNCTION("""COMPUTED_VALUE"""),"@na")</f>
        <v>@na</v>
      </c>
      <c r="F236" s="55" t="str">
        <f>IFERROR(__xludf.DUMMYFUNCTION("""COMPUTED_VALUE"""),"NA")</f>
        <v>NA</v>
      </c>
      <c r="G236" s="55" t="str">
        <f>IFERROR(__xludf.DUMMYFUNCTION("""COMPUTED_VALUE"""),"Taste")</f>
        <v>Taste</v>
      </c>
      <c r="H236" s="55">
        <f>IFERROR(__xludf.DUMMYFUNCTION("""COMPUTED_VALUE"""),32.0)</f>
        <v>32</v>
      </c>
      <c r="I236" s="55">
        <f>IFERROR(__xludf.DUMMYFUNCTION("""COMPUTED_VALUE"""),64.9)</f>
        <v>64.9</v>
      </c>
      <c r="J236" s="55" t="str">
        <f>IFERROR(__xludf.DUMMYFUNCTION("""COMPUTED_VALUE"""),"Yes – Recommend")</f>
        <v>Yes – Recommend</v>
      </c>
      <c r="K236" s="55" t="str">
        <f>IFERROR(__xludf.DUMMYFUNCTION("""COMPUTED_VALUE"""),"No")</f>
        <v>No</v>
      </c>
      <c r="L236" s="55" t="str">
        <f>IFERROR(__xludf.DUMMYFUNCTION("""COMPUTED_VALUE"""),"Score 68.5 ≥ 20 threshold")</f>
        <v>Score 68.5 ≥ 20 threshold</v>
      </c>
      <c r="M236" s="59" t="str">
        <f>IFERROR(__xludf.DUMMYFUNCTION("""COMPUTED_VALUE"""),"No Ad Data")</f>
        <v>No Ad Data</v>
      </c>
      <c r="N236" s="59" t="str">
        <f>IFERROR(__xludf.DUMMYFUNCTION("""COMPUTED_VALUE"""),"Skip - not english")</f>
        <v>Skip - not english</v>
      </c>
      <c r="O236" s="55"/>
      <c r="P236" s="59">
        <f>IFERROR(__xludf.DUMMYFUNCTION("""COMPUTED_VALUE"""),2900.0)</f>
        <v>2900</v>
      </c>
      <c r="Q236" s="59">
        <f>IFERROR(__xludf.DUMMYFUNCTION("""COMPUTED_VALUE"""),184.0)</f>
        <v>184</v>
      </c>
      <c r="R236" s="59">
        <f>IFERROR(__xludf.DUMMYFUNCTION("""COMPUTED_VALUE"""),13.0)</f>
        <v>13</v>
      </c>
      <c r="S236" s="55"/>
      <c r="T236" s="68">
        <f>IFERROR(__xludf.DUMMYFUNCTION("""COMPUTED_VALUE"""),0.0)</f>
        <v>0</v>
      </c>
      <c r="U236" s="55"/>
      <c r="V236" s="62">
        <f>IFERROR(__xludf.DUMMYFUNCTION("""COMPUTED_VALUE"""),0.0657)</f>
        <v>0.0657</v>
      </c>
      <c r="W236" s="63">
        <f>IFERROR(__xludf.DUMMYFUNCTION("""COMPUTED_VALUE"""),117.58)</f>
        <v>117.58</v>
      </c>
      <c r="X236" s="59">
        <f>IFERROR(__xludf.DUMMYFUNCTION("""COMPUTED_VALUE"""),2900.0)</f>
        <v>2900</v>
      </c>
      <c r="Y236" s="59">
        <f>IFERROR(__xludf.DUMMYFUNCTION("""COMPUTED_VALUE"""),184.0)</f>
        <v>184</v>
      </c>
      <c r="Z236" s="59">
        <f>IFERROR(__xludf.DUMMYFUNCTION("""COMPUTED_VALUE"""),13.0)</f>
        <v>13</v>
      </c>
      <c r="AA236" s="59">
        <f>IFERROR(__xludf.DUMMYFUNCTION("""COMPUTED_VALUE"""),0.0)</f>
        <v>0</v>
      </c>
      <c r="AB236" s="64">
        <f>IFERROR(__xludf.DUMMYFUNCTION("""COMPUTED_VALUE"""),0.0)</f>
        <v>0</v>
      </c>
      <c r="AC236" s="62">
        <f>IFERROR(__xludf.DUMMYFUNCTION("""COMPUTED_VALUE"""),0.0657)</f>
        <v>0.0657</v>
      </c>
      <c r="AD236" s="62">
        <f>IFERROR(__xludf.DUMMYFUNCTION("""COMPUTED_VALUE"""),0.0)</f>
        <v>0</v>
      </c>
      <c r="AE236" s="62">
        <f>IFERROR(__xludf.DUMMYFUNCTION("""COMPUTED_VALUE"""),0.0)</f>
        <v>0</v>
      </c>
      <c r="AF236" s="55"/>
      <c r="AG236" s="55"/>
      <c r="AH236" s="55"/>
      <c r="AI236" s="55"/>
      <c r="AJ236" s="55"/>
      <c r="AK236" s="55"/>
      <c r="AL236" s="55"/>
      <c r="AM236" s="55" t="str">
        <f>IFERROR(__xludf.DUMMYFUNCTION("""COMPUTED_VALUE"""),"Q9jTBBXPrY1KHKWLj0BXd0j6wdEsMv_sdEOToLPrShHQFKDOyBRt-Ctzl8q4YvjGvWI")</f>
        <v>Q9jTBBXPrY1KHKWLj0BXd0j6wdEsMv_sdEOToLPrShHQFKDOyBRt-Ctzl8q4YvjGvWI</v>
      </c>
      <c r="AN236" s="55"/>
      <c r="AO236" s="55" t="str">
        <f>IFERROR(__xludf.DUMMYFUNCTION("""COMPUTED_VALUE"""),"NA")</f>
        <v>NA</v>
      </c>
      <c r="AP236" s="55" t="str">
        <f>IFERROR(__xludf.DUMMYFUNCTION("""COMPUTED_VALUE"""),"Not english")</f>
        <v>Not english</v>
      </c>
      <c r="AQ236" s="55" t="str">
        <f>IFERROR(__xludf.DUMMYFUNCTION("""COMPUTED_VALUE"""),"NA")</f>
        <v>NA</v>
      </c>
      <c r="AR236" s="55" t="str">
        <f>IFERROR(__xludf.DUMMYFUNCTION("""COMPUTED_VALUE"""),"convencer a tu suegra de que cuida tu criatura el tutorial variando que está preparando es especialmente para usted tiene canela cremita vainilla con ...")</f>
        <v>convencer a tu suegra de que cuida tu criatura el tutorial variando que está preparando es especialmente para usted tiene canela cremita vainilla con ...</v>
      </c>
      <c r="AS236" s="55" t="str">
        <f>IFERROR(__xludf.DUMMYFUNCTION("""COMPUTED_VALUE"""),"General / Lifestyle")</f>
        <v>General / Lifestyle</v>
      </c>
      <c r="AT236" s="55" t="str">
        <f>IFERROR(__xludf.DUMMYFUNCTION("""COMPUTED_VALUE"""),"• Porque te da bastante energía, ¿verdad, Peguito? ¿Para qué?
• A ver si me cuadra.")</f>
        <v>• Porque te da bastante energía, ¿verdad, Peguito? ¿Para qué?
• A ver si me cuadra.</v>
      </c>
      <c r="AU236" s="55" t="str">
        <f>IFERROR(__xludf.DUMMYFUNCTION("""COMPUTED_VALUE"""),"¡Esto está pero exquisito!")</f>
        <v>¡Esto está pero exquisito!</v>
      </c>
      <c r="AV236" s="55" t="str">
        <f>IFERROR(__xludf.DUMMYFUNCTION("""COMPUTED_VALUE"""),"convencer a tu suegra de que cuida tu criatura el tutorial variando que está preparando es especialmente para usted tiene canela cremita vainilla con el calor que está haciendo ¡Mmm! ¡Exquisito! Porque te da bastante energía, ¿verdad, Peguito? ¿Para qué? "&amp;"A ver si me cuadra. Si es así, sí. ¡Mmm! ¡Esto está pero exquisito! ¡Salud!")</f>
        <v>convencer a tu suegra de que cuida tu criatura el tutorial variando que está preparando es especialmente para usted tiene canela cremita vainilla con el calor que está haciendo ¡Mmm! ¡Exquisito! Porque te da bastante energía, ¿verdad, Peguito? ¿Para qué? A ver si me cuadra. Si es así, sí. ¡Mmm! ¡Esto está pero exquisito! ¡Salud!</v>
      </c>
      <c r="AW236" s="35"/>
      <c r="AX236" s="35"/>
      <c r="AY236" s="35"/>
      <c r="AZ236" s="35"/>
      <c r="BA236" s="35"/>
      <c r="BB236" s="35"/>
      <c r="BC236" s="35"/>
      <c r="BD236" s="35"/>
      <c r="BE236" s="35"/>
      <c r="BF236" s="35"/>
      <c r="BG236" s="35"/>
    </row>
    <row r="237" ht="15.75" customHeight="1">
      <c r="A237" s="55" t="str">
        <f>IFERROR(__xludf.DUMMYFUNCTION("""COMPUTED_VALUE"""),"Instagram")</f>
        <v>Instagram</v>
      </c>
      <c r="B237" s="56">
        <f>IFERROR(__xludf.DUMMYFUNCTION("""COMPUTED_VALUE"""),46201.0)</f>
        <v>46201</v>
      </c>
      <c r="C237" s="55" t="str">
        <f>IFERROR(__xludf.DUMMYFUNCTION("""COMPUTED_VALUE"""),"June")</f>
        <v>June</v>
      </c>
      <c r="D237" s="58" t="str">
        <f>IFERROR(__xludf.DUMMYFUNCTION("""COMPUTED_VALUE"""),"https://www.instagram.com/reel/DZsH8nkRNXE/")</f>
        <v>https://www.instagram.com/reel/DZsH8nkRNXE/</v>
      </c>
      <c r="E237" s="55" t="str">
        <f>IFERROR(__xludf.DUMMYFUNCTION("""COMPUTED_VALUE"""),"@mamaede3nagringa")</f>
        <v>@mamaede3nagringa</v>
      </c>
      <c r="F237" s="55" t="str">
        <f>IFERROR(__xludf.DUMMYFUNCTION("""COMPUTED_VALUE"""),"Monique Chaves")</f>
        <v>Monique Chaves</v>
      </c>
      <c r="G237" s="55" t="str">
        <f>IFERROR(__xludf.DUMMYFUNCTION("""COMPUTED_VALUE"""),"Countering Mushroom Coffee Trend")</f>
        <v>Countering Mushroom Coffee Trend</v>
      </c>
      <c r="H237" s="55">
        <f>IFERROR(__xludf.DUMMYFUNCTION("""COMPUTED_VALUE"""),23.0)</f>
        <v>23</v>
      </c>
      <c r="I237" s="55">
        <f>IFERROR(__xludf.DUMMYFUNCTION("""COMPUTED_VALUE"""),51.1)</f>
        <v>51.1</v>
      </c>
      <c r="J237" s="55" t="str">
        <f>IFERROR(__xludf.DUMMYFUNCTION("""COMPUTED_VALUE"""),"Yes – Recommend")</f>
        <v>Yes – Recommend</v>
      </c>
      <c r="K237" s="55" t="str">
        <f>IFERROR(__xludf.DUMMYFUNCTION("""COMPUTED_VALUE"""),"No")</f>
        <v>No</v>
      </c>
      <c r="L237" s="55" t="str">
        <f>IFERROR(__xludf.DUMMYFUNCTION("""COMPUTED_VALUE"""),"Score 54.4 ≥ 20 threshold")</f>
        <v>Score 54.4 ≥ 20 threshold</v>
      </c>
      <c r="M237" s="59" t="str">
        <f>IFERROR(__xludf.DUMMYFUNCTION("""COMPUTED_VALUE"""),"No Ad Data")</f>
        <v>No Ad Data</v>
      </c>
      <c r="N237" s="59" t="str">
        <f>IFERROR(__xludf.DUMMYFUNCTION("""COMPUTED_VALUE"""),"Skip")</f>
        <v>Skip</v>
      </c>
      <c r="O237" s="55"/>
      <c r="P237" s="59">
        <f>IFERROR(__xludf.DUMMYFUNCTION("""COMPUTED_VALUE"""),1300.0)</f>
        <v>1300</v>
      </c>
      <c r="Q237" s="59">
        <f>IFERROR(__xludf.DUMMYFUNCTION("""COMPUTED_VALUE"""),118.0)</f>
        <v>118</v>
      </c>
      <c r="R237" s="59">
        <f>IFERROR(__xludf.DUMMYFUNCTION("""COMPUTED_VALUE"""),0.0)</f>
        <v>0</v>
      </c>
      <c r="S237" s="55"/>
      <c r="T237" s="68">
        <f>IFERROR(__xludf.DUMMYFUNCTION("""COMPUTED_VALUE"""),0.0)</f>
        <v>0</v>
      </c>
      <c r="U237" s="55"/>
      <c r="V237" s="62">
        <f>IFERROR(__xludf.DUMMYFUNCTION("""COMPUTED_VALUE"""),0.0907)</f>
        <v>0.0907</v>
      </c>
      <c r="W237" s="63">
        <f>IFERROR(__xludf.DUMMYFUNCTION("""COMPUTED_VALUE"""),117.58)</f>
        <v>117.58</v>
      </c>
      <c r="X237" s="59">
        <f>IFERROR(__xludf.DUMMYFUNCTION("""COMPUTED_VALUE"""),1300.0)</f>
        <v>1300</v>
      </c>
      <c r="Y237" s="59">
        <f>IFERROR(__xludf.DUMMYFUNCTION("""COMPUTED_VALUE"""),118.0)</f>
        <v>118</v>
      </c>
      <c r="Z237" s="59">
        <f>IFERROR(__xludf.DUMMYFUNCTION("""COMPUTED_VALUE"""),0.0)</f>
        <v>0</v>
      </c>
      <c r="AA237" s="59">
        <f>IFERROR(__xludf.DUMMYFUNCTION("""COMPUTED_VALUE"""),0.0)</f>
        <v>0</v>
      </c>
      <c r="AB237" s="64">
        <f>IFERROR(__xludf.DUMMYFUNCTION("""COMPUTED_VALUE"""),0.0)</f>
        <v>0</v>
      </c>
      <c r="AC237" s="62">
        <f>IFERROR(__xludf.DUMMYFUNCTION("""COMPUTED_VALUE"""),0.0907)</f>
        <v>0.0907</v>
      </c>
      <c r="AD237" s="62">
        <f>IFERROR(__xludf.DUMMYFUNCTION("""COMPUTED_VALUE"""),0.0)</f>
        <v>0</v>
      </c>
      <c r="AE237" s="62">
        <f>IFERROR(__xludf.DUMMYFUNCTION("""COMPUTED_VALUE"""),0.0)</f>
        <v>0</v>
      </c>
      <c r="AF237" s="55"/>
      <c r="AG237" s="55"/>
      <c r="AH237" s="55"/>
      <c r="AI237" s="55"/>
      <c r="AJ237" s="55"/>
      <c r="AK237" s="55"/>
      <c r="AL237" s="55"/>
      <c r="AM237" s="55" t="str">
        <f>IFERROR(__xludf.DUMMYFUNCTION("""COMPUTED_VALUE"""),"Q9jTBBXgkRFDHhDV1RzNYSLpxKPjw2vqyTT2rpUfkAV5-4Q5uj9_x8V1B3ZMaA9s3hQ")</f>
        <v>Q9jTBBXgkRFDHhDV1RzNYSLpxKPjw2vqyTT2rpUfkAV5-4Q5uj9_x8V1B3ZMaA9s3hQ</v>
      </c>
      <c r="AN237" s="55"/>
      <c r="AO237" s="58" t="str">
        <f>IFERROR(__xludf.DUMMYFUNCTION("""COMPUTED_VALUE"""),"https://us.brand.joinbrands.com/job/689873")</f>
        <v>https://us.brand.joinbrands.com/job/689873</v>
      </c>
      <c r="AP237" s="55" t="str">
        <f>IFERROR(__xludf.DUMMYFUNCTION("""COMPUTED_VALUE"""),"NA")</f>
        <v>NA</v>
      </c>
      <c r="AQ237" s="55" t="str">
        <f>IFERROR(__xludf.DUMMYFUNCTION("""COMPUTED_VALUE"""),"A pausa perfeita do dia. Feito com ashwagandha, cÃºrcuma e cogumelos orgÃ¢nicos, esse iced coffee entrega o sabor que vocÃª espera de um cafÃ© delicioso, com uma proposta de energia mais equilibrada...")</f>
        <v>A pausa perfeita do dia. Feito com ashwagandha, cÃºrcuma e cogumelos orgÃ¢nicos, esse iced coffee entrega o sabor que vocÃª espera de um cafÃ© delicioso, com uma proposta de energia mais equilibrada...</v>
      </c>
      <c r="AR237" s="55" t="str">
        <f>IFERROR(__xludf.DUMMYFUNCTION("""COMPUTED_VALUE"""),"SerÃ¡ que cafÃ© com o Wachaganda tem gosto bom?")</f>
        <v>SerÃ¡ que cafÃ© com o Wachaganda tem gosto bom?</v>
      </c>
      <c r="AS237" s="55" t="str">
        <f>IFERROR(__xludf.DUMMYFUNCTION("""COMPUTED_VALUE"""),"Curiosity / Question")</f>
        <v>Curiosity / Question</v>
      </c>
      <c r="AT237" s="55" t="str">
        <f>IFERROR(__xludf.DUMMYFUNCTION("""COMPUTED_VALUE"""),"• Eu encontrei esse cafÃ© da Avadum no Target e eu quis provar ele na versÃ£o Ice Coffee.
• Ele tem ingredientes como o Wachaganda, Lion's Llam e outros que ajudam com o suporte do estresse diÃ¡rio, foco e equilÃ­brio do humor, entre outros benefÃ­cios.
•"&amp;" Mas o mais incrÃ­vel pra mim Ã© que ele realmente tem gosto de cafÃ©.")</f>
        <v>• Eu encontrei esse cafÃ© da Avadum no Target e eu quis provar ele na versÃ£o Ice Coffee.
• Ele tem ingredientes como o Wachaganda, Lion's Llam e outros que ajudam com o suporte do estresse diÃ¡rio, foco e equilÃ­brio do humor, entre outros benefÃ­cios.
• Mas o mais incrÃ­vel pra mim Ã© que ele realmente tem gosto de cafÃ©.</v>
      </c>
      <c r="AU237" s="55" t="str">
        <f>IFERROR(__xludf.DUMMYFUNCTION("""COMPUTED_VALUE"""),"NÃ£o ficou com gosto estranho por ter esses outros ingredientes.")</f>
        <v>NÃ£o ficou com gosto estranho por ter esses outros ingredientes.</v>
      </c>
      <c r="AV237" s="55" t="str">
        <f>IFERROR(__xludf.DUMMYFUNCTION("""COMPUTED_VALUE"""),"SerÃ¡ que cafÃ© com o Wachaganda tem gosto bom? Eu encontrei esse cafÃ© da Avadum no Target e eu quis provar ele na versÃ£o Ice Coffee. Ele tem ingredientes como o Wachaganda, Lion's Llam e outros que ajudam com o suporte do estresse diÃ¡rio, foco e equil"&amp;"Ã­brio do humor, entre outros benefÃ­cios. Mas o mais incrÃ­vel pra mim Ã© que ele realmente tem gosto de cafÃ©. NÃ£o ficou com gosto estranho por ter esses outros ingredientes.")</f>
        <v>SerÃ¡ que cafÃ© com o Wachaganda tem gosto bom? Eu encontrei esse cafÃ© da Avadum no Target e eu quis provar ele na versÃ£o Ice Coffee. Ele tem ingredientes como o Wachaganda, Lion's Llam e outros que ajudam com o suporte do estresse diÃ¡rio, foco e equilÃ­brio do humor, entre outros benefÃ­cios. Mas o mais incrÃ­vel pra mim Ã© que ele realmente tem gosto de cafÃ©. NÃ£o ficou com gosto estranho por ter esses outros ingredientes.</v>
      </c>
      <c r="AW237" s="35"/>
      <c r="AX237" s="35"/>
      <c r="AY237" s="35"/>
      <c r="AZ237" s="35"/>
      <c r="BA237" s="35"/>
      <c r="BB237" s="35"/>
      <c r="BC237" s="35"/>
      <c r="BD237" s="35"/>
      <c r="BE237" s="35"/>
      <c r="BF237" s="35"/>
      <c r="BG237" s="35"/>
    </row>
    <row r="238" ht="15.75" customHeight="1">
      <c r="A238" s="55" t="str">
        <f>IFERROR(__xludf.DUMMYFUNCTION("""COMPUTED_VALUE"""),"Instagram")</f>
        <v>Instagram</v>
      </c>
      <c r="B238" s="56">
        <f>IFERROR(__xludf.DUMMYFUNCTION("""COMPUTED_VALUE"""),46192.0)</f>
        <v>46192</v>
      </c>
      <c r="C238" s="55" t="str">
        <f>IFERROR(__xludf.DUMMYFUNCTION("""COMPUTED_VALUE"""),"June")</f>
        <v>June</v>
      </c>
      <c r="D238" s="58" t="str">
        <f>IFERROR(__xludf.DUMMYFUNCTION("""COMPUTED_VALUE"""),"https://www.instagram.com/reel/DZuiDjLugRR/")</f>
        <v>https://www.instagram.com/reel/DZuiDjLugRR/</v>
      </c>
      <c r="E238" s="55" t="str">
        <f>IFERROR(__xludf.DUMMYFUNCTION("""COMPUTED_VALUE"""),"@na")</f>
        <v>@na</v>
      </c>
      <c r="F238" s="55" t="str">
        <f>IFERROR(__xludf.DUMMYFUNCTION("""COMPUTED_VALUE"""),"NA")</f>
        <v>NA</v>
      </c>
      <c r="G238" s="55" t="str">
        <f>IFERROR(__xludf.DUMMYFUNCTION("""COMPUTED_VALUE"""),"Cortisol")</f>
        <v>Cortisol</v>
      </c>
      <c r="H238" s="55">
        <f>IFERROR(__xludf.DUMMYFUNCTION("""COMPUTED_VALUE"""),33.0)</f>
        <v>33</v>
      </c>
      <c r="I238" s="55">
        <f>IFERROR(__xludf.DUMMYFUNCTION("""COMPUTED_VALUE"""),39.1)</f>
        <v>39.1</v>
      </c>
      <c r="J238" s="55" t="str">
        <f>IFERROR(__xludf.DUMMYFUNCTION("""COMPUTED_VALUE"""),"Yes – Recommend")</f>
        <v>Yes – Recommend</v>
      </c>
      <c r="K238" s="55" t="str">
        <f>IFERROR(__xludf.DUMMYFUNCTION("""COMPUTED_VALUE"""),"Yes")</f>
        <v>Yes</v>
      </c>
      <c r="L238" s="55" t="str">
        <f>IFERROR(__xludf.DUMMYFUNCTION("""COMPUTED_VALUE"""),"Score 40.5 ≥ 20 threshold")</f>
        <v>Score 40.5 ≥ 20 threshold</v>
      </c>
      <c r="M238" s="59" t="str">
        <f>IFERROR(__xludf.DUMMYFUNCTION("""COMPUTED_VALUE"""),"No Ad Data")</f>
        <v>No Ad Data</v>
      </c>
      <c r="N238" s="55" t="str">
        <f>IFERROR(__xludf.DUMMYFUNCTION("""COMPUTED_VALUE"""),"4UGC-Cortisol-CTA-ricthelisouza")</f>
        <v>4UGC-Cortisol-CTA-ricthelisouza</v>
      </c>
      <c r="O238" s="58" t="str">
        <f>IFERROR(__xludf.DUMMYFUNCTION("""COMPUTED_VALUE"""),"https://buy.vahdam.com/coffee-cta-ugc-cortisol")</f>
        <v>https://buy.vahdam.com/coffee-cta-ugc-cortisol</v>
      </c>
      <c r="P238" s="59">
        <f>IFERROR(__xludf.DUMMYFUNCTION("""COMPUTED_VALUE"""),1300.0)</f>
        <v>1300</v>
      </c>
      <c r="Q238" s="59">
        <f>IFERROR(__xludf.DUMMYFUNCTION("""COMPUTED_VALUE"""),7.0)</f>
        <v>7</v>
      </c>
      <c r="R238" s="59">
        <f>IFERROR(__xludf.DUMMYFUNCTION("""COMPUTED_VALUE"""),2.0)</f>
        <v>2</v>
      </c>
      <c r="S238" s="55"/>
      <c r="T238" s="68">
        <f>IFERROR(__xludf.DUMMYFUNCTION("""COMPUTED_VALUE"""),0.0)</f>
        <v>0</v>
      </c>
      <c r="U238" s="55"/>
      <c r="V238" s="62">
        <f>IFERROR(__xludf.DUMMYFUNCTION("""COMPUTED_VALUE"""),0.0069)</f>
        <v>0.0069</v>
      </c>
      <c r="W238" s="63">
        <f>IFERROR(__xludf.DUMMYFUNCTION("""COMPUTED_VALUE"""),117.58)</f>
        <v>117.58</v>
      </c>
      <c r="X238" s="59">
        <f>IFERROR(__xludf.DUMMYFUNCTION("""COMPUTED_VALUE"""),1300.0)</f>
        <v>1300</v>
      </c>
      <c r="Y238" s="59">
        <f>IFERROR(__xludf.DUMMYFUNCTION("""COMPUTED_VALUE"""),7.0)</f>
        <v>7</v>
      </c>
      <c r="Z238" s="59">
        <f>IFERROR(__xludf.DUMMYFUNCTION("""COMPUTED_VALUE"""),2.0)</f>
        <v>2</v>
      </c>
      <c r="AA238" s="59">
        <f>IFERROR(__xludf.DUMMYFUNCTION("""COMPUTED_VALUE"""),0.0)</f>
        <v>0</v>
      </c>
      <c r="AB238" s="64">
        <f>IFERROR(__xludf.DUMMYFUNCTION("""COMPUTED_VALUE"""),0.0)</f>
        <v>0</v>
      </c>
      <c r="AC238" s="62">
        <f>IFERROR(__xludf.DUMMYFUNCTION("""COMPUTED_VALUE"""),0.0069)</f>
        <v>0.0069</v>
      </c>
      <c r="AD238" s="62">
        <f>IFERROR(__xludf.DUMMYFUNCTION("""COMPUTED_VALUE"""),0.0)</f>
        <v>0</v>
      </c>
      <c r="AE238" s="62">
        <f>IFERROR(__xludf.DUMMYFUNCTION("""COMPUTED_VALUE"""),0.0)</f>
        <v>0</v>
      </c>
      <c r="AF238" s="55" t="str">
        <f>IFERROR(__xludf.DUMMYFUNCTION("""COMPUTED_VALUE"""),"Yes")</f>
        <v>Yes</v>
      </c>
      <c r="AG238" s="55"/>
      <c r="AH238" s="55"/>
      <c r="AI238" s="55"/>
      <c r="AJ238" s="55"/>
      <c r="AK238" s="55"/>
      <c r="AL238" s="55"/>
      <c r="AM238" s="55" t="str">
        <f>IFERROR(__xludf.DUMMYFUNCTION("""COMPUTED_VALUE"""),"Q9jTBBXJExqzwtQBey9eDGtggByh1_zMvM1ZbJHJ-rUJve3nNfW8Q6YZxy3JQUjXfaY")</f>
        <v>Q9jTBBXJExqzwtQBey9eDGtggByh1_zMvM1ZbJHJ-rUJve3nNfW8Q6YZxy3JQUjXfaY</v>
      </c>
      <c r="AN238" s="55"/>
      <c r="AO238" s="55" t="str">
        <f>IFERROR(__xludf.DUMMYFUNCTION("""COMPUTED_VALUE"""),"NA")</f>
        <v>NA</v>
      </c>
      <c r="AP238" s="55" t="str">
        <f>IFERROR(__xludf.DUMMYFUNCTION("""COMPUTED_VALUE"""),"Not great - accent and quality issue")</f>
        <v>Not great - accent and quality issue</v>
      </c>
      <c r="AQ238" s="55" t="str">
        <f>IFERROR(__xludf.DUMMYFUNCTION("""COMPUTED_VALUE"""),"NA")</f>
        <v>NA</v>
      </c>
      <c r="AR238" s="55" t="str">
        <f>IFERROR(__xludf.DUMMYFUNCTION("""COMPUTED_VALUE"""),"For the longest time, I thought I just needed more coffee.")</f>
        <v>For the longest time, I thought I just needed more coffee.</v>
      </c>
      <c r="AS238" s="55" t="str">
        <f>IFERROR(__xludf.DUMMYFUNCTION("""COMPUTED_VALUE"""),"General / Lifestyle")</f>
        <v>General / Lifestyle</v>
      </c>
      <c r="AT238" s="55" t="str">
        <f>IFERROR(__xludf.DUMMYFUNCTION("""COMPUTED_VALUE"""),"• It combines coffee with ashagwanda, lion's mane, elephantine, turmeric and chaga mushrooms.
• I still get the coffee taste I love, but with a much smoother feeling.
• And honestly, it tastes like delicious regular coffee.
• By the afternoon, I would alr"&amp;"eady be reaching for a second cup because my energy was gone.")</f>
        <v>• It combines coffee with ashagwanda, lion's mane, elephantine, turmeric and chaga mushrooms.
• I still get the coffee taste I love, but with a much smoother feeling.
• And honestly, it tastes like delicious regular coffee.
• By the afternoon, I would already be reaching for a second cup because my energy was gone.</v>
      </c>
      <c r="AU238" s="55" t="str">
        <f>IFERROR(__xludf.DUMMYFUNCTION("""COMPUTED_VALUE"""),"You can find it at Target stores nationwide and on target.com.")</f>
        <v>You can find it at Target stores nationwide and on target.com.</v>
      </c>
      <c r="AV238" s="55" t="str">
        <f>IFERROR(__xludf.DUMMYFUNCTION("""COMPUTED_VALUE"""),"For the longest time, I thought I just needed more coffee. By the afternoon, I would already be reaching for a second cup because my energy was gone. Then I realized that maybe it wasn't about drinking more coffee. Maybe it was about drinking a different "&amp;"one. That's when I found Varam Ashagwanda Coffee. It combines coffee with ashagwanda, lion's mane, elephantine, turmeric and chaga mushrooms. I still get the coffee taste I love, but with a much smoother feeling. And honestly, it tastes like delicious reg"&amp;"ular coffee. You can find it at Target stores nationwide and on target.com.")</f>
        <v>For the longest time, I thought I just needed more coffee. By the afternoon, I would already be reaching for a second cup because my energy was gone. Then I realized that maybe it wasn't about drinking more coffee. Maybe it was about drinking a different one. That's when I found Varam Ashagwanda Coffee. It combines coffee with ashagwanda, lion's mane, elephantine, turmeric and chaga mushrooms. I still get the coffee taste I love, but with a much smoother feeling. And honestly, it tastes like delicious regular coffee. You can find it at Target stores nationwide and on target.com.</v>
      </c>
      <c r="AW238" s="35"/>
      <c r="AX238" s="35"/>
      <c r="AY238" s="35"/>
      <c r="AZ238" s="35"/>
      <c r="BA238" s="35"/>
      <c r="BB238" s="35"/>
      <c r="BC238" s="35"/>
      <c r="BD238" s="35"/>
      <c r="BE238" s="35"/>
      <c r="BF238" s="35"/>
      <c r="BG238" s="35"/>
    </row>
    <row r="239" ht="15.75" customHeight="1">
      <c r="A239" s="55" t="str">
        <f>IFERROR(__xludf.DUMMYFUNCTION("""COMPUTED_VALUE"""),"Instagram")</f>
        <v>Instagram</v>
      </c>
      <c r="B239" s="56">
        <f>IFERROR(__xludf.DUMMYFUNCTION("""COMPUTED_VALUE"""),46201.0)</f>
        <v>46201</v>
      </c>
      <c r="C239" s="55" t="str">
        <f>IFERROR(__xludf.DUMMYFUNCTION("""COMPUTED_VALUE"""),"June")</f>
        <v>June</v>
      </c>
      <c r="D239" s="58" t="str">
        <f>IFERROR(__xludf.DUMMYFUNCTION("""COMPUTED_VALUE"""),"https://www.instagram.com/reel/DaCVRR_ysjp/")</f>
        <v>https://www.instagram.com/reel/DaCVRR_ysjp/</v>
      </c>
      <c r="E239" s="55" t="str">
        <f>IFERROR(__xludf.DUMMYFUNCTION("""COMPUTED_VALUE"""),"@julia_alekhina")</f>
        <v>@julia_alekhina</v>
      </c>
      <c r="F239" s="55" t="str">
        <f>IFERROR(__xludf.DUMMYFUNCTION("""COMPUTED_VALUE"""),"NA")</f>
        <v>NA</v>
      </c>
      <c r="G239" s="55" t="str">
        <f>IFERROR(__xludf.DUMMYFUNCTION("""COMPUTED_VALUE"""),"Gummies vs Coffee")</f>
        <v>Gummies vs Coffee</v>
      </c>
      <c r="H239" s="55">
        <f>IFERROR(__xludf.DUMMYFUNCTION("""COMPUTED_VALUE"""),24.0)</f>
        <v>24</v>
      </c>
      <c r="I239" s="55">
        <f>IFERROR(__xludf.DUMMYFUNCTION("""COMPUTED_VALUE"""),47.0)</f>
        <v>47</v>
      </c>
      <c r="J239" s="55" t="str">
        <f>IFERROR(__xludf.DUMMYFUNCTION("""COMPUTED_VALUE"""),"Yes – Recommend")</f>
        <v>Yes – Recommend</v>
      </c>
      <c r="K239" s="55" t="str">
        <f>IFERROR(__xludf.DUMMYFUNCTION("""COMPUTED_VALUE"""),"Yes")</f>
        <v>Yes</v>
      </c>
      <c r="L239" s="55" t="str">
        <f>IFERROR(__xludf.DUMMYFUNCTION("""COMPUTED_VALUE"""),"Score 49.2 ≥ 20 threshold")</f>
        <v>Score 49.2 ≥ 20 threshold</v>
      </c>
      <c r="M239" s="59" t="str">
        <f>IFERROR(__xludf.DUMMYFUNCTION("""COMPUTED_VALUE"""),"No Ad Data")</f>
        <v>No Ad Data</v>
      </c>
      <c r="N239" s="59" t="str">
        <f>IFERROR(__xludf.DUMMYFUNCTION("""COMPUTED_VALUE"""),"Skip - accent")</f>
        <v>Skip - accent</v>
      </c>
      <c r="O239" s="77" t="str">
        <f>IFERROR(__xludf.DUMMYFUNCTION("""COMPUTED_VALUE"""),"https://buy.vahdam.com/coffee-cta-ugc-gummies")</f>
        <v>https://buy.vahdam.com/coffee-cta-ugc-gummies</v>
      </c>
      <c r="P239" s="59">
        <f>IFERROR(__xludf.DUMMYFUNCTION("""COMPUTED_VALUE"""),844.0)</f>
        <v>844</v>
      </c>
      <c r="Q239" s="59">
        <f>IFERROR(__xludf.DUMMYFUNCTION("""COMPUTED_VALUE"""),24.0)</f>
        <v>24</v>
      </c>
      <c r="R239" s="59">
        <f>IFERROR(__xludf.DUMMYFUNCTION("""COMPUTED_VALUE"""),6.0)</f>
        <v>6</v>
      </c>
      <c r="S239" s="55"/>
      <c r="T239" s="68">
        <f>IFERROR(__xludf.DUMMYFUNCTION("""COMPUTED_VALUE"""),0.0)</f>
        <v>0</v>
      </c>
      <c r="U239" s="55"/>
      <c r="V239" s="62">
        <f>IFERROR(__xludf.DUMMYFUNCTION("""COMPUTED_VALUE"""),0.0)</f>
        <v>0</v>
      </c>
      <c r="W239" s="63">
        <f>IFERROR(__xludf.DUMMYFUNCTION("""COMPUTED_VALUE"""),72.99)</f>
        <v>72.99</v>
      </c>
      <c r="X239" s="59">
        <f>IFERROR(__xludf.DUMMYFUNCTION("""COMPUTED_VALUE"""),844.0)</f>
        <v>844</v>
      </c>
      <c r="Y239" s="59">
        <f>IFERROR(__xludf.DUMMYFUNCTION("""COMPUTED_VALUE"""),24.0)</f>
        <v>24</v>
      </c>
      <c r="Z239" s="59">
        <f>IFERROR(__xludf.DUMMYFUNCTION("""COMPUTED_VALUE"""),6.0)</f>
        <v>6</v>
      </c>
      <c r="AA239" s="59">
        <f>IFERROR(__xludf.DUMMYFUNCTION("""COMPUTED_VALUE"""),0.0)</f>
        <v>0</v>
      </c>
      <c r="AB239" s="64">
        <f>IFERROR(__xludf.DUMMYFUNCTION("""COMPUTED_VALUE"""),0.0)</f>
        <v>0</v>
      </c>
      <c r="AC239" s="62">
        <f>IFERROR(__xludf.DUMMYFUNCTION("""COMPUTED_VALUE"""),0.0)</f>
        <v>0</v>
      </c>
      <c r="AD239" s="62">
        <f>IFERROR(__xludf.DUMMYFUNCTION("""COMPUTED_VALUE"""),0.0)</f>
        <v>0</v>
      </c>
      <c r="AE239" s="62">
        <f>IFERROR(__xludf.DUMMYFUNCTION("""COMPUTED_VALUE"""),0.0)</f>
        <v>0</v>
      </c>
      <c r="AF239" s="55" t="str">
        <f>IFERROR(__xludf.DUMMYFUNCTION("""COMPUTED_VALUE"""),"Yes")</f>
        <v>Yes</v>
      </c>
      <c r="AG239" s="55"/>
      <c r="AH239" s="55"/>
      <c r="AI239" s="55"/>
      <c r="AJ239" s="55"/>
      <c r="AK239" s="55"/>
      <c r="AL239" s="55"/>
      <c r="AM239" s="55" t="str">
        <f>IFERROR(__xludf.DUMMYFUNCTION("""COMPUTED_VALUE"""),"NA")</f>
        <v>NA</v>
      </c>
      <c r="AN239" s="55"/>
      <c r="AO239" s="55" t="str">
        <f>IFERROR(__xludf.DUMMYFUNCTION("""COMPUTED_VALUE"""),"NA")</f>
        <v>NA</v>
      </c>
      <c r="AP239" s="55" t="str">
        <f>IFERROR(__xludf.DUMMYFUNCTION("""COMPUTED_VALUE"""),"NA")</f>
        <v>NA</v>
      </c>
      <c r="AQ239" s="55" t="str">
        <f>IFERROR(__xludf.DUMMYFUNCTION("""COMPUTED_VALUE"""),"If youâ€™re a toddler mom, you know that peaceful mornings are rare ðŸ˜… Iâ€™ve been enjoying VAHDAMÂ® Ashwagandha Coffee lately as part of my morning routine. Itâ€™s easy to make, tastes great, and fits...")</f>
        <v>If youâ€™re a toddler mom, you know that peaceful mornings are rare ðŸ˜… Iâ€™ve been enjoying VAHDAMÂ® Ashwagandha Coffee lately as part of my morning routine. Itâ€™s easy to make, tastes great, and fits...</v>
      </c>
      <c r="AR239" s="55" t="str">
        <f>IFERROR(__xludf.DUMMYFUNCTION("""COMPUTED_VALUE"""),"Stressful mornings can seriously alleviate cortisol and with a toddler that's basically every morning.")</f>
        <v>Stressful mornings can seriously alleviate cortisol and with a toddler that's basically every morning.</v>
      </c>
      <c r="AS239" s="55" t="str">
        <f>IFERROR(__xludf.DUMMYFUNCTION("""COMPUTED_VALUE"""),"Problem / Pain Point")</f>
        <v>Problem / Pain Point</v>
      </c>
      <c r="AT239" s="55" t="str">
        <f>IFERROR(__xludf.DUMMYFUNCTION("""COMPUTED_VALUE"""),"• It's coffee with KSM 66 ashwagandha plus other wellness ingredients all in one cup.
• I love that it's simple, it fits into my morning and it actually tastes like delicious regular coffee.
• So lately I've been making VADAM ashwagandha coffee part of my"&amp;" routine.")</f>
        <v>• It's coffee with KSM 66 ashwagandha plus other wellness ingredients all in one cup.
• I love that it's simple, it fits into my morning and it actually tastes like delicious regular coffee.
• So lately I've been making VADAM ashwagandha coffee part of my routine.</v>
      </c>
      <c r="AU239" s="55" t="str">
        <f>IFERROR(__xludf.DUMMYFUNCTION("""COMPUTED_VALUE"""),"You can find it at Target store or order online.")</f>
        <v>You can find it at Target store or order online.</v>
      </c>
      <c r="AV239" s="55" t="str">
        <f>IFERROR(__xludf.DUMMYFUNCTION("""COMPUTED_VALUE"""),"Stressful mornings can seriously alleviate cortisol and with a toddler that's basically every morning. So lately I've been making VADAM ashwagandha coffee part of my routine. It's coffee with KSM 66 ashwagandha plus other wellness ingredients all in one c"&amp;"up. I love that it's simple, it fits into my morning and it actually tastes like delicious regular coffee. You can find it at Target store or order online.")</f>
        <v>Stressful mornings can seriously alleviate cortisol and with a toddler that's basically every morning. So lately I've been making VADAM ashwagandha coffee part of my routine. It's coffee with KSM 66 ashwagandha plus other wellness ingredients all in one cup. I love that it's simple, it fits into my morning and it actually tastes like delicious regular coffee. You can find it at Target store or order online.</v>
      </c>
      <c r="AW239" s="35"/>
      <c r="AX239" s="35"/>
      <c r="AY239" s="35"/>
      <c r="AZ239" s="35"/>
      <c r="BA239" s="35"/>
      <c r="BB239" s="35"/>
      <c r="BC239" s="35"/>
      <c r="BD239" s="35"/>
      <c r="BE239" s="35"/>
      <c r="BF239" s="35"/>
      <c r="BG239" s="35"/>
    </row>
    <row r="240" ht="15.75" customHeight="1">
      <c r="A240" s="55" t="str">
        <f>IFERROR(__xludf.DUMMYFUNCTION("""COMPUTED_VALUE"""),"Instagram")</f>
        <v>Instagram</v>
      </c>
      <c r="B240" s="56">
        <f>IFERROR(__xludf.DUMMYFUNCTION("""COMPUTED_VALUE"""),46191.0)</f>
        <v>46191</v>
      </c>
      <c r="C240" s="55" t="str">
        <f>IFERROR(__xludf.DUMMYFUNCTION("""COMPUTED_VALUE"""),"June")</f>
        <v>June</v>
      </c>
      <c r="D240" s="58" t="str">
        <f>IFERROR(__xludf.DUMMYFUNCTION("""COMPUTED_VALUE"""),"https://www.instagram.com/reel/DZpnlctOEpv/")</f>
        <v>https://www.instagram.com/reel/DZpnlctOEpv/</v>
      </c>
      <c r="E240" s="55" t="str">
        <f>IFERROR(__xludf.DUMMYFUNCTION("""COMPUTED_VALUE"""),"@na")</f>
        <v>@na</v>
      </c>
      <c r="F240" s="55" t="str">
        <f>IFERROR(__xludf.DUMMYFUNCTION("""COMPUTED_VALUE"""),"NA")</f>
        <v>NA</v>
      </c>
      <c r="G240" s="55" t="str">
        <f>IFERROR(__xludf.DUMMYFUNCTION("""COMPUTED_VALUE"""),"Over 40/ High Performer")</f>
        <v>Over 40/ High Performer</v>
      </c>
      <c r="H240" s="55">
        <f>IFERROR(__xludf.DUMMYFUNCTION("""COMPUTED_VALUE"""),16.0)</f>
        <v>16</v>
      </c>
      <c r="I240" s="55">
        <f>IFERROR(__xludf.DUMMYFUNCTION("""COMPUTED_VALUE"""),37.9)</f>
        <v>37.9</v>
      </c>
      <c r="J240" s="55" t="str">
        <f>IFERROR(__xludf.DUMMYFUNCTION("""COMPUTED_VALUE"""),"Yes – Recommend")</f>
        <v>Yes – Recommend</v>
      </c>
      <c r="K240" s="55" t="str">
        <f>IFERROR(__xludf.DUMMYFUNCTION("""COMPUTED_VALUE"""),"Review before running ads")</f>
        <v>Review before running ads</v>
      </c>
      <c r="L240" s="55" t="str">
        <f>IFERROR(__xludf.DUMMYFUNCTION("""COMPUTED_VALUE"""),"Score 39.9 ≥ 20 threshold")</f>
        <v>Score 39.9 ≥ 20 threshold</v>
      </c>
      <c r="M240" s="59" t="str">
        <f>IFERROR(__xludf.DUMMYFUNCTION("""COMPUTED_VALUE"""),"No Ad Data")</f>
        <v>No Ad Data</v>
      </c>
      <c r="N240" s="55"/>
      <c r="O240" s="55"/>
      <c r="P240" s="59">
        <f>IFERROR(__xludf.DUMMYFUNCTION("""COMPUTED_VALUE"""),717.0)</f>
        <v>717</v>
      </c>
      <c r="Q240" s="59">
        <f>IFERROR(__xludf.DUMMYFUNCTION("""COMPUTED_VALUE"""),16.0)</f>
        <v>16</v>
      </c>
      <c r="R240" s="59">
        <f>IFERROR(__xludf.DUMMYFUNCTION("""COMPUTED_VALUE"""),0.0)</f>
        <v>0</v>
      </c>
      <c r="S240" s="55"/>
      <c r="T240" s="68">
        <f>IFERROR(__xludf.DUMMYFUNCTION("""COMPUTED_VALUE"""),0.0)</f>
        <v>0</v>
      </c>
      <c r="U240" s="55"/>
      <c r="V240" s="62">
        <f>IFERROR(__xludf.DUMMYFUNCTION("""COMPUTED_VALUE"""),0.0223)</f>
        <v>0.0223</v>
      </c>
      <c r="W240" s="63">
        <f>IFERROR(__xludf.DUMMYFUNCTION("""COMPUTED_VALUE"""),117.58)</f>
        <v>117.58</v>
      </c>
      <c r="X240" s="59">
        <f>IFERROR(__xludf.DUMMYFUNCTION("""COMPUTED_VALUE"""),717.0)</f>
        <v>717</v>
      </c>
      <c r="Y240" s="59">
        <f>IFERROR(__xludf.DUMMYFUNCTION("""COMPUTED_VALUE"""),16.0)</f>
        <v>16</v>
      </c>
      <c r="Z240" s="59">
        <f>IFERROR(__xludf.DUMMYFUNCTION("""COMPUTED_VALUE"""),0.0)</f>
        <v>0</v>
      </c>
      <c r="AA240" s="59">
        <f>IFERROR(__xludf.DUMMYFUNCTION("""COMPUTED_VALUE"""),0.0)</f>
        <v>0</v>
      </c>
      <c r="AB240" s="64">
        <f>IFERROR(__xludf.DUMMYFUNCTION("""COMPUTED_VALUE"""),0.0)</f>
        <v>0</v>
      </c>
      <c r="AC240" s="62">
        <f>IFERROR(__xludf.DUMMYFUNCTION("""COMPUTED_VALUE"""),0.0223)</f>
        <v>0.0223</v>
      </c>
      <c r="AD240" s="62">
        <f>IFERROR(__xludf.DUMMYFUNCTION("""COMPUTED_VALUE"""),0.0)</f>
        <v>0</v>
      </c>
      <c r="AE240" s="62">
        <f>IFERROR(__xludf.DUMMYFUNCTION("""COMPUTED_VALUE"""),0.0)</f>
        <v>0</v>
      </c>
      <c r="AF240" s="55"/>
      <c r="AG240" s="55"/>
      <c r="AH240" s="55"/>
      <c r="AI240" s="55"/>
      <c r="AJ240" s="55"/>
      <c r="AK240" s="55"/>
      <c r="AL240" s="55"/>
      <c r="AM240" s="55" t="str">
        <f>IFERROR(__xludf.DUMMYFUNCTION("""COMPUTED_VALUE"""),"Q9jTBBVXdzNgep6rx4azbFmtzHs4dNGdGupwxvEABaX8V1fORj3sk_0zTFjH1AeZWs0")</f>
        <v>Q9jTBBVXdzNgep6rx4azbFmtzHs4dNGdGupwxvEABaX8V1fORj3sk_0zTFjH1AeZWs0</v>
      </c>
      <c r="AN240" s="55"/>
      <c r="AO240" s="55" t="str">
        <f>IFERROR(__xludf.DUMMYFUNCTION("""COMPUTED_VALUE"""),"NA")</f>
        <v>NA</v>
      </c>
      <c r="AP240" s="55" t="str">
        <f>IFERROR(__xludf.DUMMYFUNCTION("""COMPUTED_VALUE"""),"NA")</f>
        <v>NA</v>
      </c>
      <c r="AQ240" s="55" t="str">
        <f>IFERROR(__xludf.DUMMYFUNCTION("""COMPUTED_VALUE"""),"NA")</f>
        <v>NA</v>
      </c>
      <c r="AR240" s="55" t="str">
        <f>IFERROR(__xludf.DUMMYFUNCTION("""COMPUTED_VALUE"""),"Se café costuma te deixar acelerado, você precisa conhecer essa opção aqui.")</f>
        <v>Se café costuma te deixar acelerado, você precisa conhecer essa opção aqui.</v>
      </c>
      <c r="AS240" s="55" t="str">
        <f>IFERROR(__xludf.DUMMYFUNCTION("""COMPUTED_VALUE"""),"General / Lifestyle")</f>
        <v>General / Lifestyle</v>
      </c>
      <c r="AT240" s="55" t="str">
        <f>IFERROR(__xludf.DUMMYFUNCTION("""COMPUTED_VALUE"""),"• Esse café combina café premium com achaganda, elitanine, cúrcuma e cogumelos funcionais.")</f>
        <v>• Esse café combina café premium com achaganda, elitanine, cúrcuma e cogumelos funcionais.</v>
      </c>
      <c r="AU240" s="55" t="str">
        <f>IFERROR(__xludf.DUMMYFUNCTION("""COMPUTED_VALUE"""),"A proposta dele é oferecer uma energia mais equilibrada, além de apoiar o foco e bem-estar ao longo do dia.")</f>
        <v>A proposta dele é oferecer uma energia mais equilibrada, além de apoiar o foco e bem-estar ao longo do dia.</v>
      </c>
      <c r="AV240" s="55" t="str">
        <f>IFERROR(__xludf.DUMMYFUNCTION("""COMPUTED_VALUE"""),"Se café costuma te deixar acelerado, você precisa conhecer essa opção aqui. Esse café combina café premium com achaganda, elitanine, cúrcuma e cogumelos funcionais. A proposta dele é oferecer uma energia mais equilibrada, além de apoiar o foco e bem-estar"&amp;" ao longo do dia.")</f>
        <v>Se café costuma te deixar acelerado, você precisa conhecer essa opção aqui. Esse café combina café premium com achaganda, elitanine, cúrcuma e cogumelos funcionais. A proposta dele é oferecer uma energia mais equilibrada, além de apoiar o foco e bem-estar ao longo do dia.</v>
      </c>
      <c r="AW240" s="35"/>
      <c r="AX240" s="35"/>
      <c r="AY240" s="35"/>
      <c r="AZ240" s="35"/>
      <c r="BA240" s="35"/>
      <c r="BB240" s="35"/>
      <c r="BC240" s="35"/>
      <c r="BD240" s="35"/>
      <c r="BE240" s="35"/>
      <c r="BF240" s="35"/>
      <c r="BG240" s="35"/>
    </row>
    <row r="241" ht="15.75" customHeight="1">
      <c r="A241" s="55" t="str">
        <f>IFERROR(__xludf.DUMMYFUNCTION("""COMPUTED_VALUE"""),"Tiktok")</f>
        <v>Tiktok</v>
      </c>
      <c r="B241" s="56">
        <f>IFERROR(__xludf.DUMMYFUNCTION("""COMPUTED_VALUE"""),46190.0)</f>
        <v>46190</v>
      </c>
      <c r="C241" s="55" t="str">
        <f>IFERROR(__xludf.DUMMYFUNCTION("""COMPUTED_VALUE"""),"June")</f>
        <v>June</v>
      </c>
      <c r="D241" s="58" t="str">
        <f>IFERROR(__xludf.DUMMYFUNCTION("""COMPUTED_VALUE"""),"https://www.tiktok.com/@almitaa1125/video/7652431091403361549")</f>
        <v>https://www.tiktok.com/@almitaa1125/video/7652431091403361549</v>
      </c>
      <c r="E241" s="55" t="str">
        <f>IFERROR(__xludf.DUMMYFUNCTION("""COMPUTED_VALUE"""),"@almitaa1125")</f>
        <v>@almitaa1125</v>
      </c>
      <c r="F241" s="55" t="str">
        <f>IFERROR(__xludf.DUMMYFUNCTION("""COMPUTED_VALUE"""),"Alma Arizaga")</f>
        <v>Alma Arizaga</v>
      </c>
      <c r="G241" s="55" t="str">
        <f>IFERROR(__xludf.DUMMYFUNCTION("""COMPUTED_VALUE"""),"Cortisol")</f>
        <v>Cortisol</v>
      </c>
      <c r="H241" s="55">
        <f>IFERROR(__xludf.DUMMYFUNCTION("""COMPUTED_VALUE"""),44.0)</f>
        <v>44</v>
      </c>
      <c r="I241" s="55">
        <f>IFERROR(__xludf.DUMMYFUNCTION("""COMPUTED_VALUE"""),37.1)</f>
        <v>37.1</v>
      </c>
      <c r="J241" s="55" t="str">
        <f>IFERROR(__xludf.DUMMYFUNCTION("""COMPUTED_VALUE"""),"Yes – Recommend")</f>
        <v>Yes – Recommend</v>
      </c>
      <c r="K241" s="55" t="str">
        <f>IFERROR(__xludf.DUMMYFUNCTION("""COMPUTED_VALUE"""),"Yes")</f>
        <v>Yes</v>
      </c>
      <c r="L241" s="55" t="str">
        <f>IFERROR(__xludf.DUMMYFUNCTION("""COMPUTED_VALUE"""),"Score 36.9 ≥ 30")</f>
        <v>Score 36.9 ≥ 30</v>
      </c>
      <c r="M241" s="59" t="str">
        <f>IFERROR(__xludf.DUMMYFUNCTION("""COMPUTED_VALUE"""),"Algorithm spent low")</f>
        <v>Algorithm spent low</v>
      </c>
      <c r="N241" s="55"/>
      <c r="O241" s="55"/>
      <c r="P241" s="59">
        <f>IFERROR(__xludf.DUMMYFUNCTION("""COMPUTED_VALUE"""),695.0)</f>
        <v>695</v>
      </c>
      <c r="Q241" s="59">
        <f>IFERROR(__xludf.DUMMYFUNCTION("""COMPUTED_VALUE"""),5.0)</f>
        <v>5</v>
      </c>
      <c r="R241" s="59">
        <f>IFERROR(__xludf.DUMMYFUNCTION("""COMPUTED_VALUE"""),0.0)</f>
        <v>0</v>
      </c>
      <c r="S241" s="62">
        <f>IFERROR(__xludf.DUMMYFUNCTION("""COMPUTED_VALUE"""),16.9)</f>
        <v>16.9</v>
      </c>
      <c r="T241" s="62">
        <f>IFERROR(__xludf.DUMMYFUNCTION("""COMPUTED_VALUE"""),5.6)</f>
        <v>5.6</v>
      </c>
      <c r="U241" s="64">
        <f>IFERROR(__xludf.DUMMYFUNCTION("""COMPUTED_VALUE"""),2.0)</f>
        <v>2</v>
      </c>
      <c r="V241" s="62">
        <f>IFERROR(__xludf.DUMMYFUNCTION("""COMPUTED_VALUE"""),0.71)</f>
        <v>0.71</v>
      </c>
      <c r="W241" s="63">
        <f>IFERROR(__xludf.DUMMYFUNCTION("""COMPUTED_VALUE"""),117.58)</f>
        <v>117.58</v>
      </c>
      <c r="X241" s="59">
        <f>IFERROR(__xludf.DUMMYFUNCTION("""COMPUTED_VALUE"""),695.0)</f>
        <v>695</v>
      </c>
      <c r="Y241" s="59">
        <f>IFERROR(__xludf.DUMMYFUNCTION("""COMPUTED_VALUE"""),5.0)</f>
        <v>5</v>
      </c>
      <c r="Z241" s="59">
        <f>IFERROR(__xludf.DUMMYFUNCTION("""COMPUTED_VALUE"""),0.0)</f>
        <v>0</v>
      </c>
      <c r="AA241" s="59">
        <f>IFERROR(__xludf.DUMMYFUNCTION("""COMPUTED_VALUE"""),0.0)</f>
        <v>0</v>
      </c>
      <c r="AB241" s="64">
        <f>IFERROR(__xludf.DUMMYFUNCTION("""COMPUTED_VALUE"""),2.0)</f>
        <v>2</v>
      </c>
      <c r="AC241" s="62">
        <f>IFERROR(__xludf.DUMMYFUNCTION("""COMPUTED_VALUE"""),0.71)</f>
        <v>0.71</v>
      </c>
      <c r="AD241" s="62">
        <f>IFERROR(__xludf.DUMMYFUNCTION("""COMPUTED_VALUE"""),16.9)</f>
        <v>16.9</v>
      </c>
      <c r="AE241" s="62">
        <f>IFERROR(__xludf.DUMMYFUNCTION("""COMPUTED_VALUE"""),5.6)</f>
        <v>5.6</v>
      </c>
      <c r="AF241" s="55" t="str">
        <f>IFERROR(__xludf.DUMMYFUNCTION("""COMPUTED_VALUE"""),"Yes")</f>
        <v>Yes</v>
      </c>
      <c r="AG241" s="63">
        <f>IFERROR(__xludf.DUMMYFUNCTION("""COMPUTED_VALUE"""),20.79)</f>
        <v>20.79</v>
      </c>
      <c r="AH241" s="59">
        <f>IFERROR(__xludf.DUMMYFUNCTION("""COMPUTED_VALUE"""),2322.0)</f>
        <v>2322</v>
      </c>
      <c r="AI241" s="55"/>
      <c r="AJ241" s="59">
        <f>IFERROR(__xludf.DUMMYFUNCTION("""COMPUTED_VALUE"""),11.0)</f>
        <v>11</v>
      </c>
      <c r="AK241" s="62">
        <f>IFERROR(__xludf.DUMMYFUNCTION("""COMPUTED_VALUE"""),0.4737)</f>
        <v>0.4737</v>
      </c>
      <c r="AL241" s="65">
        <f>IFERROR(__xludf.DUMMYFUNCTION("""COMPUTED_VALUE"""),1.89)</f>
        <v>1.89</v>
      </c>
      <c r="AM241" s="55" t="str">
        <f>IFERROR(__xludf.DUMMYFUNCTION("""COMPUTED_VALUE"""),"#jPpCoyAOxFE9OWKciLhvAn6u99cQP4aqB/NoLeF1/ysdmZcggj4NmV1W7vB4ikk=")</f>
        <v>#jPpCoyAOxFE9OWKciLhvAn6u99cQP4aqB/NoLeF1/ysdmZcggj4NmV1W7vB4ikk=</v>
      </c>
      <c r="AN241" s="55"/>
      <c r="AO241" s="58" t="str">
        <f>IFERROR(__xludf.DUMMYFUNCTION("""COMPUTED_VALUE"""),"https://us.brand.joinbrands.com/job/689751")</f>
        <v>https://us.brand.joinbrands.com/job/689751</v>
      </c>
      <c r="AP241" s="55" t="str">
        <f>IFERROR(__xludf.DUMMYFUNCTION("""COMPUTED_VALUE"""),"NA")</f>
        <v>NA</v>
      </c>
      <c r="AQ241" s="55" t="str">
        <f>IFERROR(__xludf.DUMMYFUNCTION("""COMPUTED_VALUE"""),"My new obsession @VAHDAM USA get yours @target #vahdamusa #targetfinds #musthaves #coffeelovers")</f>
        <v>My new obsession @VAHDAM USA get yours @target #vahdamusa #targetfinds #musthaves #coffeelovers</v>
      </c>
      <c r="AR241" s="55" t="str">
        <f>IFERROR(__xludf.DUMMYFUNCTION("""COMPUTED_VALUE"""),"Here I am back at target, restocking my latest wellness obsession.")</f>
        <v>Here I am back at target, restocking my latest wellness obsession.</v>
      </c>
      <c r="AS241" s="55" t="str">
        <f>IFERROR(__xludf.DUMMYFUNCTION("""COMPUTED_VALUE"""),"In-Store / Target Discovery")</f>
        <v>In-Store / Target Discovery</v>
      </c>
      <c r="AT241" s="55" t="str">
        <f>IFERROR(__xludf.DUMMYFUNCTION("""COMPUTED_VALUE"""),"• It combines coffee with ingredients like KSM 66, ashwagandha, L theanine, turmeric, lions mane, and functional mushrooms.
• Lately, it's been the ashwagandha coffee.
• It tastes like coffee, which is important, because if I don't like the taste, I'm not"&amp;" sticking with it.
• What I like about it is that it's more than a coffee.")</f>
        <v>• It combines coffee with ingredients like KSM 66, ashwagandha, L theanine, turmeric, lions mane, and functional mushrooms.
• Lately, it's been the ashwagandha coffee.
• It tastes like coffee, which is important, because if I don't like the taste, I'm not sticking with it.
• What I like about it is that it's more than a coffee.</v>
      </c>
      <c r="AU241" s="55" t="str">
        <f>IFERROR(__xludf.DUMMYFUNCTION("""COMPUTED_VALUE"""),"You can find the ashwagandha coffee at target stores nationwide and target.com.")</f>
        <v>You can find the ashwagandha coffee at target stores nationwide and target.com.</v>
      </c>
      <c r="AV241" s="55" t="str">
        <f>IFERROR(__xludf.DUMMYFUNCTION("""COMPUTED_VALUE"""),"Here I am back at target, restocking my latest wellness obsession. Lately, it's been the ashwagandha coffee. What I like about it is that it's more than a coffee. It combines coffee with ingredients like KSM 66, ashwagandha, L theanine, turmeric, lions ma"&amp;"ne, and functional mushrooms. I've been trying to make small wellness swaps that actually fit into my day, and this has been super easy. Instead of adding another step to my routine, it's already built into something I was going to make anyway. And the be"&amp;"st part? It tastes like coffee, which is important, because if I don't like the taste, I'm not sticking with it. You can find the ashwagandha coffee at target stores nationwide and target.com.")</f>
        <v>Here I am back at target, restocking my latest wellness obsession. Lately, it's been the ashwagandha coffee. What I like about it is that it's more than a coffee. It combines coffee with ingredients like KSM 66, ashwagandha, L theanine, turmeric, lions mane, and functional mushrooms. I've been trying to make small wellness swaps that actually fit into my day, and this has been super easy. Instead of adding another step to my routine, it's already built into something I was going to make anyway. And the best part? It tastes like coffee, which is important, because if I don't like the taste, I'm not sticking with it. You can find the ashwagandha coffee at target stores nationwide and target.com.</v>
      </c>
      <c r="AW241" s="35"/>
      <c r="AX241" s="35"/>
      <c r="AY241" s="35"/>
      <c r="AZ241" s="35"/>
      <c r="BA241" s="35"/>
      <c r="BB241" s="35"/>
      <c r="BC241" s="35"/>
      <c r="BD241" s="35"/>
      <c r="BE241" s="35"/>
      <c r="BF241" s="35"/>
      <c r="BG241" s="35"/>
    </row>
    <row r="242" ht="15.75" customHeight="1">
      <c r="A242" s="55" t="str">
        <f>IFERROR(__xludf.DUMMYFUNCTION("""COMPUTED_VALUE"""),"Instagram")</f>
        <v>Instagram</v>
      </c>
      <c r="B242" s="56">
        <f>IFERROR(__xludf.DUMMYFUNCTION("""COMPUTED_VALUE"""),46203.0)</f>
        <v>46203</v>
      </c>
      <c r="C242" s="55" t="str">
        <f>IFERROR(__xludf.DUMMYFUNCTION("""COMPUTED_VALUE"""),"June")</f>
        <v>June</v>
      </c>
      <c r="D242" s="58" t="str">
        <f>IFERROR(__xludf.DUMMYFUNCTION("""COMPUTED_VALUE"""),"https://www.instagram.com/reel/DaLA4hUN__0/")</f>
        <v>https://www.instagram.com/reel/DaLA4hUN__0/</v>
      </c>
      <c r="E242" s="55" t="str">
        <f>IFERROR(__xludf.DUMMYFUNCTION("""COMPUTED_VALUE"""),"malkomes1")</f>
        <v>malkomes1</v>
      </c>
      <c r="F242" s="55"/>
      <c r="G242" s="55" t="str">
        <f>IFERROR(__xludf.DUMMYFUNCTION("""COMPUTED_VALUE"""),"Countering Mushroom Coffee Trend")</f>
        <v>Countering Mushroom Coffee Trend</v>
      </c>
      <c r="H242" s="55"/>
      <c r="I242" s="55">
        <f>IFERROR(__xludf.DUMMYFUNCTION("""COMPUTED_VALUE"""),53.1)</f>
        <v>53.1</v>
      </c>
      <c r="J242" s="55" t="str">
        <f>IFERROR(__xludf.DUMMYFUNCTION("""COMPUTED_VALUE"""),"Yes – Recommend")</f>
        <v>Yes – Recommend</v>
      </c>
      <c r="K242" s="55" t="str">
        <f>IFERROR(__xludf.DUMMYFUNCTION("""COMPUTED_VALUE"""),"Yes")</f>
        <v>Yes</v>
      </c>
      <c r="L242" s="55" t="str">
        <f>IFERROR(__xludf.DUMMYFUNCTION("""COMPUTED_VALUE"""),"Score 55.6 ≥ 20 threshold")</f>
        <v>Score 55.6 ≥ 20 threshold</v>
      </c>
      <c r="M242" s="59" t="str">
        <f>IFERROR(__xludf.DUMMYFUNCTION("""COMPUTED_VALUE"""),"No Ad Data")</f>
        <v>No Ad Data</v>
      </c>
      <c r="N242" s="55" t="str">
        <f>IFERROR(__xludf.DUMMYFUNCTION("""COMPUTED_VALUE"""),"2UGC-Mushroom-CTA-malkomes1")</f>
        <v>2UGC-Mushroom-CTA-malkomes1</v>
      </c>
      <c r="O242" s="77" t="str">
        <f>IFERROR(__xludf.DUMMYFUNCTION("""COMPUTED_VALUE"""),"https://buy.vahdam.com/coffee-cta-ugc-mushroom")</f>
        <v>https://buy.vahdam.com/coffee-cta-ugc-mushroom</v>
      </c>
      <c r="P242" s="59">
        <f>IFERROR(__xludf.DUMMYFUNCTION("""COMPUTED_VALUE"""),635.0)</f>
        <v>635</v>
      </c>
      <c r="Q242" s="59">
        <f>IFERROR(__xludf.DUMMYFUNCTION("""COMPUTED_VALUE"""),39.0)</f>
        <v>39</v>
      </c>
      <c r="R242" s="59">
        <f>IFERROR(__xludf.DUMMYFUNCTION("""COMPUTED_VALUE"""),25.0)</f>
        <v>25</v>
      </c>
      <c r="S242" s="55"/>
      <c r="T242" s="55"/>
      <c r="U242" s="55"/>
      <c r="V242" s="55"/>
      <c r="W242" s="63">
        <f>IFERROR(__xludf.DUMMYFUNCTION("""COMPUTED_VALUE"""),117.58)</f>
        <v>117.58</v>
      </c>
      <c r="X242" s="59">
        <f>IFERROR(__xludf.DUMMYFUNCTION("""COMPUTED_VALUE"""),635.0)</f>
        <v>635</v>
      </c>
      <c r="Y242" s="59">
        <f>IFERROR(__xludf.DUMMYFUNCTION("""COMPUTED_VALUE"""),39.0)</f>
        <v>39</v>
      </c>
      <c r="Z242" s="59">
        <f>IFERROR(__xludf.DUMMYFUNCTION("""COMPUTED_VALUE"""),25.0)</f>
        <v>25</v>
      </c>
      <c r="AA242" s="55"/>
      <c r="AB242" s="55"/>
      <c r="AC242" s="55"/>
      <c r="AD242" s="55"/>
      <c r="AE242" s="55"/>
      <c r="AF242" s="55" t="str">
        <f>IFERROR(__xludf.DUMMYFUNCTION("""COMPUTED_VALUE"""),"Yes")</f>
        <v>Yes</v>
      </c>
      <c r="AG242" s="55"/>
      <c r="AH242" s="55"/>
      <c r="AI242" s="55"/>
      <c r="AJ242" s="55"/>
      <c r="AK242" s="55"/>
      <c r="AL242" s="55"/>
      <c r="AM242" s="55" t="str">
        <f>IFERROR(__xludf.DUMMYFUNCTION("""COMPUTED_VALUE"""),"Q9jTBBWz6o33M01l-oXPtZv5-tWcf3PFsZOJsxKz-qgLEfNbghaMrx1KtKALjP4eiw")</f>
        <v>Q9jTBBWz6o33M01l-oXPtZv5-tWcf3PFsZOJsxKz-qgLEfNbghaMrx1KtKALjP4eiw</v>
      </c>
      <c r="AN242" s="55"/>
      <c r="AO242" s="55"/>
      <c r="AP242" s="55"/>
      <c r="AQ242" s="55" t="str">
        <f>IFERROR(__xludf.DUMMYFUNCTION("""COMPUTED_VALUE"""),"At 53, my days stay pretty fullâ€”and by the afternoon, I definitely feel it. Between busy mornings, errands, workouts, and everything in between, Iâ€™ve been keeping these Proper Wild gummies in my...")</f>
        <v>At 53, my days stay pretty fullâ€”and by the afternoon, I definitely feel it. Between busy mornings, errands, workouts, and everything in between, Iâ€™ve been keeping these Proper Wild gummies in my...</v>
      </c>
      <c r="AR242" s="55" t="str">
        <f>IFERROR(__xludf.DUMMYFUNCTION("""COMPUTED_VALUE"""),"I tried mushroom coffee because everyone is talking about it, but this one changed my mornings.")</f>
        <v>I tried mushroom coffee because everyone is talking about it, but this one changed my mornings.</v>
      </c>
      <c r="AS242" s="55" t="str">
        <f>IFERROR(__xludf.DUMMYFUNCTION("""COMPUTED_VALUE"""),"Comparison")</f>
        <v>Comparison</v>
      </c>
      <c r="AT242" s="55" t="str">
        <f>IFERROR(__xludf.DUMMYFUNCTION("""COMPUTED_VALUE"""),"• Product introduced immediately in the opening
• Benefits covered: stress, energy, jitter, crash
• CTA: ""I found it at Target, and at 53 going through menopause, my mornings have honest...""")</f>
        <v>• Product introduced immediately in the opening
• Benefits covered: stress, energy, jitter, crash
• CTA: "I found it at Target, and at 53 going through menopause, my mornings have honest..."</v>
      </c>
      <c r="AU242" s="55" t="str">
        <f>IFERROR(__xludf.DUMMYFUNCTION("""COMPUTED_VALUE"""),"I found it at Target, and at 53 going through menopause, my mornings have honestly fell all over the place, low energy, stressed, and my regular coffee just wasn't helping like it used to.")</f>
        <v>I found it at Target, and at 53 going through menopause, my mornings have honestly fell all over the place, low energy, stressed, and my regular coffee just wasn't helping like it used to.</v>
      </c>
      <c r="AV242" s="55" t="str">
        <f>IFERROR(__xludf.DUMMYFUNCTION("""COMPUTED_VALUE"""),"I tried mushroom coffee because everyone is talking about it, but this one changed my mornings. I found it at Target, and at 53 going through menopause, my mornings have honestly fell all over the place, low energy, stressed, and my regular coffee just wa"&amp;"sn't helping like it used to. I would get the boost and then jitters and crash. So when I saw this, I got curious. It's Vadan Ashwagandha Coffee. It's real coffee, but upgraded to wellness ingredients like ashwagandha, turmeric, curb coming, L-tunum, and "&amp;"functional mushrooms. And the best part, it actually tastes like a delicious regular coffee. I expected it to taste earthly but it tastes amazing. So instead of changing my whole routine I just switched my coffee. For me it feels smoother, more steady and"&amp;" less of that wired feeling. Same morning ritual. Just a better way to start my day.")</f>
        <v>I tried mushroom coffee because everyone is talking about it, but this one changed my mornings. I found it at Target, and at 53 going through menopause, my mornings have honestly fell all over the place, low energy, stressed, and my regular coffee just wasn't helping like it used to. I would get the boost and then jitters and crash. So when I saw this, I got curious. It's Vadan Ashwagandha Coffee. It's real coffee, but upgraded to wellness ingredients like ashwagandha, turmeric, curb coming, L-tunum, and functional mushrooms. And the best part, it actually tastes like a delicious regular coffee. I expected it to taste earthly but it tastes amazing. So instead of changing my whole routine I just switched my coffee. For me it feels smoother, more steady and less of that wired feeling. Same morning ritual. Just a better way to start my day.</v>
      </c>
      <c r="AW242" s="35"/>
      <c r="AX242" s="35"/>
      <c r="AY242" s="35"/>
      <c r="AZ242" s="35"/>
      <c r="BA242" s="35"/>
      <c r="BB242" s="35"/>
      <c r="BC242" s="35"/>
      <c r="BD242" s="35"/>
      <c r="BE242" s="35"/>
      <c r="BF242" s="35"/>
      <c r="BG242" s="35"/>
    </row>
    <row r="243" ht="15.75" customHeight="1">
      <c r="A243" s="55" t="str">
        <f>IFERROR(__xludf.DUMMYFUNCTION("""COMPUTED_VALUE"""),"Tiktok")</f>
        <v>Tiktok</v>
      </c>
      <c r="B243" s="56">
        <f>IFERROR(__xludf.DUMMYFUNCTION("""COMPUTED_VALUE"""),46197.0)</f>
        <v>46197</v>
      </c>
      <c r="C243" s="55" t="str">
        <f>IFERROR(__xludf.DUMMYFUNCTION("""COMPUTED_VALUE"""),"June")</f>
        <v>June</v>
      </c>
      <c r="D243" s="58" t="str">
        <f>IFERROR(__xludf.DUMMYFUNCTION("""COMPUTED_VALUE"""),"https://www.tiktok.com/@hopedealer74/video/7655000922812108046")</f>
        <v>https://www.tiktok.com/@hopedealer74/video/7655000922812108046</v>
      </c>
      <c r="E243" s="55" t="str">
        <f>IFERROR(__xludf.DUMMYFUNCTION("""COMPUTED_VALUE"""),"@hopedealer74")</f>
        <v>@hopedealer74</v>
      </c>
      <c r="F243" s="55" t="str">
        <f>IFERROR(__xludf.DUMMYFUNCTION("""COMPUTED_VALUE"""),"Shainee Fullmer")</f>
        <v>Shainee Fullmer</v>
      </c>
      <c r="G243" s="55" t="str">
        <f>IFERROR(__xludf.DUMMYFUNCTION("""COMPUTED_VALUE"""),"Over 40/ High Performer")</f>
        <v>Over 40/ High Performer</v>
      </c>
      <c r="H243" s="55">
        <f>IFERROR(__xludf.DUMMYFUNCTION("""COMPUTED_VALUE"""),76.0)</f>
        <v>76</v>
      </c>
      <c r="I243" s="55">
        <f>IFERROR(__xludf.DUMMYFUNCTION("""COMPUTED_VALUE"""),51.8)</f>
        <v>51.8</v>
      </c>
      <c r="J243" s="55" t="str">
        <f>IFERROR(__xludf.DUMMYFUNCTION("""COMPUTED_VALUE"""),"Yes – Recommend")</f>
        <v>Yes – Recommend</v>
      </c>
      <c r="K243" s="55" t="str">
        <f>IFERROR(__xludf.DUMMYFUNCTION("""COMPUTED_VALUE"""),"Review before running ads")</f>
        <v>Review before running ads</v>
      </c>
      <c r="L243" s="55" t="str">
        <f>IFERROR(__xludf.DUMMYFUNCTION("""COMPUTED_VALUE"""),"Score 54.6 ≥ 30")</f>
        <v>Score 54.6 ≥ 30</v>
      </c>
      <c r="M243" s="59" t="str">
        <f>IFERROR(__xludf.DUMMYFUNCTION("""COMPUTED_VALUE"""),"No Ad Data")</f>
        <v>No Ad Data</v>
      </c>
      <c r="N243" s="55"/>
      <c r="O243" s="55"/>
      <c r="P243" s="59">
        <f>IFERROR(__xludf.DUMMYFUNCTION("""COMPUTED_VALUE"""),632.0)</f>
        <v>632</v>
      </c>
      <c r="Q243" s="59">
        <f>IFERROR(__xludf.DUMMYFUNCTION("""COMPUTED_VALUE"""),5.0)</f>
        <v>5</v>
      </c>
      <c r="R243" s="59">
        <f>IFERROR(__xludf.DUMMYFUNCTION("""COMPUTED_VALUE"""),0.0)</f>
        <v>0</v>
      </c>
      <c r="S243" s="62">
        <f>IFERROR(__xludf.DUMMYFUNCTION("""COMPUTED_VALUE"""),52.1)</f>
        <v>52.1</v>
      </c>
      <c r="T243" s="62">
        <f>IFERROR(__xludf.DUMMYFUNCTION("""COMPUTED_VALUE"""),20.1)</f>
        <v>20.1</v>
      </c>
      <c r="U243" s="64">
        <f>IFERROR(__xludf.DUMMYFUNCTION("""COMPUTED_VALUE"""),5.0)</f>
        <v>5</v>
      </c>
      <c r="V243" s="62">
        <f>IFERROR(__xludf.DUMMYFUNCTION("""COMPUTED_VALUE"""),0.94)</f>
        <v>0.94</v>
      </c>
      <c r="W243" s="63">
        <f>IFERROR(__xludf.DUMMYFUNCTION("""COMPUTED_VALUE"""),117.58)</f>
        <v>117.58</v>
      </c>
      <c r="X243" s="59">
        <f>IFERROR(__xludf.DUMMYFUNCTION("""COMPUTED_VALUE"""),632.0)</f>
        <v>632</v>
      </c>
      <c r="Y243" s="59">
        <f>IFERROR(__xludf.DUMMYFUNCTION("""COMPUTED_VALUE"""),5.0)</f>
        <v>5</v>
      </c>
      <c r="Z243" s="59">
        <f>IFERROR(__xludf.DUMMYFUNCTION("""COMPUTED_VALUE"""),0.0)</f>
        <v>0</v>
      </c>
      <c r="AA243" s="59">
        <f>IFERROR(__xludf.DUMMYFUNCTION("""COMPUTED_VALUE"""),1.0)</f>
        <v>1</v>
      </c>
      <c r="AB243" s="64">
        <f>IFERROR(__xludf.DUMMYFUNCTION("""COMPUTED_VALUE"""),5.0)</f>
        <v>5</v>
      </c>
      <c r="AC243" s="62">
        <f>IFERROR(__xludf.DUMMYFUNCTION("""COMPUTED_VALUE"""),0.94)</f>
        <v>0.94</v>
      </c>
      <c r="AD243" s="62">
        <f>IFERROR(__xludf.DUMMYFUNCTION("""COMPUTED_VALUE"""),52.1)</f>
        <v>52.1</v>
      </c>
      <c r="AE243" s="62">
        <f>IFERROR(__xludf.DUMMYFUNCTION("""COMPUTED_VALUE"""),20.1)</f>
        <v>20.1</v>
      </c>
      <c r="AF243" s="55"/>
      <c r="AG243" s="55"/>
      <c r="AH243" s="55"/>
      <c r="AI243" s="55"/>
      <c r="AJ243" s="55"/>
      <c r="AK243" s="55"/>
      <c r="AL243" s="55"/>
      <c r="AM243" s="55" t="str">
        <f>IFERROR(__xludf.DUMMYFUNCTION("""COMPUTED_VALUE"""),"#bEiNL0s6YI1todAA+UDrtsUvMQiqyKJDhfGTj2tuvvl/uptm4nn5HZJkLqLwrTc=")</f>
        <v>#bEiNL0s6YI1todAA+UDrtsUvMQiqyKJDhfGTj2tuvvl/uptm4nn5HZJkLqLwrTc=</v>
      </c>
      <c r="AN243" s="55"/>
      <c r="AO243" s="58" t="str">
        <f>IFERROR(__xludf.DUMMYFUNCTION("""COMPUTED_VALUE"""),"https://us.brand.joinbrands.com/job/691184")</f>
        <v>https://us.brand.joinbrands.com/job/691184</v>
      </c>
      <c r="AP243" s="55" t="str">
        <f>IFERROR(__xludf.DUMMYFUNCTION("""COMPUTED_VALUE"""),"NA")</f>
        <v>NA</v>
      </c>
      <c r="AQ243" s="55" t="str">
        <f>IFERROR(__xludf.DUMMYFUNCTION("""COMPUTED_VALUE"""),"I realized I was taking ashwagandha gummies like snacks. While never missing my morning coffee ðŸ˜…So finding VAHDAM Ashwagandha Coffee @target honestly made too much sense. Now I just get it in my...")</f>
        <v>I realized I was taking ashwagandha gummies like snacks. While never missing my morning coffee ðŸ˜…So finding VAHDAM Ashwagandha Coffee @target honestly made too much sense. Now I just get it in my...</v>
      </c>
      <c r="AR243" s="55" t="str">
        <f>IFERROR(__xludf.DUMMYFUNCTION("""COMPUTED_VALUE"""),"Wait, why was I eating ashwagandha gummies when I already drink coffee every single morning?")</f>
        <v>Wait, why was I eating ashwagandha gummies when I already drink coffee every single morning?</v>
      </c>
      <c r="AS243" s="55" t="str">
        <f>IFERROR(__xludf.DUMMYFUNCTION("""COMPUTED_VALUE"""),"Curiosity / Question")</f>
        <v>Curiosity / Question</v>
      </c>
      <c r="AT243" s="55" t="str">
        <f>IFERROR(__xludf.DUMMYFUNCTION("""COMPUTED_VALUE"""),"• It has KSM66 Ashwagandha plus turmeric, plus L theanine Saga and Lion's Mane.
• I've been taking ashwagandha gummies, eating them like candy at random times of the day, hoping I'd remember to take my supplements when I have one non negotiable habit ever"&amp;"y single morning.
• So when I found Vahdam's Ashwagandha coffee at target, I had to try it.
• I genuinely felt a little silly for not having found this coffee earlier.")</f>
        <v>• It has KSM66 Ashwagandha plus turmeric, plus L theanine Saga and Lion's Mane.
• I've been taking ashwagandha gummies, eating them like candy at random times of the day, hoping I'd remember to take my supplements when I have one non negotiable habit every single morning.
• So when I found Vahdam's Ashwagandha coffee at target, I had to try it.
• I genuinely felt a little silly for not having found this coffee earlier.</v>
      </c>
      <c r="AU243" s="55" t="str">
        <f>IFERROR(__xludf.DUMMYFUNCTION("""COMPUTED_VALUE"""),"Find Vatam Ashwagandha coffee at target stores or online.")</f>
        <v>Find Vatam Ashwagandha coffee at target stores or online.</v>
      </c>
      <c r="AV243" s="55" t="str">
        <f>IFERROR(__xludf.DUMMYFUNCTION("""COMPUTED_VALUE"""),"Wait, why was I eating ashwagandha gummies when I already drink coffee every single morning? Okay, I need to talk about something. I've been taking ashwagandha gummies, eating them like candy at random times of the day, hoping I'd remember to take my supp"&amp;"lements when I have one non negotiable habit every single morning. Coffee. I never miss coffee. Never. So when I found Vahdam's Ashwagandha coffee at target, I had to try it. It has KSM66 Ashwagandha plus turmeric, plus L theanine Saga and Lion's Mane. I "&amp;"genuinely felt a little silly for not having found this coffee earlier. I didn't need a new habit, I needed a better version of the one I already had. The gummies are sitting on the counter, the coffee is already in my cup. This was not complicated, it ju"&amp;"st took me embarrassing long to figure it out. And now you can swap your gummies for a better coffee ritual too! Find Vatam Ashwagandha coffee at target stores or online.")</f>
        <v>Wait, why was I eating ashwagandha gummies when I already drink coffee every single morning? Okay, I need to talk about something. I've been taking ashwagandha gummies, eating them like candy at random times of the day, hoping I'd remember to take my supplements when I have one non negotiable habit every single morning. Coffee. I never miss coffee. Never. So when I found Vahdam's Ashwagandha coffee at target, I had to try it. It has KSM66 Ashwagandha plus turmeric, plus L theanine Saga and Lion's Mane. I genuinely felt a little silly for not having found this coffee earlier. I didn't need a new habit, I needed a better version of the one I already had. The gummies are sitting on the counter, the coffee is already in my cup. This was not complicated, it just took me embarrassing long to figure it out. And now you can swap your gummies for a better coffee ritual too! Find Vatam Ashwagandha coffee at target stores or online.</v>
      </c>
      <c r="AW243" s="35"/>
      <c r="AX243" s="35"/>
      <c r="AY243" s="35"/>
      <c r="AZ243" s="35"/>
      <c r="BA243" s="35"/>
      <c r="BB243" s="35"/>
      <c r="BC243" s="35"/>
      <c r="BD243" s="35"/>
      <c r="BE243" s="35"/>
      <c r="BF243" s="35"/>
      <c r="BG243" s="35"/>
    </row>
    <row r="244" ht="15.75" customHeight="1">
      <c r="A244" s="55" t="str">
        <f>IFERROR(__xludf.DUMMYFUNCTION("""COMPUTED_VALUE"""),"Tiktok")</f>
        <v>Tiktok</v>
      </c>
      <c r="B244" s="56">
        <f>IFERROR(__xludf.DUMMYFUNCTION("""COMPUTED_VALUE"""),46186.0)</f>
        <v>46186</v>
      </c>
      <c r="C244" s="55" t="str">
        <f>IFERROR(__xludf.DUMMYFUNCTION("""COMPUTED_VALUE"""),"June")</f>
        <v>June</v>
      </c>
      <c r="D244" s="58" t="str">
        <f>IFERROR(__xludf.DUMMYFUNCTION("""COMPUTED_VALUE"""),"https://www.tiktok.com/@chrissyb314/video/7650993793012927757")</f>
        <v>https://www.tiktok.com/@chrissyb314/video/7650993793012927757</v>
      </c>
      <c r="E244" s="55" t="str">
        <f>IFERROR(__xludf.DUMMYFUNCTION("""COMPUTED_VALUE"""),"@chrissyb314")</f>
        <v>@chrissyb314</v>
      </c>
      <c r="F244" s="55" t="str">
        <f>IFERROR(__xludf.DUMMYFUNCTION("""COMPUTED_VALUE"""),"Christina ColÃ³n Morales")</f>
        <v>Christina ColÃ³n Morales</v>
      </c>
      <c r="G244" s="55" t="str">
        <f>IFERROR(__xludf.DUMMYFUNCTION("""COMPUTED_VALUE"""),"Cortisol")</f>
        <v>Cortisol</v>
      </c>
      <c r="H244" s="55">
        <f>IFERROR(__xludf.DUMMYFUNCTION("""COMPUTED_VALUE"""),35.0)</f>
        <v>35</v>
      </c>
      <c r="I244" s="55">
        <f>IFERROR(__xludf.DUMMYFUNCTION("""COMPUTED_VALUE"""),47.2)</f>
        <v>47.2</v>
      </c>
      <c r="J244" s="55" t="str">
        <f>IFERROR(__xludf.DUMMYFUNCTION("""COMPUTED_VALUE"""),"Yes – Recommend")</f>
        <v>Yes – Recommend</v>
      </c>
      <c r="K244" s="55" t="str">
        <f>IFERROR(__xludf.DUMMYFUNCTION("""COMPUTED_VALUE"""),"Yes")</f>
        <v>Yes</v>
      </c>
      <c r="L244" s="55" t="str">
        <f>IFERROR(__xludf.DUMMYFUNCTION("""COMPUTED_VALUE"""),"Score 48.7 ≥ 30; 6-sec 34.59999999999999% ≥ 25%")</f>
        <v>Score 48.7 ≥ 30; 6-sec 34.59999999999999% ≥ 25%</v>
      </c>
      <c r="M244" s="59" t="str">
        <f>IFERROR(__xludf.DUMMYFUNCTION("""COMPUTED_VALUE"""),"Algorithm spent low")</f>
        <v>Algorithm spent low</v>
      </c>
      <c r="N244" s="55"/>
      <c r="O244" s="55"/>
      <c r="P244" s="59">
        <f>IFERROR(__xludf.DUMMYFUNCTION("""COMPUTED_VALUE"""),359.0)</f>
        <v>359</v>
      </c>
      <c r="Q244" s="59">
        <f>IFERROR(__xludf.DUMMYFUNCTION("""COMPUTED_VALUE"""),10.0)</f>
        <v>10</v>
      </c>
      <c r="R244" s="59">
        <f>IFERROR(__xludf.DUMMYFUNCTION("""COMPUTED_VALUE"""),2.0)</f>
        <v>2</v>
      </c>
      <c r="S244" s="55"/>
      <c r="T244" s="68">
        <f>IFERROR(__xludf.DUMMYFUNCTION("""COMPUTED_VALUE"""),34.59999999999999)</f>
        <v>34.6</v>
      </c>
      <c r="U244" s="55"/>
      <c r="V244" s="62">
        <f>IFERROR(__xludf.DUMMYFUNCTION("""COMPUTED_VALUE"""),0.033)</f>
        <v>0.033</v>
      </c>
      <c r="W244" s="63">
        <f>IFERROR(__xludf.DUMMYFUNCTION("""COMPUTED_VALUE"""),117.58)</f>
        <v>117.58</v>
      </c>
      <c r="X244" s="59">
        <f>IFERROR(__xludf.DUMMYFUNCTION("""COMPUTED_VALUE"""),631.0)</f>
        <v>631</v>
      </c>
      <c r="Y244" s="59">
        <f>IFERROR(__xludf.DUMMYFUNCTION("""COMPUTED_VALUE"""),11.0)</f>
        <v>11</v>
      </c>
      <c r="Z244" s="59">
        <f>IFERROR(__xludf.DUMMYFUNCTION("""COMPUTED_VALUE"""),2.0)</f>
        <v>2</v>
      </c>
      <c r="AA244" s="59">
        <f>IFERROR(__xludf.DUMMYFUNCTION("""COMPUTED_VALUE"""),0.0)</f>
        <v>0</v>
      </c>
      <c r="AB244" s="64">
        <f>IFERROR(__xludf.DUMMYFUNCTION("""COMPUTED_VALUE"""),5.0)</f>
        <v>5</v>
      </c>
      <c r="AC244" s="62">
        <f>IFERROR(__xludf.DUMMYFUNCTION("""COMPUTED_VALUE"""),2.0)</f>
        <v>2</v>
      </c>
      <c r="AD244" s="62">
        <f>IFERROR(__xludf.DUMMYFUNCTION("""COMPUTED_VALUE"""),42.2)</f>
        <v>42.2</v>
      </c>
      <c r="AE244" s="62">
        <f>IFERROR(__xludf.DUMMYFUNCTION("""COMPUTED_VALUE"""),21.8)</f>
        <v>21.8</v>
      </c>
      <c r="AF244" s="55" t="str">
        <f>IFERROR(__xludf.DUMMYFUNCTION("""COMPUTED_VALUE"""),"Yes")</f>
        <v>Yes</v>
      </c>
      <c r="AG244" s="63">
        <f>IFERROR(__xludf.DUMMYFUNCTION("""COMPUTED_VALUE"""),5.18)</f>
        <v>5.18</v>
      </c>
      <c r="AH244" s="59">
        <f>IFERROR(__xludf.DUMMYFUNCTION("""COMPUTED_VALUE"""),520.0)</f>
        <v>520</v>
      </c>
      <c r="AI244" s="55"/>
      <c r="AJ244" s="59">
        <f>IFERROR(__xludf.DUMMYFUNCTION("""COMPUTED_VALUE"""),5.0)</f>
        <v>5</v>
      </c>
      <c r="AK244" s="62">
        <f>IFERROR(__xludf.DUMMYFUNCTION("""COMPUTED_VALUE"""),0.9615)</f>
        <v>0.9615</v>
      </c>
      <c r="AL244" s="65">
        <f>IFERROR(__xludf.DUMMYFUNCTION("""COMPUTED_VALUE"""),1.036)</f>
        <v>1.036</v>
      </c>
      <c r="AM244" s="55" t="str">
        <f>IFERROR(__xludf.DUMMYFUNCTION("""COMPUTED_VALUE"""),"#yfdQSmSCHnggK1ZXzj7xAaWpvN2ZGcB7MRpxsXJPCe0k/93Sjal5C5EvZqacdPQ=")</f>
        <v>#yfdQSmSCHnggK1ZXzj7xAaWpvN2ZGcB7MRpxsXJPCe0k/93Sjal5C5EvZqacdPQ=</v>
      </c>
      <c r="AN244" s="55"/>
      <c r="AO244" s="58" t="str">
        <f>IFERROR(__xludf.DUMMYFUNCTION("""COMPUTED_VALUE"""),"https://us.brand.joinbrands.com/job/689759")</f>
        <v>https://us.brand.joinbrands.com/job/689759</v>
      </c>
      <c r="AP244" s="55" t="str">
        <f>IFERROR(__xludf.DUMMYFUNCTION("""COMPUTED_VALUE"""),"NA | MISFIT: Strong organic signal (score 56.0, 34.6% 6-sec) but only $5.18 spent — content was under-invested in ads.")</f>
        <v>NA | MISFIT: Strong organic signal (score 56.0, 34.6% 6-sec) but only $5.18 spent — content was under-invested in ads.</v>
      </c>
      <c r="AQ244" s="55" t="str">
        <f>IFERROR(__xludf.DUMMYFUNCTION("""COMPUTED_VALUE"""),"Coffew that helps lower your cortisol?!? Yes please! @VAHDAM USA @target #ashwagandha #lionsmane #tumeric #cortisol #healthycoffee")</f>
        <v>Coffew that helps lower your cortisol?!? Yes please! @VAHDAM USA @target #ashwagandha #lionsmane #tumeric #cortisol #healthycoffee</v>
      </c>
      <c r="AR244" s="55" t="str">
        <f>IFERROR(__xludf.DUMMYFUNCTION("""COMPUTED_VALUE"""),"So you're craving sugar, you're gaining weight, and you're crashing every day at three PM and you think it's a willpower problem, but it's actually a ...")</f>
        <v>So you're craving sugar, you're gaining weight, and you're crashing every day at three PM and you think it's a willpower problem, but it's actually a ...</v>
      </c>
      <c r="AS244" s="55" t="str">
        <f>IFERROR(__xludf.DUMMYFUNCTION("""COMPUTED_VALUE"""),"Problem / Pain Point")</f>
        <v>Problem / Pain Point</v>
      </c>
      <c r="AT244" s="55" t="str">
        <f>IFERROR(__xludf.DUMMYFUNCTION("""COMPUTED_VALUE"""),"• I just made the switch to this instant coffee that's loaded with wellness ingredients like ashwagandha, turmeric and lions mane.
• It's just as delicious as my regular coffee, but with no jitters, no crash, and it's helping to lower my cortisol at the s"&amp;"ame time.
• What if I told you your coffee could actually help with that?
• It's so good and it has so many functional benefits.")</f>
        <v>• I just made the switch to this instant coffee that's loaded with wellness ingredients like ashwagandha, turmeric and lions mane.
• It's just as delicious as my regular coffee, but with no jitters, no crash, and it's helping to lower my cortisol at the same time.
• What if I told you your coffee could actually help with that?
• It's so good and it has so many functional benefits.</v>
      </c>
      <c r="AU244" s="55" t="str">
        <f>IFERROR(__xludf.DUMMYFUNCTION("""COMPUTED_VALUE"""),"You can grab yours today at target or target.com.")</f>
        <v>You can grab yours today at target or target.com.</v>
      </c>
      <c r="AV244" s="55" t="str">
        <f>IFERROR(__xludf.DUMMYFUNCTION("""COMPUTED_VALUE"""),"So you're craving sugar, you're gaining weight, and you're crashing every day at three PM and you think it's a willpower problem, but it's actually a high cortisol problem. What if I told you your coffee could actually help with that? I just made the swit"&amp;"ch to this instant coffee that's loaded with wellness ingredients like ashwagandha, turmeric and lions mane. It's just as delicious as my regular coffee, but with no jitters, no crash, and it's helping to lower my cortisol at the same time. It's so good a"&amp;"nd it has so many functional benefits. I just wish I found it sooner. You can grab yours today at target or target.com.")</f>
        <v>So you're craving sugar, you're gaining weight, and you're crashing every day at three PM and you think it's a willpower problem, but it's actually a high cortisol problem. What if I told you your coffee could actually help with that? I just made the switch to this instant coffee that's loaded with wellness ingredients like ashwagandha, turmeric and lions mane. It's just as delicious as my regular coffee, but with no jitters, no crash, and it's helping to lower my cortisol at the same time. It's so good and it has so many functional benefits. I just wish I found it sooner. You can grab yours today at target or target.com.</v>
      </c>
      <c r="AW244" s="35"/>
      <c r="AX244" s="35"/>
      <c r="AY244" s="35"/>
      <c r="AZ244" s="35"/>
      <c r="BA244" s="35"/>
      <c r="BB244" s="35"/>
      <c r="BC244" s="35"/>
      <c r="BD244" s="35"/>
      <c r="BE244" s="35"/>
      <c r="BF244" s="35"/>
      <c r="BG244" s="35"/>
    </row>
    <row r="245" ht="15.75" customHeight="1">
      <c r="A245" s="55" t="str">
        <f>IFERROR(__xludf.DUMMYFUNCTION("""COMPUTED_VALUE"""),"Instagram")</f>
        <v>Instagram</v>
      </c>
      <c r="B245" s="56">
        <f>IFERROR(__xludf.DUMMYFUNCTION("""COMPUTED_VALUE"""),46203.0)</f>
        <v>46203</v>
      </c>
      <c r="C245" s="55" t="str">
        <f>IFERROR(__xludf.DUMMYFUNCTION("""COMPUTED_VALUE"""),"June")</f>
        <v>June</v>
      </c>
      <c r="D245" s="58" t="str">
        <f>IFERROR(__xludf.DUMMYFUNCTION("""COMPUTED_VALUE"""),"https://www.instagram.com/reel/DaLExDxRGal/")</f>
        <v>https://www.instagram.com/reel/DaLExDxRGal/</v>
      </c>
      <c r="E245" s="55" t="str">
        <f>IFERROR(__xludf.DUMMYFUNCTION("""COMPUTED_VALUE"""),"otrembaumdemais")</f>
        <v>otrembaumdemais</v>
      </c>
      <c r="F245" s="55"/>
      <c r="G245" s="55" t="str">
        <f>IFERROR(__xludf.DUMMYFUNCTION("""COMPUTED_VALUE"""),"Countering Mushroom Coffee Trend")</f>
        <v>Countering Mushroom Coffee Trend</v>
      </c>
      <c r="H245" s="55"/>
      <c r="I245" s="55">
        <f>IFERROR(__xludf.DUMMYFUNCTION("""COMPUTED_VALUE"""),49.5)</f>
        <v>49.5</v>
      </c>
      <c r="J245" s="55" t="str">
        <f>IFERROR(__xludf.DUMMYFUNCTION("""COMPUTED_VALUE"""),"Yes – Recommend")</f>
        <v>Yes – Recommend</v>
      </c>
      <c r="K245" s="55" t="str">
        <f>IFERROR(__xludf.DUMMYFUNCTION("""COMPUTED_VALUE"""),"No")</f>
        <v>No</v>
      </c>
      <c r="L245" s="55" t="str">
        <f>IFERROR(__xludf.DUMMYFUNCTION("""COMPUTED_VALUE"""),"Score 51.8 ≥ 20 threshold")</f>
        <v>Score 51.8 ≥ 20 threshold</v>
      </c>
      <c r="M245" s="59" t="str">
        <f>IFERROR(__xludf.DUMMYFUNCTION("""COMPUTED_VALUE"""),"No Ad Data")</f>
        <v>No Ad Data</v>
      </c>
      <c r="N245" s="59" t="str">
        <f>IFERROR(__xludf.DUMMYFUNCTION("""COMPUTED_VALUE"""),"Skip")</f>
        <v>Skip</v>
      </c>
      <c r="O245" s="55"/>
      <c r="P245" s="59">
        <f>IFERROR(__xludf.DUMMYFUNCTION("""COMPUTED_VALUE"""),616.0)</f>
        <v>616</v>
      </c>
      <c r="Q245" s="59">
        <f>IFERROR(__xludf.DUMMYFUNCTION("""COMPUTED_VALUE"""),27.0)</f>
        <v>27</v>
      </c>
      <c r="R245" s="59">
        <f>IFERROR(__xludf.DUMMYFUNCTION("""COMPUTED_VALUE"""),16.0)</f>
        <v>16</v>
      </c>
      <c r="S245" s="55"/>
      <c r="T245" s="55"/>
      <c r="U245" s="55"/>
      <c r="V245" s="55"/>
      <c r="W245" s="63">
        <f>IFERROR(__xludf.DUMMYFUNCTION("""COMPUTED_VALUE"""),117.58)</f>
        <v>117.58</v>
      </c>
      <c r="X245" s="59">
        <f>IFERROR(__xludf.DUMMYFUNCTION("""COMPUTED_VALUE"""),616.0)</f>
        <v>616</v>
      </c>
      <c r="Y245" s="59">
        <f>IFERROR(__xludf.DUMMYFUNCTION("""COMPUTED_VALUE"""),27.0)</f>
        <v>27</v>
      </c>
      <c r="Z245" s="59">
        <f>IFERROR(__xludf.DUMMYFUNCTION("""COMPUTED_VALUE"""),16.0)</f>
        <v>16</v>
      </c>
      <c r="AA245" s="55"/>
      <c r="AB245" s="55"/>
      <c r="AC245" s="55"/>
      <c r="AD245" s="55"/>
      <c r="AE245" s="55"/>
      <c r="AF245" s="55"/>
      <c r="AG245" s="55"/>
      <c r="AH245" s="55"/>
      <c r="AI245" s="55"/>
      <c r="AJ245" s="55"/>
      <c r="AK245" s="55"/>
      <c r="AL245" s="55"/>
      <c r="AM245" s="55" t="str">
        <f>IFERROR(__xludf.DUMMYFUNCTION("""COMPUTED_VALUE"""),"Q9jTBBVnE19PAy-imYxWVbvyPQnbx-ukBRHdsUEkztJ4Jt8-BOk43ma6HDtpNv95UwE")</f>
        <v>Q9jTBBVnE19PAy-imYxWVbvyPQnbx-ukBRHdsUEkztJ4Jt8-BOk43ma6HDtpNv95UwE</v>
      </c>
      <c r="AN245" s="55"/>
      <c r="AO245" s="55"/>
      <c r="AP245" s="55"/>
      <c r="AQ245" s="55" t="str">
        <f>IFERROR(__xludf.DUMMYFUNCTION("""COMPUTED_VALUE"""),"Love coffee but absolutely HATE the morning anxiety and afternoon crashes? ðŸ«£ðŸ‘‡ Letâ€™s be honest: as a busy mom, you need clean, calm energy to power through your dayâ€”not jitters that leave you...")</f>
        <v>Love coffee but absolutely HATE the morning anxiety and afternoon crashes? ðŸ«£ðŸ‘‡ Letâ€™s be honest: as a busy mom, you need clean, calm energy to power through your dayâ€”not jitters that leave you...</v>
      </c>
      <c r="AR245" s="55" t="str">
        <f>IFERROR(__xludf.DUMMYFUNCTION("""COMPUTED_VALUE"""),"Thank you.")</f>
        <v>Thank you.</v>
      </c>
      <c r="AS245" s="55" t="str">
        <f>IFERROR(__xludf.DUMMYFUNCTION("""COMPUTED_VALUE"""),"Personal Story")</f>
        <v>Personal Story</v>
      </c>
      <c r="AT245" s="55" t="str">
        <f>IFERROR(__xludf.DUMMYFUNCTION("""COMPUTED_VALUE"""),"• Product mentioned throughout
• Benefits and product features discussed
• CTA: ""Thank you.""")</f>
        <v>• Product mentioned throughout
• Benefits and product features discussed
• CTA: "Thank you."</v>
      </c>
      <c r="AU245" s="55" t="str">
        <f>IFERROR(__xludf.DUMMYFUNCTION("""COMPUTED_VALUE"""),"Thank you.")</f>
        <v>Thank you.</v>
      </c>
      <c r="AV245" s="55" t="str">
        <f>IFERROR(__xludf.DUMMYFUNCTION("""COMPUTED_VALUE"""),"Thank you.")</f>
        <v>Thank you.</v>
      </c>
      <c r="AW245" s="35"/>
      <c r="AX245" s="35"/>
      <c r="AY245" s="35"/>
      <c r="AZ245" s="35"/>
      <c r="BA245" s="35"/>
      <c r="BB245" s="35"/>
      <c r="BC245" s="35"/>
      <c r="BD245" s="35"/>
      <c r="BE245" s="35"/>
      <c r="BF245" s="35"/>
      <c r="BG245" s="35"/>
    </row>
    <row r="246" ht="15.75" customHeight="1">
      <c r="A246" s="55" t="str">
        <f>IFERROR(__xludf.DUMMYFUNCTION("""COMPUTED_VALUE"""),"Instagram")</f>
        <v>Instagram</v>
      </c>
      <c r="B246" s="56">
        <f>IFERROR(__xludf.DUMMYFUNCTION("""COMPUTED_VALUE"""),46187.0)</f>
        <v>46187</v>
      </c>
      <c r="C246" s="55" t="str">
        <f>IFERROR(__xludf.DUMMYFUNCTION("""COMPUTED_VALUE"""),"June")</f>
        <v>June</v>
      </c>
      <c r="D246" s="58" t="str">
        <f>IFERROR(__xludf.DUMMYFUNCTION("""COMPUTED_VALUE"""),"https://www.instagram.com/reel/DZij-jTvMNy/")</f>
        <v>https://www.instagram.com/reel/DZij-jTvMNy/</v>
      </c>
      <c r="E246" s="55" t="str">
        <f>IFERROR(__xludf.DUMMYFUNCTION("""COMPUTED_VALUE"""),"@na")</f>
        <v>@na</v>
      </c>
      <c r="F246" s="55" t="str">
        <f>IFERROR(__xludf.DUMMYFUNCTION("""COMPUTED_VALUE"""),"NA")</f>
        <v>NA</v>
      </c>
      <c r="G246" s="55" t="str">
        <f>IFERROR(__xludf.DUMMYFUNCTION("""COMPUTED_VALUE"""),"Cortisol")</f>
        <v>Cortisol</v>
      </c>
      <c r="H246" s="55">
        <f>IFERROR(__xludf.DUMMYFUNCTION("""COMPUTED_VALUE"""),21.0)</f>
        <v>21</v>
      </c>
      <c r="I246" s="55">
        <f>IFERROR(__xludf.DUMMYFUNCTION("""COMPUTED_VALUE"""),31.9)</f>
        <v>31.9</v>
      </c>
      <c r="J246" s="55" t="str">
        <f>IFERROR(__xludf.DUMMYFUNCTION("""COMPUTED_VALUE"""),"Yes – Recommend")</f>
        <v>Yes – Recommend</v>
      </c>
      <c r="K246" s="55" t="str">
        <f>IFERROR(__xludf.DUMMYFUNCTION("""COMPUTED_VALUE"""),"No")</f>
        <v>No</v>
      </c>
      <c r="L246" s="55" t="str">
        <f>IFERROR(__xludf.DUMMYFUNCTION("""COMPUTED_VALUE"""),"Score 33.2 ≥ 20 threshold")</f>
        <v>Score 33.2 ≥ 20 threshold</v>
      </c>
      <c r="M246" s="59" t="str">
        <f>IFERROR(__xludf.DUMMYFUNCTION("""COMPUTED_VALUE"""),"No Ad Data")</f>
        <v>No Ad Data</v>
      </c>
      <c r="N246" s="59" t="str">
        <f>IFERROR(__xludf.DUMMYFUNCTION("""COMPUTED_VALUE"""),"Skip")</f>
        <v>Skip</v>
      </c>
      <c r="O246" s="55"/>
      <c r="P246" s="59">
        <f>IFERROR(__xludf.DUMMYFUNCTION("""COMPUTED_VALUE"""),549.0)</f>
        <v>549</v>
      </c>
      <c r="Q246" s="59">
        <f>IFERROR(__xludf.DUMMYFUNCTION("""COMPUTED_VALUE"""),6.0)</f>
        <v>6</v>
      </c>
      <c r="R246" s="59">
        <f>IFERROR(__xludf.DUMMYFUNCTION("""COMPUTED_VALUE"""),0.0)</f>
        <v>0</v>
      </c>
      <c r="S246" s="55"/>
      <c r="T246" s="68">
        <f>IFERROR(__xludf.DUMMYFUNCTION("""COMPUTED_VALUE"""),0.0)</f>
        <v>0</v>
      </c>
      <c r="U246" s="55"/>
      <c r="V246" s="62">
        <f>IFERROR(__xludf.DUMMYFUNCTION("""COMPUTED_VALUE"""),0.01092896175)</f>
        <v>0.01092896175</v>
      </c>
      <c r="W246" s="63">
        <f>IFERROR(__xludf.DUMMYFUNCTION("""COMPUTED_VALUE"""),117.58)</f>
        <v>117.58</v>
      </c>
      <c r="X246" s="59">
        <f>IFERROR(__xludf.DUMMYFUNCTION("""COMPUTED_VALUE"""),549.0)</f>
        <v>549</v>
      </c>
      <c r="Y246" s="59">
        <f>IFERROR(__xludf.DUMMYFUNCTION("""COMPUTED_VALUE"""),6.0)</f>
        <v>6</v>
      </c>
      <c r="Z246" s="59">
        <f>IFERROR(__xludf.DUMMYFUNCTION("""COMPUTED_VALUE"""),0.0)</f>
        <v>0</v>
      </c>
      <c r="AA246" s="59">
        <f>IFERROR(__xludf.DUMMYFUNCTION("""COMPUTED_VALUE"""),0.0)</f>
        <v>0</v>
      </c>
      <c r="AB246" s="64">
        <f>IFERROR(__xludf.DUMMYFUNCTION("""COMPUTED_VALUE"""),0.0)</f>
        <v>0</v>
      </c>
      <c r="AC246" s="62">
        <f>IFERROR(__xludf.DUMMYFUNCTION("""COMPUTED_VALUE"""),0.01092896175)</f>
        <v>0.01092896175</v>
      </c>
      <c r="AD246" s="62">
        <f>IFERROR(__xludf.DUMMYFUNCTION("""COMPUTED_VALUE"""),0.0)</f>
        <v>0</v>
      </c>
      <c r="AE246" s="62">
        <f>IFERROR(__xludf.DUMMYFUNCTION("""COMPUTED_VALUE"""),0.0)</f>
        <v>0</v>
      </c>
      <c r="AF246" s="55"/>
      <c r="AG246" s="55"/>
      <c r="AH246" s="55"/>
      <c r="AI246" s="55"/>
      <c r="AJ246" s="55"/>
      <c r="AK246" s="55"/>
      <c r="AL246" s="55"/>
      <c r="AM246" s="55" t="str">
        <f>IFERROR(__xludf.DUMMYFUNCTION("""COMPUTED_VALUE"""),"Q9jTBBV5IO2SS5FHCaKkrVv4pUH7NCIoRVbz4mt4l-HzXJWrNxbdm9deDcS5JIzyYJE")</f>
        <v>Q9jTBBV5IO2SS5FHCaKkrVv4pUH7NCIoRVbz4mt4l-HzXJWrNxbdm9deDcS5JIzyYJE</v>
      </c>
      <c r="AN246" s="55" t="str">
        <f>IFERROR(__xludf.DUMMYFUNCTION("""COMPUTED_VALUE"""),"Not great")</f>
        <v>Not great</v>
      </c>
      <c r="AO246" s="55" t="str">
        <f>IFERROR(__xludf.DUMMYFUNCTION("""COMPUTED_VALUE"""),"NA")</f>
        <v>NA</v>
      </c>
      <c r="AP246" s="55" t="str">
        <f>IFERROR(__xludf.DUMMYFUNCTION("""COMPUTED_VALUE"""),"NA")</f>
        <v>NA</v>
      </c>
      <c r="AQ246" s="55" t="str">
        <f>IFERROR(__xludf.DUMMYFUNCTION("""COMPUTED_VALUE"""),"NA")</f>
        <v>NA</v>
      </c>
      <c r="AR246" s="55" t="str">
        <f>IFERROR(__xludf.DUMMYFUNCTION("""COMPUTED_VALUE"""),"Esse é o novo Ashaganda Coffee da Varam e eu encontrei na Target.")</f>
        <v>Esse é o novo Ashaganda Coffee da Varam e eu encontrei na Target.</v>
      </c>
      <c r="AS246" s="55" t="str">
        <f>IFERROR(__xludf.DUMMYFUNCTION("""COMPUTED_VALUE"""),"In-Store / Target Discovery")</f>
        <v>In-Store / Target Discovery</v>
      </c>
      <c r="AT246" s="55" t="str">
        <f>IFERROR(__xludf.DUMMYFUNCTION("""COMPUTED_VALUE"""),"• Ele tem Ashaganda, L-T-N-I, Lion's Mane, Chaga e Cúrcuma.
• O que me chamou a atenção é que ele não é só café.
• Eu amo café, mas às vezes eu sinto aquele pico de energia seguido de cansaço, sabe?
• Ou eu fico mais ansiosa do que eu esperava.")</f>
        <v>• Ele tem Ashaganda, L-T-N-I, Lion's Mane, Chaga e Cúrcuma.
• O que me chamou a atenção é que ele não é só café.
• Eu amo café, mas às vezes eu sinto aquele pico de energia seguido de cansaço, sabe?
• Ou eu fico mais ansiosa do que eu esperava.</v>
      </c>
      <c r="AU246" s="55" t="str">
        <f>IFERROR(__xludf.DUMMYFUNCTION("""COMPUTED_VALUE"""),"Se você quer experimentar, está disponível nas lojas da Target e no Target.com.")</f>
        <v>Se você quer experimentar, está disponível nas lojas da Target e no Target.com.</v>
      </c>
      <c r="AV246" s="55" t="str">
        <f>IFERROR(__xludf.DUMMYFUNCTION("""COMPUTED_VALUE"""),"Esse é o novo Ashaganda Coffee da Varam e eu encontrei na Target. O que me chamou a atenção é que ele não é só café. Ele tem Ashaganda, L-T-N-I, Lion's Mane, Chaga e Cúrcuma. Eu amo café, mas às vezes eu sinto aquele pico de energia seguido de cansaço, sa"&amp;"be? Ou eu fico mais ansiosa do que eu esperava. Então eu resolvi testar esse aqui e o mais surpreendente é que realmente tem gosto de café normal. Se você quer experimentar, está disponível nas lojas da Target e no Target.com.")</f>
        <v>Esse é o novo Ashaganda Coffee da Varam e eu encontrei na Target. O que me chamou a atenção é que ele não é só café. Ele tem Ashaganda, L-T-N-I, Lion's Mane, Chaga e Cúrcuma. Eu amo café, mas às vezes eu sinto aquele pico de energia seguido de cansaço, sabe? Ou eu fico mais ansiosa do que eu esperava. Então eu resolvi testar esse aqui e o mais surpreendente é que realmente tem gosto de café normal. Se você quer experimentar, está disponível nas lojas da Target e no Target.com.</v>
      </c>
      <c r="AW246" s="35"/>
      <c r="AX246" s="35"/>
      <c r="AY246" s="35"/>
      <c r="AZ246" s="35"/>
      <c r="BA246" s="35"/>
      <c r="BB246" s="35"/>
      <c r="BC246" s="35"/>
      <c r="BD246" s="35"/>
      <c r="BE246" s="35"/>
      <c r="BF246" s="35"/>
      <c r="BG246" s="35"/>
    </row>
    <row r="247" ht="15.75" customHeight="1">
      <c r="A247" s="55" t="str">
        <f>IFERROR(__xludf.DUMMYFUNCTION("""COMPUTED_VALUE"""),"Instagram")</f>
        <v>Instagram</v>
      </c>
      <c r="B247" s="56">
        <f>IFERROR(__xludf.DUMMYFUNCTION("""COMPUTED_VALUE"""),46197.0)</f>
        <v>46197</v>
      </c>
      <c r="C247" s="55" t="str">
        <f>IFERROR(__xludf.DUMMYFUNCTION("""COMPUTED_VALUE"""),"June")</f>
        <v>June</v>
      </c>
      <c r="D247" s="58" t="str">
        <f>IFERROR(__xludf.DUMMYFUNCTION("""COMPUTED_VALUE"""),"https://www.instagram.com/reel/DZ7-gmWKC2k/?utm_source=ig_web_copy_link&amp;igsh=MzRlODBiNWFlZA==")</f>
        <v>https://www.instagram.com/reel/DZ7-gmWKC2k/?utm_source=ig_web_copy_link&amp;igsh=MzRlODBiNWFlZA==</v>
      </c>
      <c r="E247" s="55" t="str">
        <f>IFERROR(__xludf.DUMMYFUNCTION("""COMPUTED_VALUE"""),"@familiadwestcoast")</f>
        <v>@familiadwestcoast</v>
      </c>
      <c r="F247" s="55" t="str">
        <f>IFERROR(__xludf.DUMMYFUNCTION("""COMPUTED_VALUE"""),"NA")</f>
        <v>NA</v>
      </c>
      <c r="G247" s="55" t="str">
        <f>IFERROR(__xludf.DUMMYFUNCTION("""COMPUTED_VALUE"""),"Cortisol")</f>
        <v>Cortisol</v>
      </c>
      <c r="H247" s="55">
        <f>IFERROR(__xludf.DUMMYFUNCTION("""COMPUTED_VALUE"""),36.0)</f>
        <v>36</v>
      </c>
      <c r="I247" s="55">
        <f>IFERROR(__xludf.DUMMYFUNCTION("""COMPUTED_VALUE"""),46.4)</f>
        <v>46.4</v>
      </c>
      <c r="J247" s="55" t="str">
        <f>IFERROR(__xludf.DUMMYFUNCTION("""COMPUTED_VALUE"""),"Yes – Recommend")</f>
        <v>Yes – Recommend</v>
      </c>
      <c r="K247" s="55" t="str">
        <f>IFERROR(__xludf.DUMMYFUNCTION("""COMPUTED_VALUE"""),"Yes")</f>
        <v>Yes</v>
      </c>
      <c r="L247" s="55" t="str">
        <f>IFERROR(__xludf.DUMMYFUNCTION("""COMPUTED_VALUE"""),"Score 48.3 ≥ 20 threshold")</f>
        <v>Score 48.3 ≥ 20 threshold</v>
      </c>
      <c r="M247" s="59" t="str">
        <f>IFERROR(__xludf.DUMMYFUNCTION("""COMPUTED_VALUE"""),"No Ad Data")</f>
        <v>No Ad Data</v>
      </c>
      <c r="N247" s="55" t="str">
        <f>IFERROR(__xludf.DUMMYFUNCTION("""COMPUTED_VALUE"""),"3UGC-Cortisol-CTA-familiawestcoast")</f>
        <v>3UGC-Cortisol-CTA-familiawestcoast</v>
      </c>
      <c r="O247" s="58" t="str">
        <f>IFERROR(__xludf.DUMMYFUNCTION("""COMPUTED_VALUE"""),"https://buy.vahdam.com/coffee-cta-ugc-cortisol")</f>
        <v>https://buy.vahdam.com/coffee-cta-ugc-cortisol</v>
      </c>
      <c r="P247" s="59">
        <f>IFERROR(__xludf.DUMMYFUNCTION("""COMPUTED_VALUE"""),547.0)</f>
        <v>547</v>
      </c>
      <c r="Q247" s="59">
        <f>IFERROR(__xludf.DUMMYFUNCTION("""COMPUTED_VALUE"""),15.0)</f>
        <v>15</v>
      </c>
      <c r="R247" s="59">
        <f>IFERROR(__xludf.DUMMYFUNCTION("""COMPUTED_VALUE"""),19.0)</f>
        <v>19</v>
      </c>
      <c r="S247" s="55"/>
      <c r="T247" s="68">
        <f>IFERROR(__xludf.DUMMYFUNCTION("""COMPUTED_VALUE"""),0.0)</f>
        <v>0</v>
      </c>
      <c r="U247" s="55"/>
      <c r="V247" s="62">
        <f>IFERROR(__xludf.DUMMYFUNCTION("""COMPUTED_VALUE"""),0.0)</f>
        <v>0</v>
      </c>
      <c r="W247" s="63">
        <f>IFERROR(__xludf.DUMMYFUNCTION("""COMPUTED_VALUE"""),117.58)</f>
        <v>117.58</v>
      </c>
      <c r="X247" s="59">
        <f>IFERROR(__xludf.DUMMYFUNCTION("""COMPUTED_VALUE"""),547.0)</f>
        <v>547</v>
      </c>
      <c r="Y247" s="59">
        <f>IFERROR(__xludf.DUMMYFUNCTION("""COMPUTED_VALUE"""),15.0)</f>
        <v>15</v>
      </c>
      <c r="Z247" s="59">
        <f>IFERROR(__xludf.DUMMYFUNCTION("""COMPUTED_VALUE"""),19.0)</f>
        <v>19</v>
      </c>
      <c r="AA247" s="59">
        <f>IFERROR(__xludf.DUMMYFUNCTION("""COMPUTED_VALUE"""),0.0)</f>
        <v>0</v>
      </c>
      <c r="AB247" s="64">
        <f>IFERROR(__xludf.DUMMYFUNCTION("""COMPUTED_VALUE"""),0.0)</f>
        <v>0</v>
      </c>
      <c r="AC247" s="62">
        <f>IFERROR(__xludf.DUMMYFUNCTION("""COMPUTED_VALUE"""),0.0)</f>
        <v>0</v>
      </c>
      <c r="AD247" s="62">
        <f>IFERROR(__xludf.DUMMYFUNCTION("""COMPUTED_VALUE"""),0.0)</f>
        <v>0</v>
      </c>
      <c r="AE247" s="62">
        <f>IFERROR(__xludf.DUMMYFUNCTION("""COMPUTED_VALUE"""),0.0)</f>
        <v>0</v>
      </c>
      <c r="AF247" s="55" t="str">
        <f>IFERROR(__xludf.DUMMYFUNCTION("""COMPUTED_VALUE"""),"Yes")</f>
        <v>Yes</v>
      </c>
      <c r="AG247" s="55"/>
      <c r="AH247" s="55"/>
      <c r="AI247" s="55"/>
      <c r="AJ247" s="55"/>
      <c r="AK247" s="55"/>
      <c r="AL247" s="55"/>
      <c r="AM247" s="55" t="str">
        <f>IFERROR(__xludf.DUMMYFUNCTION("""COMPUTED_VALUE"""),"Q9jTBBX6TyA1IZEtvj9tg2ILYc_wUIJtrFo_UwtTP0vcIxLAmPh9ajMW2yzYa4gT4w")</f>
        <v>Q9jTBBX6TyA1IZEtvj9tg2ILYc_wUIJtrFo_UwtTP0vcIxLAmPh9ajMW2yzYa4gT4w</v>
      </c>
      <c r="AN247" s="55"/>
      <c r="AO247" s="55" t="str">
        <f>IFERROR(__xludf.DUMMYFUNCTION("""COMPUTED_VALUE"""),"NA")</f>
        <v>NA</v>
      </c>
      <c r="AP247" s="55" t="str">
        <f>IFERROR(__xludf.DUMMYFUNCTION("""COMPUTED_VALUE"""),"NA")</f>
        <v>NA</v>
      </c>
      <c r="AQ247" s="55" t="str">
        <f>IFERROR(__xludf.DUMMYFUNCTION("""COMPUTED_VALUE"""),"NA")</f>
        <v>NA</v>
      </c>
      <c r="AR247" s="55" t="str">
        <f>IFERROR(__xludf.DUMMYFUNCTION("""COMPUTED_VALUE"""),"I didn't quit coffee.")</f>
        <v>I didn't quit coffee.</v>
      </c>
      <c r="AS247" s="55" t="str">
        <f>IFERROR(__xludf.DUMMYFUNCTION("""COMPUTED_VALUE"""),"General / Lifestyle")</f>
        <v>General / Lifestyle</v>
      </c>
      <c r="AT247" s="55" t="str">
        <f>IFERROR(__xludf.DUMMYFUNCTION("""COMPUTED_VALUE"""),"• It's Vahadam Ashwagandha coffee with KSM66, L-theanine, turmeric, and functional mushrooms.
• My morning coffee was starting to make me feel jittery and kind of wired, but tired at the same time.
• But I notice that I get calmer energy and I don't feel "&amp;"that crash or overwhelm later in the day.
• I just make it like my normal morning coffee.")</f>
        <v>• It's Vahadam Ashwagandha coffee with KSM66, L-theanine, turmeric, and functional mushrooms.
• My morning coffee was starting to make me feel jittery and kind of wired, but tired at the same time.
• But I notice that I get calmer energy and I don't feel that crash or overwhelm later in the day.
• I just make it like my normal morning coffee.</v>
      </c>
      <c r="AU247" s="55" t="str">
        <f>IFERROR(__xludf.DUMMYFUNCTION("""COMPUTED_VALUE"""),"You can find it at the Target stores across the US or on target.com.")</f>
        <v>You can find it at the Target stores across the US or on target.com.</v>
      </c>
      <c r="AV247" s="55" t="str">
        <f>IFERROR(__xludf.DUMMYFUNCTION("""COMPUTED_VALUE"""),"I didn't quit coffee. I upgraded it. My morning coffee was starting to make me feel jittery and kind of wired, but tired at the same time. So I found this at the Target and decided to try something different. It's Vahadam Ashwagandha coffee with KSM66, L-"&amp;"theanine, turmeric, and functional mushrooms. So it's still coffee, just smarter. I just make it like my normal morning coffee. But I notice that I get calmer energy and I don't feel that crash or overwhelm later in the day. You can find it at the Target "&amp;"stores across the US or on target.com.")</f>
        <v>I didn't quit coffee. I upgraded it. My morning coffee was starting to make me feel jittery and kind of wired, but tired at the same time. So I found this at the Target and decided to try something different. It's Vahadam Ashwagandha coffee with KSM66, L-theanine, turmeric, and functional mushrooms. So it's still coffee, just smarter. I just make it like my normal morning coffee. But I notice that I get calmer energy and I don't feel that crash or overwhelm later in the day. You can find it at the Target stores across the US or on target.com.</v>
      </c>
      <c r="AW247" s="35"/>
      <c r="AX247" s="35"/>
      <c r="AY247" s="35"/>
      <c r="AZ247" s="35"/>
      <c r="BA247" s="35"/>
      <c r="BB247" s="35"/>
      <c r="BC247" s="35"/>
      <c r="BD247" s="35"/>
      <c r="BE247" s="35"/>
      <c r="BF247" s="35"/>
      <c r="BG247" s="35"/>
    </row>
    <row r="248" ht="15.75" customHeight="1">
      <c r="A248" s="55" t="str">
        <f>IFERROR(__xludf.DUMMYFUNCTION("""COMPUTED_VALUE"""),"Tiktok")</f>
        <v>Tiktok</v>
      </c>
      <c r="B248" s="56">
        <f>IFERROR(__xludf.DUMMYFUNCTION("""COMPUTED_VALUE"""),46196.0)</f>
        <v>46196</v>
      </c>
      <c r="C248" s="55" t="str">
        <f>IFERROR(__xludf.DUMMYFUNCTION("""COMPUTED_VALUE"""),"June")</f>
        <v>June</v>
      </c>
      <c r="D248" s="58" t="str">
        <f>IFERROR(__xludf.DUMMYFUNCTION("""COMPUTED_VALUE"""),"https://www.tiktok.com/@familiawestcoast/video/7654646282463497502")</f>
        <v>https://www.tiktok.com/@familiawestcoast/video/7654646282463497502</v>
      </c>
      <c r="E248" s="55" t="str">
        <f>IFERROR(__xludf.DUMMYFUNCTION("""COMPUTED_VALUE"""),"@familiawestcoast")</f>
        <v>@familiawestcoast</v>
      </c>
      <c r="F248" s="55" t="str">
        <f>IFERROR(__xludf.DUMMYFUNCTION("""COMPUTED_VALUE"""),"Raquel Senna do Santos silva")</f>
        <v>Raquel Senna do Santos silva</v>
      </c>
      <c r="G248" s="55" t="str">
        <f>IFERROR(__xludf.DUMMYFUNCTION("""COMPUTED_VALUE"""),"Cortisol")</f>
        <v>Cortisol</v>
      </c>
      <c r="H248" s="55">
        <f>IFERROR(__xludf.DUMMYFUNCTION("""COMPUTED_VALUE"""),34.0)</f>
        <v>34</v>
      </c>
      <c r="I248" s="55">
        <f>IFERROR(__xludf.DUMMYFUNCTION("""COMPUTED_VALUE"""),65.7)</f>
        <v>65.7</v>
      </c>
      <c r="J248" s="55" t="str">
        <f>IFERROR(__xludf.DUMMYFUNCTION("""COMPUTED_VALUE"""),"Yes – Recommend")</f>
        <v>Yes – Recommend</v>
      </c>
      <c r="K248" s="55" t="str">
        <f>IFERROR(__xludf.DUMMYFUNCTION("""COMPUTED_VALUE"""),"Review before running ads")</f>
        <v>Review before running ads</v>
      </c>
      <c r="L248" s="55" t="str">
        <f>IFERROR(__xludf.DUMMYFUNCTION("""COMPUTED_VALUE"""),"Score 80.3 ≥ 30")</f>
        <v>Score 80.3 ≥ 30</v>
      </c>
      <c r="M248" s="59" t="str">
        <f>IFERROR(__xludf.DUMMYFUNCTION("""COMPUTED_VALUE"""),"No Ad Data")</f>
        <v>No Ad Data</v>
      </c>
      <c r="N248" s="55"/>
      <c r="O248" s="55"/>
      <c r="P248" s="59">
        <f>IFERROR(__xludf.DUMMYFUNCTION("""COMPUTED_VALUE"""),508.0)</f>
        <v>508</v>
      </c>
      <c r="Q248" s="59">
        <f>IFERROR(__xludf.DUMMYFUNCTION("""COMPUTED_VALUE"""),17.0)</f>
        <v>17</v>
      </c>
      <c r="R248" s="59">
        <f>IFERROR(__xludf.DUMMYFUNCTION("""COMPUTED_VALUE"""),13.0)</f>
        <v>13</v>
      </c>
      <c r="S248" s="62">
        <f>IFERROR(__xludf.DUMMYFUNCTION("""COMPUTED_VALUE"""),45.7)</f>
        <v>45.7</v>
      </c>
      <c r="T248" s="62">
        <f>IFERROR(__xludf.DUMMYFUNCTION("""COMPUTED_VALUE"""),21.7)</f>
        <v>21.7</v>
      </c>
      <c r="U248" s="64">
        <f>IFERROR(__xludf.DUMMYFUNCTION("""COMPUTED_VALUE"""),6.0)</f>
        <v>6</v>
      </c>
      <c r="V248" s="62">
        <f>IFERROR(__xludf.DUMMYFUNCTION("""COMPUTED_VALUE"""),7.2)</f>
        <v>7.2</v>
      </c>
      <c r="W248" s="63">
        <f>IFERROR(__xludf.DUMMYFUNCTION("""COMPUTED_VALUE"""),117.58)</f>
        <v>117.58</v>
      </c>
      <c r="X248" s="59">
        <f>IFERROR(__xludf.DUMMYFUNCTION("""COMPUTED_VALUE"""),508.0)</f>
        <v>508</v>
      </c>
      <c r="Y248" s="59">
        <f>IFERROR(__xludf.DUMMYFUNCTION("""COMPUTED_VALUE"""),17.0)</f>
        <v>17</v>
      </c>
      <c r="Z248" s="59">
        <f>IFERROR(__xludf.DUMMYFUNCTION("""COMPUTED_VALUE"""),13.0)</f>
        <v>13</v>
      </c>
      <c r="AA248" s="59">
        <f>IFERROR(__xludf.DUMMYFUNCTION("""COMPUTED_VALUE"""),7.0)</f>
        <v>7</v>
      </c>
      <c r="AB248" s="64">
        <f>IFERROR(__xludf.DUMMYFUNCTION("""COMPUTED_VALUE"""),6.0)</f>
        <v>6</v>
      </c>
      <c r="AC248" s="62">
        <f>IFERROR(__xludf.DUMMYFUNCTION("""COMPUTED_VALUE"""),7.2)</f>
        <v>7.2</v>
      </c>
      <c r="AD248" s="62">
        <f>IFERROR(__xludf.DUMMYFUNCTION("""COMPUTED_VALUE"""),45.7)</f>
        <v>45.7</v>
      </c>
      <c r="AE248" s="62">
        <f>IFERROR(__xludf.DUMMYFUNCTION("""COMPUTED_VALUE"""),21.7)</f>
        <v>21.7</v>
      </c>
      <c r="AF248" s="55"/>
      <c r="AG248" s="55"/>
      <c r="AH248" s="55"/>
      <c r="AI248" s="55"/>
      <c r="AJ248" s="55"/>
      <c r="AK248" s="55"/>
      <c r="AL248" s="55"/>
      <c r="AM248" s="55" t="str">
        <f>IFERROR(__xludf.DUMMYFUNCTION("""COMPUTED_VALUE"""),"#U9Ie0OR+NM8ZYWWyepP+6VTQCtiE7Wj4nbGxkY+htAGnirGd2Pp8WPPqTlpteMY=")</f>
        <v>#U9Ie0OR+NM8ZYWWyepP+6VTQCtiE7Wj4nbGxkY+htAGnirGd2Pp8WPPqTlpteMY=</v>
      </c>
      <c r="AN248" s="55"/>
      <c r="AO248" s="58" t="str">
        <f>IFERROR(__xludf.DUMMYFUNCTION("""COMPUTED_VALUE"""),"https://us.brand.joinbrands.com/job/690150")</f>
        <v>https://us.brand.joinbrands.com/job/690150</v>
      </c>
      <c r="AP248" s="55" t="str">
        <f>IFERROR(__xludf.DUMMYFUNCTION("""COMPUTED_VALUE"""),"Nice - also asks to leave review")</f>
        <v>Nice - also asks to leave review</v>
      </c>
      <c r="AQ248" s="55" t="str">
        <f>IFERROR(__xludf.DUMMYFUNCTION("""COMPUTED_VALUE"""),"I didnâ€™t quit coffeeâ€¦ I upgraded â˜• My new coffee ritual is here Iâ€™m loving this blend from @vahdamusa with KSM-66 Ashwagandha â€” a perfect addition to my daily routine. Found it at @target #Vahdam...")</f>
        <v>I didnâ€™t quit coffeeâ€¦ I upgraded â˜• My new coffee ritual is here Iâ€™m loving this blend from @vahdamusa with KSM-66 Ashwagandha â€” a perfect addition to my daily routine. Found it at @target #Vahdam...</v>
      </c>
      <c r="AR248" s="55" t="str">
        <f>IFERROR(__xludf.DUMMYFUNCTION("""COMPUTED_VALUE"""),"This might be the smartest coffee I've ever found at Target.")</f>
        <v>This might be the smartest coffee I've ever found at Target.</v>
      </c>
      <c r="AS248" s="55" t="str">
        <f>IFERROR(__xludf.DUMMYFUNCTION("""COMPUTED_VALUE"""),"Personal Discovery")</f>
        <v>Personal Discovery</v>
      </c>
      <c r="AT248" s="55" t="str">
        <f>IFERROR(__xludf.DUMMYFUNCTION("""COMPUTED_VALUE"""),"• I found this Vahdam Ashwagandha coffee with KSM66, Elfianine, Turmeric and Functional Mushroom.
• It's designed to support calm energy, focus and a more balanced daily routine.
• I love wellness products, but I don't love having a million different thin"&amp;"gs to take every day.
• It actually tastes like delicious regular coffee.")</f>
        <v>• I found this Vahdam Ashwagandha coffee with KSM66, Elfianine, Turmeric and Functional Mushroom.
• It's designed to support calm energy, focus and a more balanced daily routine.
• I love wellness products, but I don't love having a million different things to take every day.
• It actually tastes like delicious regular coffee.</v>
      </c>
      <c r="AU248" s="55" t="str">
        <f>IFERROR(__xludf.DUMMYFUNCTION("""COMPUTED_VALUE"""),"If you try it, don't forget to leave a review on Target.com.")</f>
        <v>If you try it, don't forget to leave a review on Target.com.</v>
      </c>
      <c r="AV248" s="55" t="str">
        <f>IFERROR(__xludf.DUMMYFUNCTION("""COMPUTED_VALUE"""),"This might be the smartest coffee I've ever found at Target. I found this Vahdam Ashwagandha coffee with KSM66, Elfianine, Turmeric and Functional Mushroom. So finding all of this in one simple cup of coffee was a win for me. It's designed to support calm"&amp;" energy, focus and a more balanced daily routine. I love wellness products, but I don't love having a million different things to take every day. And the best part? It actually tastes like delicious regular coffee. You can find it at the Target stores acr"&amp;"oss the US or on Target.com. If you try it, don't forget to leave a review on Target.com.")</f>
        <v>This might be the smartest coffee I've ever found at Target. I found this Vahdam Ashwagandha coffee with KSM66, Elfianine, Turmeric and Functional Mushroom. So finding all of this in one simple cup of coffee was a win for me. It's designed to support calm energy, focus and a more balanced daily routine. I love wellness products, but I don't love having a million different things to take every day. And the best part? It actually tastes like delicious regular coffee. You can find it at the Target stores across the US or on Target.com. If you try it, don't forget to leave a review on Target.com.</v>
      </c>
      <c r="AW248" s="35"/>
      <c r="AX248" s="35"/>
      <c r="AY248" s="35"/>
      <c r="AZ248" s="35"/>
      <c r="BA248" s="35"/>
      <c r="BB248" s="35"/>
      <c r="BC248" s="35"/>
      <c r="BD248" s="35"/>
      <c r="BE248" s="35"/>
      <c r="BF248" s="35"/>
      <c r="BG248" s="35"/>
    </row>
    <row r="249" ht="15.75" customHeight="1">
      <c r="A249" s="55" t="str">
        <f>IFERROR(__xludf.DUMMYFUNCTION("""COMPUTED_VALUE"""),"Tiktok")</f>
        <v>Tiktok</v>
      </c>
      <c r="B249" s="56">
        <f>IFERROR(__xludf.DUMMYFUNCTION("""COMPUTED_VALUE"""),46195.0)</f>
        <v>46195</v>
      </c>
      <c r="C249" s="55" t="str">
        <f>IFERROR(__xludf.DUMMYFUNCTION("""COMPUTED_VALUE"""),"June")</f>
        <v>June</v>
      </c>
      <c r="D249" s="58" t="str">
        <f>IFERROR(__xludf.DUMMYFUNCTION("""COMPUTED_VALUE"""),"https://www.tiktok.com/@fanyvibes27/video/7654199904478219550")</f>
        <v>https://www.tiktok.com/@fanyvibes27/video/7654199904478219550</v>
      </c>
      <c r="E249" s="55" t="str">
        <f>IFERROR(__xludf.DUMMYFUNCTION("""COMPUTED_VALUE"""),"@fanyvibes27")</f>
        <v>@fanyvibes27</v>
      </c>
      <c r="F249" s="55" t="str">
        <f>IFERROR(__xludf.DUMMYFUNCTION("""COMPUTED_VALUE"""),"Stephany Elenes")</f>
        <v>Stephany Elenes</v>
      </c>
      <c r="G249" s="55" t="str">
        <f>IFERROR(__xludf.DUMMYFUNCTION("""COMPUTED_VALUE"""),"Target In-Store Discovery")</f>
        <v>Target In-Store Discovery</v>
      </c>
      <c r="H249" s="55">
        <f>IFERROR(__xludf.DUMMYFUNCTION("""COMPUTED_VALUE"""),32.0)</f>
        <v>32</v>
      </c>
      <c r="I249" s="55">
        <f>IFERROR(__xludf.DUMMYFUNCTION("""COMPUTED_VALUE"""),59.7)</f>
        <v>59.7</v>
      </c>
      <c r="J249" s="55" t="str">
        <f>IFERROR(__xludf.DUMMYFUNCTION("""COMPUTED_VALUE"""),"Yes – Recommend")</f>
        <v>Yes – Recommend</v>
      </c>
      <c r="K249" s="55" t="str">
        <f>IFERROR(__xludf.DUMMYFUNCTION("""COMPUTED_VALUE"""),"Review before running ads")</f>
        <v>Review before running ads</v>
      </c>
      <c r="L249" s="55" t="str">
        <f>IFERROR(__xludf.DUMMYFUNCTION("""COMPUTED_VALUE"""),"Score 67.3 ≥ 30")</f>
        <v>Score 67.3 ≥ 30</v>
      </c>
      <c r="M249" s="59" t="str">
        <f>IFERROR(__xludf.DUMMYFUNCTION("""COMPUTED_VALUE"""),"No Ad Data")</f>
        <v>No Ad Data</v>
      </c>
      <c r="N249" s="55"/>
      <c r="O249" s="55"/>
      <c r="P249" s="59">
        <f>IFERROR(__xludf.DUMMYFUNCTION("""COMPUTED_VALUE"""),502.0)</f>
        <v>502</v>
      </c>
      <c r="Q249" s="59">
        <f>IFERROR(__xludf.DUMMYFUNCTION("""COMPUTED_VALUE"""),39.0)</f>
        <v>39</v>
      </c>
      <c r="R249" s="59">
        <f>IFERROR(__xludf.DUMMYFUNCTION("""COMPUTED_VALUE"""),12.0)</f>
        <v>12</v>
      </c>
      <c r="S249" s="62">
        <f>IFERROR(__xludf.DUMMYFUNCTION("""COMPUTED_VALUE"""),44.1)</f>
        <v>44.1</v>
      </c>
      <c r="T249" s="62">
        <f>IFERROR(__xludf.DUMMYFUNCTION("""COMPUTED_VALUE"""),19.2)</f>
        <v>19.2</v>
      </c>
      <c r="U249" s="64">
        <f>IFERROR(__xludf.DUMMYFUNCTION("""COMPUTED_VALUE"""),6.0)</f>
        <v>6</v>
      </c>
      <c r="V249" s="62">
        <f>IFERROR(__xludf.DUMMYFUNCTION("""COMPUTED_VALUE"""),10.3)</f>
        <v>10.3</v>
      </c>
      <c r="W249" s="63">
        <f>IFERROR(__xludf.DUMMYFUNCTION("""COMPUTED_VALUE"""),52.58)</f>
        <v>52.58</v>
      </c>
      <c r="X249" s="59">
        <f>IFERROR(__xludf.DUMMYFUNCTION("""COMPUTED_VALUE"""),502.0)</f>
        <v>502</v>
      </c>
      <c r="Y249" s="59">
        <f>IFERROR(__xludf.DUMMYFUNCTION("""COMPUTED_VALUE"""),39.0)</f>
        <v>39</v>
      </c>
      <c r="Z249" s="59">
        <f>IFERROR(__xludf.DUMMYFUNCTION("""COMPUTED_VALUE"""),12.0)</f>
        <v>12</v>
      </c>
      <c r="AA249" s="59">
        <f>IFERROR(__xludf.DUMMYFUNCTION("""COMPUTED_VALUE"""),1.0)</f>
        <v>1</v>
      </c>
      <c r="AB249" s="64">
        <f>IFERROR(__xludf.DUMMYFUNCTION("""COMPUTED_VALUE"""),6.0)</f>
        <v>6</v>
      </c>
      <c r="AC249" s="62">
        <f>IFERROR(__xludf.DUMMYFUNCTION("""COMPUTED_VALUE"""),10.3)</f>
        <v>10.3</v>
      </c>
      <c r="AD249" s="62">
        <f>IFERROR(__xludf.DUMMYFUNCTION("""COMPUTED_VALUE"""),44.1)</f>
        <v>44.1</v>
      </c>
      <c r="AE249" s="62">
        <f>IFERROR(__xludf.DUMMYFUNCTION("""COMPUTED_VALUE"""),19.2)</f>
        <v>19.2</v>
      </c>
      <c r="AF249" s="55"/>
      <c r="AG249" s="55"/>
      <c r="AH249" s="55"/>
      <c r="AI249" s="55"/>
      <c r="AJ249" s="55"/>
      <c r="AK249" s="55"/>
      <c r="AL249" s="55"/>
      <c r="AM249" s="55" t="str">
        <f>IFERROR(__xludf.DUMMYFUNCTION("""COMPUTED_VALUE"""),"#ya/MENhzGOhTcZxVaSc3lCLXkr5jAKcbdNyubzayukv+vM7C/YZXzLYXWt5ZQxs=")</f>
        <v>#ya/MENhzGOhTcZxVaSc3lCLXkr5jAKcbdNyubzayukv+vM7C/YZXzLYXWt5ZQxs=</v>
      </c>
      <c r="AN249" s="55"/>
      <c r="AO249" s="58" t="str">
        <f>IFERROR(__xludf.DUMMYFUNCTION("""COMPUTED_VALUE"""),"https://us.brand.joinbrands.com/job/693202")</f>
        <v>https://us.brand.joinbrands.com/job/693202</v>
      </c>
      <c r="AP249" s="55" t="str">
        <f>IFERROR(__xludf.DUMMYFUNCTION("""COMPUTED_VALUE"""),"Not english")</f>
        <v>Not english</v>
      </c>
      <c r="AQ249" s="55" t="str">
        <f>IFERROR(__xludf.DUMMYFUNCTION("""COMPUTED_VALUE"""),"â˜•ï¸ mi cafesito es de @VAHDAM USA VAHDAMUSA de @target AMEEEE #vahdam #vahdamcoffee #ashwagandhacoffee")</f>
        <v>â˜•ï¸_x008f_ mi cafesito es de @VAHDAM USA VAHDAMUSA de @target AMEEEE #vahdam #vahdamcoffee #ashwagandhacoffee</v>
      </c>
      <c r="AR249" s="55" t="str">
        <f>IFERROR(__xludf.DUMMYFUNCTION("""COMPUTED_VALUE"""),"Si eres mamÃ¡, seguro me entiendes.")</f>
        <v>Si eres mamÃ¡, seguro me entiendes.</v>
      </c>
      <c r="AS249" s="55" t="str">
        <f>IFERROR(__xludf.DUMMYFUNCTION("""COMPUTED_VALUE"""),"General / Lifestyle")</f>
        <v>General / Lifestyle</v>
      </c>
      <c r="AT249" s="55" t="str">
        <f>IFERROR(__xludf.DUMMYFUNCTION("""COMPUTED_VALUE"""),"• Hay dÃ­as en el que el estrÃ©s estÃ¡ al mÃ¡ximo y apenas encontramos un momento para nosotras.
• MirÃ© este cafÃ© con ashawanda, sÃºper viral, y vine corriendo a Target a buscarlo.
• Me encanta porque ademÃ¡s de que es mi cafecito de la maÃ±ana, contien"&amp;"e ashawanda, un ingrediente conocido por ayudar a manejar el estrÃ©s.")</f>
        <v>• Hay dÃ­as en el que el estrÃ©s estÃ¡ al mÃ¡ximo y apenas encontramos un momento para nosotras.
• MirÃ© este cafÃ© con ashawanda, sÃºper viral, y vine corriendo a Target a buscarlo.
• Me encanta porque ademÃ¡s de que es mi cafecito de la maÃ±ana, contiene ashawanda, un ingrediente conocido por ayudar a manejar el estrÃ©s.</v>
      </c>
      <c r="AU249" s="55" t="str">
        <f>IFERROR(__xludf.DUMMYFUNCTION("""COMPUTED_VALUE"""),"Lo mejor es que se puede encontrar muy fÃ¡cil en Target, asÃ­ que si eres una mamÃ¡ ocupada como yo y quieres probar algo diferente para tu rutina, bÃºscalo en Target, cuÃ©ntame quÃ© te parece, bye by...")</f>
        <v>Lo mejor es que se puede encontrar muy fÃ¡cil en Target, asÃ­ que si eres una mamÃ¡ ocupada como yo y quieres probar algo diferente para tu rutina, bÃºscalo en Target, cuÃ©ntame quÃ© te parece, bye by...</v>
      </c>
      <c r="AV249" s="55" t="str">
        <f>IFERROR(__xludf.DUMMYFUNCTION("""COMPUTED_VALUE"""),"Si eres mamÃ¡, seguro me entiendes. Hay dÃ­as en el que el estrÃ©s estÃ¡ al mÃ¡ximo y apenas encontramos un momento para nosotras. MirÃ© este cafÃ© con ashawanda, sÃºper viral, y vine corriendo a Target a buscarlo. Me encanta porque ademÃ¡s de que es mi c"&amp;"afecito de la maÃ±ana, contiene ashawanda, un ingrediente conocido por ayudar a manejar el estrÃ©s. Lo mejor es que se puede encontrar muy fÃ¡cil en Target, asÃ­ que si eres una mamÃ¡ ocupada como yo y quieres probar algo diferente para tu rutina, bÃºscal"&amp;"o en Target, cuÃ©ntame quÃ© te parece, bye bye")</f>
        <v>Si eres mamÃ¡, seguro me entiendes. Hay dÃ­as en el que el estrÃ©s estÃ¡ al mÃ¡ximo y apenas encontramos un momento para nosotras. MirÃ© este cafÃ© con ashawanda, sÃºper viral, y vine corriendo a Target a buscarlo. Me encanta porque ademÃ¡s de que es mi cafecito de la maÃ±ana, contiene ashawanda, un ingrediente conocido por ayudar a manejar el estrÃ©s. Lo mejor es que se puede encontrar muy fÃ¡cil en Target, asÃ­ que si eres una mamÃ¡ ocupada como yo y quieres probar algo diferente para tu rutina, bÃºscalo en Target, cuÃ©ntame quÃ© te parece, bye bye</v>
      </c>
      <c r="AW249" s="35"/>
      <c r="AX249" s="35"/>
      <c r="AY249" s="35"/>
      <c r="AZ249" s="35"/>
      <c r="BA249" s="35"/>
      <c r="BB249" s="35"/>
      <c r="BC249" s="35"/>
      <c r="BD249" s="35"/>
      <c r="BE249" s="35"/>
      <c r="BF249" s="35"/>
      <c r="BG249" s="35"/>
    </row>
    <row r="250" ht="15.75" customHeight="1">
      <c r="A250" s="55" t="str">
        <f>IFERROR(__xludf.DUMMYFUNCTION("""COMPUTED_VALUE"""),"Instagram")</f>
        <v>Instagram</v>
      </c>
      <c r="B250" s="56">
        <f>IFERROR(__xludf.DUMMYFUNCTION("""COMPUTED_VALUE"""),46201.0)</f>
        <v>46201</v>
      </c>
      <c r="C250" s="55" t="str">
        <f>IFERROR(__xludf.DUMMYFUNCTION("""COMPUTED_VALUE"""),"June")</f>
        <v>June</v>
      </c>
      <c r="D250" s="58" t="str">
        <f>IFERROR(__xludf.DUMMYFUNCTION("""COMPUTED_VALUE"""),"https://www.instagram.com/reel/DZvS7UTPDbV/")</f>
        <v>https://www.instagram.com/reel/DZvS7UTPDbV/</v>
      </c>
      <c r="E250" s="55" t="str">
        <f>IFERROR(__xludf.DUMMYFUNCTION("""COMPUTED_VALUE"""),"@fernandacravo_")</f>
        <v>@fernandacravo_</v>
      </c>
      <c r="F250" s="55" t="str">
        <f>IFERROR(__xludf.DUMMYFUNCTION("""COMPUTED_VALUE"""),"NA")</f>
        <v>NA</v>
      </c>
      <c r="G250" s="55" t="str">
        <f>IFERROR(__xludf.DUMMYFUNCTION("""COMPUTED_VALUE"""),"Cortisol")</f>
        <v>Cortisol</v>
      </c>
      <c r="H250" s="55">
        <f>IFERROR(__xludf.DUMMYFUNCTION("""COMPUTED_VALUE"""),33.0)</f>
        <v>33</v>
      </c>
      <c r="I250" s="55">
        <f>IFERROR(__xludf.DUMMYFUNCTION("""COMPUTED_VALUE"""),30.0)</f>
        <v>30</v>
      </c>
      <c r="J250" s="55" t="str">
        <f>IFERROR(__xludf.DUMMYFUNCTION("""COMPUTED_VALUE"""),"Yes – Recommend")</f>
        <v>Yes – Recommend</v>
      </c>
      <c r="K250" s="55" t="str">
        <f>IFERROR(__xludf.DUMMYFUNCTION("""COMPUTED_VALUE"""),"Yes")</f>
        <v>Yes</v>
      </c>
      <c r="L250" s="55" t="str">
        <f>IFERROR(__xludf.DUMMYFUNCTION("""COMPUTED_VALUE"""),"Score 31.4 ≥ 20 threshold")</f>
        <v>Score 31.4 ≥ 20 threshold</v>
      </c>
      <c r="M250" s="59" t="str">
        <f>IFERROR(__xludf.DUMMYFUNCTION("""COMPUTED_VALUE"""),"No Ad Data")</f>
        <v>No Ad Data</v>
      </c>
      <c r="N250" s="55" t="str">
        <f>IFERROR(__xludf.DUMMYFUNCTION("""COMPUTED_VALUE"""),"5UGC-Cortisol-CTA-fernandacravo")</f>
        <v>5UGC-Cortisol-CTA-fernandacravo</v>
      </c>
      <c r="O250" s="58" t="str">
        <f>IFERROR(__xludf.DUMMYFUNCTION("""COMPUTED_VALUE"""),"https://buy.vahdam.com/coffee-cta-ugc-cortisol")</f>
        <v>https://buy.vahdam.com/coffee-cta-ugc-cortisol</v>
      </c>
      <c r="P250" s="59">
        <f>IFERROR(__xludf.DUMMYFUNCTION("""COMPUTED_VALUE"""),432.0)</f>
        <v>432</v>
      </c>
      <c r="Q250" s="59">
        <f>IFERROR(__xludf.DUMMYFUNCTION("""COMPUTED_VALUE"""),14.0)</f>
        <v>14</v>
      </c>
      <c r="R250" s="59">
        <f>IFERROR(__xludf.DUMMYFUNCTION("""COMPUTED_VALUE"""),3.0)</f>
        <v>3</v>
      </c>
      <c r="S250" s="55"/>
      <c r="T250" s="68">
        <f>IFERROR(__xludf.DUMMYFUNCTION("""COMPUTED_VALUE"""),0.0)</f>
        <v>0</v>
      </c>
      <c r="U250" s="55"/>
      <c r="V250" s="62">
        <f>IFERROR(__xludf.DUMMYFUNCTION("""COMPUTED_VALUE"""),0.059)</f>
        <v>0.059</v>
      </c>
      <c r="W250" s="63">
        <f>IFERROR(__xludf.DUMMYFUNCTION("""COMPUTED_VALUE"""),117.58)</f>
        <v>117.58</v>
      </c>
      <c r="X250" s="59">
        <f>IFERROR(__xludf.DUMMYFUNCTION("""COMPUTED_VALUE"""),432.0)</f>
        <v>432</v>
      </c>
      <c r="Y250" s="59">
        <f>IFERROR(__xludf.DUMMYFUNCTION("""COMPUTED_VALUE"""),14.0)</f>
        <v>14</v>
      </c>
      <c r="Z250" s="59">
        <f>IFERROR(__xludf.DUMMYFUNCTION("""COMPUTED_VALUE"""),3.0)</f>
        <v>3</v>
      </c>
      <c r="AA250" s="59">
        <f>IFERROR(__xludf.DUMMYFUNCTION("""COMPUTED_VALUE"""),0.0)</f>
        <v>0</v>
      </c>
      <c r="AB250" s="64">
        <f>IFERROR(__xludf.DUMMYFUNCTION("""COMPUTED_VALUE"""),0.0)</f>
        <v>0</v>
      </c>
      <c r="AC250" s="62">
        <f>IFERROR(__xludf.DUMMYFUNCTION("""COMPUTED_VALUE"""),0.059)</f>
        <v>0.059</v>
      </c>
      <c r="AD250" s="62">
        <f>IFERROR(__xludf.DUMMYFUNCTION("""COMPUTED_VALUE"""),0.0)</f>
        <v>0</v>
      </c>
      <c r="AE250" s="62">
        <f>IFERROR(__xludf.DUMMYFUNCTION("""COMPUTED_VALUE"""),0.0)</f>
        <v>0</v>
      </c>
      <c r="AF250" s="55" t="str">
        <f>IFERROR(__xludf.DUMMYFUNCTION("""COMPUTED_VALUE"""),"Yes")</f>
        <v>Yes</v>
      </c>
      <c r="AG250" s="55"/>
      <c r="AH250" s="55"/>
      <c r="AI250" s="55"/>
      <c r="AJ250" s="55"/>
      <c r="AK250" s="55"/>
      <c r="AL250" s="55"/>
      <c r="AM250" s="55" t="str">
        <f>IFERROR(__xludf.DUMMYFUNCTION("""COMPUTED_VALUE"""),"Q9jTBBWSKefDHegQLFFr21aglRgDl7PLRpCpREA752u80PUYTNjV5vsFZjul7b78Pw")</f>
        <v>Q9jTBBWSKefDHegQLFFr21aglRgDl7PLRpCpREA752u80PUYTNjV5vsFZjul7b78Pw</v>
      </c>
      <c r="AN250" s="55"/>
      <c r="AO250" s="55" t="str">
        <f>IFERROR(__xludf.DUMMYFUNCTION("""COMPUTED_VALUE"""),"NA")</f>
        <v>NA</v>
      </c>
      <c r="AP250" s="55" t="str">
        <f>IFERROR(__xludf.DUMMYFUNCTION("""COMPUTED_VALUE"""),"Music too loud")</f>
        <v>Music too loud</v>
      </c>
      <c r="AQ250" s="55" t="str">
        <f>IFERROR(__xludf.DUMMYFUNCTION("""COMPUTED_VALUE"""),"Iâ€™m obsessed! ðŸ˜ The best combo ðŸ«±ðŸ¼â€ðŸ«²ðŸ½ thank me later! @target @vahdamusa #vahdam #wellnessjourney #coffee #ugccreator")</f>
        <v>Iâ€™m obsessed! ðŸ˜_x008d_ The best combo ðŸ«±ðŸ_x008f_¼â€_x008d_ðŸ«²ðŸ_x008f_½ thank me later! @target @vahdamusa #vahdam #wellnessjourney #coffee #ugccreator</v>
      </c>
      <c r="AR250" s="55" t="str">
        <f>IFERROR(__xludf.DUMMYFUNCTION("""COMPUTED_VALUE"""),"As a mom, my routines are already non-stop, so I need a coffee that works for me, not against me.")</f>
        <v>As a mom, my routines are already non-stop, so I need a coffee that works for me, not against me.</v>
      </c>
      <c r="AS250" s="55" t="str">
        <f>IFERROR(__xludf.DUMMYFUNCTION("""COMPUTED_VALUE"""),"General / Lifestyle")</f>
        <v>General / Lifestyle</v>
      </c>
      <c r="AT250" s="55" t="str">
        <f>IFERROR(__xludf.DUMMYFUNCTION("""COMPUTED_VALUE"""),"• It's made with ashwagandha, L-T&amp;E, lion's mane, chaga and turmeric.
• The idea is to give you a smoother coffee experience and support healthy cortisol levels.
• What I like about this is that it feels like a small wellness, a great my morning routine.
"&amp;"• This is Fadan Ashwagandha Coffee.")</f>
        <v>• It's made with ashwagandha, L-T&amp;E, lion's mane, chaga and turmeric.
• The idea is to give you a smoother coffee experience and support healthy cortisol levels.
• What I like about this is that it feels like a small wellness, a great my morning routine.
• This is Fadan Ashwagandha Coffee.</v>
      </c>
      <c r="AU250" s="55" t="str">
        <f>IFERROR(__xludf.DUMMYFUNCTION("""COMPUTED_VALUE"""),"Available at TargetStars and Target.com.")</f>
        <v>Available at TargetStars and Target.com.</v>
      </c>
      <c r="AV250" s="55" t="str">
        <f>IFERROR(__xludf.DUMMYFUNCTION("""COMPUTED_VALUE"""),"As a mom, my routines are already non-stop, so I need a coffee that works for me, not against me. This is Fadan Ashwagandha Coffee. It's made with ashwagandha, L-T&amp;E, lion's mane, chaga and turmeric. The idea is to give you a smoother coffee experience an"&amp;"d support healthy cortisol levels. I thought this coffee was going to taste healthy, and you know what I mean by that. What is impressive is that it tastes just like coffee. It's just like coffee, it wouldn't help. What I like about this is that it feels "&amp;"like a small wellness, a great my morning routine. If you're curious about functional copy, this is your sign. Available at TargetStars and Target.com.")</f>
        <v>As a mom, my routines are already non-stop, so I need a coffee that works for me, not against me. This is Fadan Ashwagandha Coffee. It's made with ashwagandha, L-T&amp;E, lion's mane, chaga and turmeric. The idea is to give you a smoother coffee experience and support healthy cortisol levels. I thought this coffee was going to taste healthy, and you know what I mean by that. What is impressive is that it tastes just like coffee. It's just like coffee, it wouldn't help. What I like about this is that it feels like a small wellness, a great my morning routine. If you're curious about functional copy, this is your sign. Available at TargetStars and Target.com.</v>
      </c>
      <c r="AW250" s="35"/>
      <c r="AX250" s="35"/>
      <c r="AY250" s="35"/>
      <c r="AZ250" s="35"/>
      <c r="BA250" s="35"/>
      <c r="BB250" s="35"/>
      <c r="BC250" s="35"/>
      <c r="BD250" s="35"/>
      <c r="BE250" s="35"/>
      <c r="BF250" s="35"/>
      <c r="BG250" s="35"/>
    </row>
    <row r="251" ht="15.75" customHeight="1">
      <c r="A251" s="55" t="str">
        <f>IFERROR(__xludf.DUMMYFUNCTION("""COMPUTED_VALUE"""),"Tiktok")</f>
        <v>Tiktok</v>
      </c>
      <c r="B251" s="56">
        <f>IFERROR(__xludf.DUMMYFUNCTION("""COMPUTED_VALUE"""),46195.0)</f>
        <v>46195</v>
      </c>
      <c r="C251" s="55" t="str">
        <f>IFERROR(__xludf.DUMMYFUNCTION("""COMPUTED_VALUE"""),"June")</f>
        <v>June</v>
      </c>
      <c r="D251" s="58" t="str">
        <f>IFERROR(__xludf.DUMMYFUNCTION("""COMPUTED_VALUE"""),"https://www.tiktok.com/@crossrunner0719/video/7654193695981423886")</f>
        <v>https://www.tiktok.com/@crossrunner0719/video/7654193695981423886</v>
      </c>
      <c r="E251" s="55" t="str">
        <f>IFERROR(__xludf.DUMMYFUNCTION("""COMPUTED_VALUE"""),"@crossrunner0719")</f>
        <v>@crossrunner0719</v>
      </c>
      <c r="F251" s="55" t="str">
        <f>IFERROR(__xludf.DUMMYFUNCTION("""COMPUTED_VALUE"""),"Stephanie Tirotta")</f>
        <v>Stephanie Tirotta</v>
      </c>
      <c r="G251" s="55" t="str">
        <f>IFERROR(__xludf.DUMMYFUNCTION("""COMPUTED_VALUE"""),"Over 40/ High Performer")</f>
        <v>Over 40/ High Performer</v>
      </c>
      <c r="H251" s="55">
        <f>IFERROR(__xludf.DUMMYFUNCTION("""COMPUTED_VALUE"""),55.0)</f>
        <v>55</v>
      </c>
      <c r="I251" s="55">
        <f>IFERROR(__xludf.DUMMYFUNCTION("""COMPUTED_VALUE"""),36.6)</f>
        <v>36.6</v>
      </c>
      <c r="J251" s="55" t="str">
        <f>IFERROR(__xludf.DUMMYFUNCTION("""COMPUTED_VALUE"""),"Yes – Recommend")</f>
        <v>Yes – Recommend</v>
      </c>
      <c r="K251" s="55" t="str">
        <f>IFERROR(__xludf.DUMMYFUNCTION("""COMPUTED_VALUE"""),"Review before running ads")</f>
        <v>Review before running ads</v>
      </c>
      <c r="L251" s="55" t="str">
        <f>IFERROR(__xludf.DUMMYFUNCTION("""COMPUTED_VALUE"""),"Score 36.9 ≥ 30")</f>
        <v>Score 36.9 ≥ 30</v>
      </c>
      <c r="M251" s="59" t="str">
        <f>IFERROR(__xludf.DUMMYFUNCTION("""COMPUTED_VALUE"""),"No Ad Data")</f>
        <v>No Ad Data</v>
      </c>
      <c r="N251" s="55"/>
      <c r="O251" s="55"/>
      <c r="P251" s="59">
        <f>IFERROR(__xludf.DUMMYFUNCTION("""COMPUTED_VALUE"""),416.0)</f>
        <v>416</v>
      </c>
      <c r="Q251" s="59">
        <f>IFERROR(__xludf.DUMMYFUNCTION("""COMPUTED_VALUE"""),3.0)</f>
        <v>3</v>
      </c>
      <c r="R251" s="59">
        <f>IFERROR(__xludf.DUMMYFUNCTION("""COMPUTED_VALUE"""),0.0)</f>
        <v>0</v>
      </c>
      <c r="S251" s="62">
        <f>IFERROR(__xludf.DUMMYFUNCTION("""COMPUTED_VALUE"""),41.8)</f>
        <v>41.8</v>
      </c>
      <c r="T251" s="62">
        <f>IFERROR(__xludf.DUMMYFUNCTION("""COMPUTED_VALUE"""),14.7)</f>
        <v>14.7</v>
      </c>
      <c r="U251" s="64">
        <f>IFERROR(__xludf.DUMMYFUNCTION("""COMPUTED_VALUE"""),5.0)</f>
        <v>5</v>
      </c>
      <c r="V251" s="62">
        <f>IFERROR(__xludf.DUMMYFUNCTION("""COMPUTED_VALUE"""),0.72)</f>
        <v>0.72</v>
      </c>
      <c r="W251" s="63">
        <f>IFERROR(__xludf.DUMMYFUNCTION("""COMPUTED_VALUE"""),117.58)</f>
        <v>117.58</v>
      </c>
      <c r="X251" s="59">
        <f>IFERROR(__xludf.DUMMYFUNCTION("""COMPUTED_VALUE"""),416.0)</f>
        <v>416</v>
      </c>
      <c r="Y251" s="59">
        <f>IFERROR(__xludf.DUMMYFUNCTION("""COMPUTED_VALUE"""),3.0)</f>
        <v>3</v>
      </c>
      <c r="Z251" s="59">
        <f>IFERROR(__xludf.DUMMYFUNCTION("""COMPUTED_VALUE"""),0.0)</f>
        <v>0</v>
      </c>
      <c r="AA251" s="59">
        <f>IFERROR(__xludf.DUMMYFUNCTION("""COMPUTED_VALUE"""),0.0)</f>
        <v>0</v>
      </c>
      <c r="AB251" s="64">
        <f>IFERROR(__xludf.DUMMYFUNCTION("""COMPUTED_VALUE"""),5.0)</f>
        <v>5</v>
      </c>
      <c r="AC251" s="62">
        <f>IFERROR(__xludf.DUMMYFUNCTION("""COMPUTED_VALUE"""),0.72)</f>
        <v>0.72</v>
      </c>
      <c r="AD251" s="62">
        <f>IFERROR(__xludf.DUMMYFUNCTION("""COMPUTED_VALUE"""),41.8)</f>
        <v>41.8</v>
      </c>
      <c r="AE251" s="62">
        <f>IFERROR(__xludf.DUMMYFUNCTION("""COMPUTED_VALUE"""),14.7)</f>
        <v>14.7</v>
      </c>
      <c r="AF251" s="55"/>
      <c r="AG251" s="55"/>
      <c r="AH251" s="55"/>
      <c r="AI251" s="55"/>
      <c r="AJ251" s="55"/>
      <c r="AK251" s="55"/>
      <c r="AL251" s="55"/>
      <c r="AM251" s="55" t="str">
        <f>IFERROR(__xludf.DUMMYFUNCTION("""COMPUTED_VALUE"""),"#gRrbkpyg1vU+WRXmAeB+W4lRV6O2kupaVQMO2xIxr3kTtXUluDbwwofmP/0sCKk=")</f>
        <v>#gRrbkpyg1vU+WRXmAeB+W4lRV6O2kupaVQMO2xIxr3kTtXUluDbwwofmP/0sCKk=</v>
      </c>
      <c r="AN251" s="55"/>
      <c r="AO251" s="58" t="str">
        <f>IFERROR(__xludf.DUMMYFUNCTION("""COMPUTED_VALUE"""),"https://us.brand.joinbrands.com/job/691428")</f>
        <v>https://us.brand.joinbrands.com/job/691428</v>
      </c>
      <c r="AP251" s="55" t="str">
        <f>IFERROR(__xludf.DUMMYFUNCTION("""COMPUTED_VALUE"""),"Very nice - tiktok shop tagged")</f>
        <v>Very nice - tiktok shop tagged</v>
      </c>
      <c r="AQ251" s="55" t="str">
        <f>IFERROR(__xludf.DUMMYFUNCTION("""COMPUTED_VALUE"""),"Coffee that gives you calm energy and still tastes like coffee. Plus wellness benefits?! Sign me up!! Iâ€™m in love with this! @VAHDAM USA @target #coffee #calm #morningroutine #wellness #ashwagandha")</f>
        <v>Coffee that gives you calm energy and still tastes like coffee. Plus wellness benefits?! Sign me up!! Iâ€™m in love with this! @VAHDAM USA @target #coffee #calm #morningroutine #wellness #ashwagandha</v>
      </c>
      <c r="AR251" s="55" t="str">
        <f>IFERROR(__xludf.DUMMYFUNCTION("""COMPUTED_VALUE"""),"Okay, can we talk about coffee for a second?")</f>
        <v>Okay, can we talk about coffee for a second?</v>
      </c>
      <c r="AS251" s="55" t="str">
        <f>IFERROR(__xludf.DUMMYFUNCTION("""COMPUTED_VALUE"""),"Curiosity / Question")</f>
        <v>Curiosity / Question</v>
      </c>
      <c r="AT251" s="55" t="str">
        <f>IFERROR(__xludf.DUMMYFUNCTION("""COMPUTED_VALUE"""),"• What makes it different is that it has five wellness ingredients built right in, including ashwagandha lions mane, chaga mushrooms, L theanine, and turmeric curcumin.
• I've been trying to cut back on that anxious jittery jittery feeling that sometimes "&amp;"comes with coffee, but I still need my morning cup.
• That's why I was excited to try Vahdam ashwagandha coffee.
• And the best part, it actually tastes like delicious regular coffee.")</f>
        <v>• What makes it different is that it has five wellness ingredients built right in, including ashwagandha lions mane, chaga mushrooms, L theanine, and turmeric curcumin.
• I've been trying to cut back on that anxious jittery jittery feeling that sometimes comes with coffee, but I still need my morning cup.
• That's why I was excited to try Vahdam ashwagandha coffee.
• And the best part, it actually tastes like delicious regular coffee.</v>
      </c>
      <c r="AU251" s="55" t="str">
        <f>IFERROR(__xludf.DUMMYFUNCTION("""COMPUTED_VALUE"""),"And if you wanna try it, you can find Vahdam Ashwagandha coffee at target stores nationwide or on target.com.")</f>
        <v>And if you wanna try it, you can find Vahdam Ashwagandha coffee at target stores nationwide or on target.com.</v>
      </c>
      <c r="AV251" s="55" t="str">
        <f>IFERROR(__xludf.DUMMYFUNCTION("""COMPUTED_VALUE"""),"Okay, can we talk about coffee for a second? Because I think I just found the mom friendly coffee upgrade that I've been looking for. I've been trying to cut back on that anxious jittery jittery feeling that sometimes comes with coffee, but I still need m"&amp;"y morning cup. Like, that's an addiction. That's why I was excited to try Vahdam ashwagandha coffee. What makes it different is that it has five wellness ingredients built right in, including ashwagandha lions mane, chaga mushrooms, L theanine, and turmer"&amp;"ic curcumin. And the best part, it actually tastes like delicious regular coffee. Seriously, if you didn't tell me that it had all these wellness ingredients, I would never know it. Like, it tastes amazing, just like my favorite coffee. I've been loving i"&amp;"t for the smoother, calmer start to my day without that jittery feeling that caffeine leaves with you. And if you wanna try it, you can find Vahdam Ashwagandha coffee at target stores nationwide or on target.com.")</f>
        <v>Okay, can we talk about coffee for a second? Because I think I just found the mom friendly coffee upgrade that I've been looking for. I've been trying to cut back on that anxious jittery jittery feeling that sometimes comes with coffee, but I still need my morning cup. Like, that's an addiction. That's why I was excited to try Vahdam ashwagandha coffee. What makes it different is that it has five wellness ingredients built right in, including ashwagandha lions mane, chaga mushrooms, L theanine, and turmeric curcumin. And the best part, it actually tastes like delicious regular coffee. Seriously, if you didn't tell me that it had all these wellness ingredients, I would never know it. Like, it tastes amazing, just like my favorite coffee. I've been loving it for the smoother, calmer start to my day without that jittery feeling that caffeine leaves with you. And if you wanna try it, you can find Vahdam Ashwagandha coffee at target stores nationwide or on target.com.</v>
      </c>
      <c r="AW251" s="35"/>
      <c r="AX251" s="35"/>
      <c r="AY251" s="35"/>
      <c r="AZ251" s="35"/>
      <c r="BA251" s="35"/>
      <c r="BB251" s="35"/>
      <c r="BC251" s="35"/>
      <c r="BD251" s="35"/>
      <c r="BE251" s="35"/>
      <c r="BF251" s="35"/>
      <c r="BG251" s="35"/>
    </row>
    <row r="252" ht="15.75" customHeight="1">
      <c r="A252" s="55" t="str">
        <f>IFERROR(__xludf.DUMMYFUNCTION("""COMPUTED_VALUE"""),"Tiktok")</f>
        <v>Tiktok</v>
      </c>
      <c r="B252" s="56">
        <f>IFERROR(__xludf.DUMMYFUNCTION("""COMPUTED_VALUE"""),46183.0)</f>
        <v>46183</v>
      </c>
      <c r="C252" s="55" t="str">
        <f>IFERROR(__xludf.DUMMYFUNCTION("""COMPUTED_VALUE"""),"June")</f>
        <v>June</v>
      </c>
      <c r="D252" s="58" t="str">
        <f>IFERROR(__xludf.DUMMYFUNCTION("""COMPUTED_VALUE"""),"https://www.tiktok.com/@lifewithlibby76/video/7649523272446397709")</f>
        <v>https://www.tiktok.com/@lifewithlibby76/video/7649523272446397709</v>
      </c>
      <c r="E252" s="55" t="str">
        <f>IFERROR(__xludf.DUMMYFUNCTION("""COMPUTED_VALUE"""),"@lifewithlibby76")</f>
        <v>@lifewithlibby76</v>
      </c>
      <c r="F252" s="55" t="str">
        <f>IFERROR(__xludf.DUMMYFUNCTION("""COMPUTED_VALUE"""),"Libby Mcrae")</f>
        <v>Libby Mcrae</v>
      </c>
      <c r="G252" s="55" t="str">
        <f>IFERROR(__xludf.DUMMYFUNCTION("""COMPUTED_VALUE"""),"Target In-Store Discovery")</f>
        <v>Target In-Store Discovery</v>
      </c>
      <c r="H252" s="55">
        <f>IFERROR(__xludf.DUMMYFUNCTION("""COMPUTED_VALUE"""),35.0)</f>
        <v>35</v>
      </c>
      <c r="I252" s="55">
        <f>IFERROR(__xludf.DUMMYFUNCTION("""COMPUTED_VALUE"""),35.9)</f>
        <v>35.9</v>
      </c>
      <c r="J252" s="55" t="str">
        <f>IFERROR(__xludf.DUMMYFUNCTION("""COMPUTED_VALUE"""),"Yes – Recommend")</f>
        <v>Yes – Recommend</v>
      </c>
      <c r="K252" s="55" t="str">
        <f>IFERROR(__xludf.DUMMYFUNCTION("""COMPUTED_VALUE"""),"Yes")</f>
        <v>Yes</v>
      </c>
      <c r="L252" s="55" t="str">
        <f>IFERROR(__xludf.DUMMYFUNCTION("""COMPUTED_VALUE"""),"Score 35.4 ≥ 30")</f>
        <v>Score 35.4 ≥ 30</v>
      </c>
      <c r="M252" s="59" t="str">
        <f>IFERROR(__xludf.DUMMYFUNCTION("""COMPUTED_VALUE"""),"Algorithm spent low")</f>
        <v>Algorithm spent low</v>
      </c>
      <c r="N252" s="55"/>
      <c r="O252" s="55"/>
      <c r="P252" s="59">
        <f>IFERROR(__xludf.DUMMYFUNCTION("""COMPUTED_VALUE"""),85.0)</f>
        <v>85</v>
      </c>
      <c r="Q252" s="59">
        <f>IFERROR(__xludf.DUMMYFUNCTION("""COMPUTED_VALUE"""),3.0)</f>
        <v>3</v>
      </c>
      <c r="R252" s="59">
        <f>IFERROR(__xludf.DUMMYFUNCTION("""COMPUTED_VALUE"""),4.0)</f>
        <v>4</v>
      </c>
      <c r="S252" s="55"/>
      <c r="T252" s="68">
        <f>IFERROR(__xludf.DUMMYFUNCTION("""COMPUTED_VALUE"""),24.4)</f>
        <v>24.4</v>
      </c>
      <c r="U252" s="55"/>
      <c r="V252" s="62">
        <f>IFERROR(__xludf.DUMMYFUNCTION("""COMPUTED_VALUE"""),0.094)</f>
        <v>0.094</v>
      </c>
      <c r="W252" s="63">
        <f>IFERROR(__xludf.DUMMYFUNCTION("""COMPUTED_VALUE"""),52.58)</f>
        <v>52.58</v>
      </c>
      <c r="X252" s="59">
        <f>IFERROR(__xludf.DUMMYFUNCTION("""COMPUTED_VALUE"""),371.0)</f>
        <v>371</v>
      </c>
      <c r="Y252" s="59">
        <f>IFERROR(__xludf.DUMMYFUNCTION("""COMPUTED_VALUE"""),3.0)</f>
        <v>3</v>
      </c>
      <c r="Z252" s="59">
        <f>IFERROR(__xludf.DUMMYFUNCTION("""COMPUTED_VALUE"""),5.0)</f>
        <v>5</v>
      </c>
      <c r="AA252" s="59">
        <f>IFERROR(__xludf.DUMMYFUNCTION("""COMPUTED_VALUE"""),1.0)</f>
        <v>1</v>
      </c>
      <c r="AB252" s="64">
        <f>IFERROR(__xludf.DUMMYFUNCTION("""COMPUTED_VALUE"""),3.0)</f>
        <v>3</v>
      </c>
      <c r="AC252" s="62">
        <f>IFERROR(__xludf.DUMMYFUNCTION("""COMPUTED_VALUE"""),2.4)</f>
        <v>2.4</v>
      </c>
      <c r="AD252" s="62">
        <f>IFERROR(__xludf.DUMMYFUNCTION("""COMPUTED_VALUE"""),28.5)</f>
        <v>28.5</v>
      </c>
      <c r="AE252" s="62">
        <f>IFERROR(__xludf.DUMMYFUNCTION("""COMPUTED_VALUE"""),10.3)</f>
        <v>10.3</v>
      </c>
      <c r="AF252" s="55" t="str">
        <f>IFERROR(__xludf.DUMMYFUNCTION("""COMPUTED_VALUE"""),"Yes")</f>
        <v>Yes</v>
      </c>
      <c r="AG252" s="63">
        <f>IFERROR(__xludf.DUMMYFUNCTION("""COMPUTED_VALUE"""),6.25)</f>
        <v>6.25</v>
      </c>
      <c r="AH252" s="59">
        <f>IFERROR(__xludf.DUMMYFUNCTION("""COMPUTED_VALUE"""),278.0)</f>
        <v>278</v>
      </c>
      <c r="AI252" s="55"/>
      <c r="AJ252" s="59">
        <f>IFERROR(__xludf.DUMMYFUNCTION("""COMPUTED_VALUE"""),24.0)</f>
        <v>24</v>
      </c>
      <c r="AK252" s="62">
        <f>IFERROR(__xludf.DUMMYFUNCTION("""COMPUTED_VALUE"""),8.6331)</f>
        <v>8.6331</v>
      </c>
      <c r="AL252" s="65">
        <f>IFERROR(__xludf.DUMMYFUNCTION("""COMPUTED_VALUE"""),0.26)</f>
        <v>0.26</v>
      </c>
      <c r="AM252" s="55" t="str">
        <f>IFERROR(__xludf.DUMMYFUNCTION("""COMPUTED_VALUE"""),"#sDutqgoCXgARHqmO6l62rMr2XSY8blTlndH21dleom1NEJf4f265HnPkgvoPwxI=")</f>
        <v>#sDutqgoCXgARHqmO6l62rMr2XSY8blTlndH21dleom1NEJf4f265HnPkgvoPwxI=</v>
      </c>
      <c r="AN252" s="55"/>
      <c r="AO252" s="58" t="str">
        <f>IFERROR(__xludf.DUMMYFUNCTION("""COMPUTED_VALUE"""),"https://us.brand.joinbrands.com/job/686208")</f>
        <v>https://us.brand.joinbrands.com/job/686208</v>
      </c>
      <c r="AP252" s="55" t="str">
        <f>IFERROR(__xludf.DUMMYFUNCTION("""COMPUTED_VALUE"""),"NA | MISFIT: Strong organic signal (score 43.6, 24.4% 6-sec) but only $6.25 spent — content was under-invested in ads.")</f>
        <v>NA | MISFIT: Strong organic signal (score 43.6, 24.4% 6-sec) but only $6.25 spent — content was under-invested in ads.</v>
      </c>
      <c r="AQ252" s="55" t="str">
        <f>IFERROR(__xludf.DUMMYFUNCTION("""COMPUTED_VALUE"""),"Coffee before the chaos. â˜•âœ¨ This has quickly become part of my morning routine, and honestly? It makes getting through the day a little easier. #ad #UGCcreator #coffeelover #morningcoffee...")</f>
        <v>Coffee before the chaos. â˜•âœ¨ This has quickly become part of my morning routine, and honestly? It makes getting through the day a little easier. #ad #UGCcreator #coffeelover #morningcoffee...</v>
      </c>
      <c r="AR252" s="55" t="str">
        <f>IFERROR(__xludf.DUMMYFUNCTION("""COMPUTED_VALUE"""),"Tell me why I went into Target for diapers and somehow left with another coffee.")</f>
        <v>Tell me why I went into Target for diapers and somehow left with another coffee.</v>
      </c>
      <c r="AS252" s="55" t="str">
        <f>IFERROR(__xludf.DUMMYFUNCTION("""COMPUTED_VALUE"""),"Curiosity / Question")</f>
        <v>Curiosity / Question</v>
      </c>
      <c r="AT252" s="55" t="str">
        <f>IFERROR(__xludf.DUMMYFUNCTION("""COMPUTED_VALUE"""),"• I spotted this ashwagandha coffee from Baddam while I was shopping and I got curious.
• I've been trying to switch up my normal coffee routine lately so into the cart it went.
• When I got home I definitely made it ice because it's approximately a thous"&amp;"and degrees outside but honestly I am glad I grabbed it.
• It's actually really smooth it was easy to make so it's been officially added to my things to throw into the cart at Target.")</f>
        <v>• I spotted this ashwagandha coffee from Baddam while I was shopping and I got curious.
• I've been trying to switch up my normal coffee routine lately so into the cart it went.
• When I got home I definitely made it ice because it's approximately a thousand degrees outside but honestly I am glad I grabbed it.
• It's actually really smooth it was easy to make so it's been officially added to my things to throw into the cart at Target.</v>
      </c>
      <c r="AU252" s="55" t="str">
        <f>IFERROR(__xludf.DUMMYFUNCTION("""COMPUTED_VALUE"""),"When I got home I definitely made it ice because it's approximately a thousand degrees outside but honestly I am glad I grabbed it.")</f>
        <v>When I got home I definitely made it ice because it's approximately a thousand degrees outside but honestly I am glad I grabbed it.</v>
      </c>
      <c r="AV252" s="55" t="str">
        <f>IFERROR(__xludf.DUMMYFUNCTION("""COMPUTED_VALUE"""),"Tell me why I went into Target for diapers and somehow left with another coffee. I spotted this ashwagandha coffee from Baddam while I was shopping and I got curious. I've been trying to switch up my normal coffee routine lately so into the cart it went. "&amp;"When I got home I definitely made it ice because it's approximately a thousand degrees outside but honestly I am glad I grabbed it. It's actually really smooth it was easy to make so it's been officially added to my things to throw into the cart at Target"&amp;". If you're heading into Target this week, keep an eye out for it.")</f>
        <v>Tell me why I went into Target for diapers and somehow left with another coffee. I spotted this ashwagandha coffee from Baddam while I was shopping and I got curious. I've been trying to switch up my normal coffee routine lately so into the cart it went. When I got home I definitely made it ice because it's approximately a thousand degrees outside but honestly I am glad I grabbed it. It's actually really smooth it was easy to make so it's been officially added to my things to throw into the cart at Target. If you're heading into Target this week, keep an eye out for it.</v>
      </c>
      <c r="AW252" s="35"/>
      <c r="AX252" s="35"/>
      <c r="AY252" s="35"/>
      <c r="AZ252" s="35"/>
      <c r="BA252" s="35"/>
      <c r="BB252" s="35"/>
      <c r="BC252" s="35"/>
      <c r="BD252" s="35"/>
      <c r="BE252" s="35"/>
      <c r="BF252" s="35"/>
      <c r="BG252" s="35"/>
    </row>
    <row r="253" ht="15.75" customHeight="1">
      <c r="A253" s="55" t="str">
        <f>IFERROR(__xludf.DUMMYFUNCTION("""COMPUTED_VALUE"""),"Instagram")</f>
        <v>Instagram</v>
      </c>
      <c r="B253" s="56">
        <f>IFERROR(__xludf.DUMMYFUNCTION("""COMPUTED_VALUE"""),46203.0)</f>
        <v>46203</v>
      </c>
      <c r="C253" s="55" t="str">
        <f>IFERROR(__xludf.DUMMYFUNCTION("""COMPUTED_VALUE"""),"June")</f>
        <v>June</v>
      </c>
      <c r="D253" s="58" t="str">
        <f>IFERROR(__xludf.DUMMYFUNCTION("""COMPUTED_VALUE"""),"https://www.instagram.com/reel/DaD0zbVRLmS/")</f>
        <v>https://www.instagram.com/reel/DaD0zbVRLmS/</v>
      </c>
      <c r="E253" s="55" t="str">
        <f>IFERROR(__xludf.DUMMYFUNCTION("""COMPUTED_VALUE"""),"beatrizcmira")</f>
        <v>beatrizcmira</v>
      </c>
      <c r="F253" s="55"/>
      <c r="G253" s="55" t="str">
        <f>IFERROR(__xludf.DUMMYFUNCTION("""COMPUTED_VALUE"""),"Gummies vs Coffee")</f>
        <v>Gummies vs Coffee</v>
      </c>
      <c r="H253" s="55"/>
      <c r="I253" s="55">
        <f>IFERROR(__xludf.DUMMYFUNCTION("""COMPUTED_VALUE"""),27.5)</f>
        <v>27.5</v>
      </c>
      <c r="J253" s="55" t="str">
        <f>IFERROR(__xludf.DUMMYFUNCTION("""COMPUTED_VALUE"""),"Yes – Recommend")</f>
        <v>Yes – Recommend</v>
      </c>
      <c r="K253" s="55" t="str">
        <f>IFERROR(__xludf.DUMMYFUNCTION("""COMPUTED_VALUE"""),"Review before running ads")</f>
        <v>Review before running ads</v>
      </c>
      <c r="L253" s="55" t="str">
        <f>IFERROR(__xludf.DUMMYFUNCTION("""COMPUTED_VALUE"""),"Score 29.0 ≥ 20 threshold")</f>
        <v>Score 29.0 ≥ 20 threshold</v>
      </c>
      <c r="M253" s="59" t="str">
        <f>IFERROR(__xludf.DUMMYFUNCTION("""COMPUTED_VALUE"""),"No Ad Data")</f>
        <v>No Ad Data</v>
      </c>
      <c r="N253" s="55"/>
      <c r="O253" s="55"/>
      <c r="P253" s="59">
        <f>IFERROR(__xludf.DUMMYFUNCTION("""COMPUTED_VALUE"""),368.0)</f>
        <v>368</v>
      </c>
      <c r="Q253" s="59">
        <f>IFERROR(__xludf.DUMMYFUNCTION("""COMPUTED_VALUE"""),19.0)</f>
        <v>19</v>
      </c>
      <c r="R253" s="55"/>
      <c r="S253" s="55"/>
      <c r="T253" s="55"/>
      <c r="U253" s="55"/>
      <c r="V253" s="55"/>
      <c r="W253" s="63">
        <f>IFERROR(__xludf.DUMMYFUNCTION("""COMPUTED_VALUE"""),72.99)</f>
        <v>72.99</v>
      </c>
      <c r="X253" s="59">
        <f>IFERROR(__xludf.DUMMYFUNCTION("""COMPUTED_VALUE"""),368.0)</f>
        <v>368</v>
      </c>
      <c r="Y253" s="59">
        <f>IFERROR(__xludf.DUMMYFUNCTION("""COMPUTED_VALUE"""),19.0)</f>
        <v>19</v>
      </c>
      <c r="Z253" s="55"/>
      <c r="AA253" s="55"/>
      <c r="AB253" s="55"/>
      <c r="AC253" s="55"/>
      <c r="AD253" s="55"/>
      <c r="AE253" s="55"/>
      <c r="AF253" s="55"/>
      <c r="AG253" s="55"/>
      <c r="AH253" s="55"/>
      <c r="AI253" s="55"/>
      <c r="AJ253" s="55"/>
      <c r="AK253" s="55"/>
      <c r="AL253" s="55"/>
      <c r="AM253" s="55" t="str">
        <f>IFERROR(__xludf.DUMMYFUNCTION("""COMPUTED_VALUE"""),"Q9jTBBX3oNLeMvYjlWrGhVHKjrR7dQpRtxy8ukSY7VMiUzYO6HmFJHo90Pz1y-cOXGw")</f>
        <v>Q9jTBBX3oNLeMvYjlWrGhVHKjrR7dQpRtxy8ukSY7VMiUzYO6HmFJHo90Pz1y-cOXGw</v>
      </c>
      <c r="AN253" s="55"/>
      <c r="AO253" s="55"/>
      <c r="AP253" s="55"/>
      <c r="AQ253" s="55" t="str">
        <f>IFERROR(__xludf.DUMMYFUNCTION("""COMPUTED_VALUE"""),"ComeÃ§ando o dia com mais foco e equilÃ­brio! â˜•âœ¨ Tenho adorado experimentar o VAHDAM Ashwagandha Coffee+, uma combinaÃ§Ã£o de cafÃ© com ashwagandha, L-theanine, cÃºrcuma e cogumelos funcionais, criada...")</f>
        <v>ComeÃ§ando o dia com mais foco e equilÃ­brio! â˜•âœ¨ Tenho adorado experimentar o VAHDAM Ashwagandha Coffee+, uma combinaÃ§Ã£o de cafÃ© com ashwagandha, L-theanine, cÃºrcuma e cogumelos funcionais, criada...</v>
      </c>
      <c r="AR253" s="55" t="str">
        <f>IFERROR(__xludf.DUMMYFUNCTION("""COMPUTED_VALUE"""),"Pessoal, eu tenho que confessar uma coisa pra vocÃªs. Eu tava tomando a Chagwanda em Gammies.")</f>
        <v>Pessoal, eu tenho que confessar uma coisa pra vocÃªs. Eu tava tomando a Chagwanda em Gammies.</v>
      </c>
      <c r="AS253" s="55" t="str">
        <f>IFERROR(__xludf.DUMMYFUNCTION("""COMPUTED_VALUE"""),"Personal Story")</f>
        <v>Personal Story</v>
      </c>
      <c r="AT253" s="55" t="str">
        <f>IFERROR(__xludf.DUMMYFUNCTION("""COMPUTED_VALUE"""),"• Product introduced early (sentence 2)
• Benefits and product features discussed
• CTA: ""Sem contar que aqui dentro, alÃ©m da KM66, a Shoganda, que Ã© maravilhoso Tem Ta...""")</f>
        <v>• Product introduced early (sentence 2)
• Benefits and product features discussed
• CTA: "Sem contar que aqui dentro, alÃ©m da KM66, a Shoganda, que Ã© maravilhoso Tem Ta..."</v>
      </c>
      <c r="AU253" s="55" t="str">
        <f>IFERROR(__xludf.DUMMYFUNCTION("""COMPUTED_VALUE"""),"Sem contar que aqui dentro, alÃ©m da KM66, a Shoganda, que Ã© maravilhoso Tem Tamik, Lion Man, Shaga e L-T-A-N-E EntÃ£o sÃ£o 5 ingredientes num lugar sÃ³ muito melhor pra saÃºde E eu nÃ£o vou esquecer de tomar")</f>
        <v>Sem contar que aqui dentro, alÃ©m da KM66, a Shoganda, que Ã© maravilhoso Tem Tamik, Lion Man, Shaga e L-T-A-N-E EntÃ£o sÃ£o 5 ingredientes num lugar sÃ³ muito melhor pra saÃºde E eu nÃ£o vou esquecer de tomar</v>
      </c>
      <c r="AV253" s="55" t="str">
        <f>IFERROR(__xludf.DUMMYFUNCTION("""COMPUTED_VALUE"""),"Pessoal, eu tenho que confessar uma coisa pra vocÃªs. Eu tava tomando a Chagwanda em Gammies. E o que acontecia? Eu sempre esquecia. EntÃ£o, eu fui no Target e achei a Chagwanda VadÃ£ em cafÃ© solÃºvel. Gente, eu amo cafÃ© e eu sei que eu nÃ£o vou esquece"&amp;"r de tomar. EntÃ£o, Ã© super prÃ¡tico. VocÃª vem atÃ© com um scoop dentro. VocÃª vai adicionar um pouco do pÃ³, um scoop. Eu jÃ¡ coloquei um pouco aqui. Mexer. E tÃ¡ pronto. Sem contar que aqui dentro, alÃ©m da KM66, a Shoganda, que Ã© maravilhoso Tem Tam"&amp;"ik, Lion Man, Shaga e L-T-A-N-E EntÃ£o sÃ£o 5 ingredientes num lugar sÃ³ muito melhor pra saÃºde E eu nÃ£o vou esquecer de tomar")</f>
        <v>Pessoal, eu tenho que confessar uma coisa pra vocÃªs. Eu tava tomando a Chagwanda em Gammies. E o que acontecia? Eu sempre esquecia. EntÃ£o, eu fui no Target e achei a Chagwanda VadÃ£ em cafÃ© solÃºvel. Gente, eu amo cafÃ© e eu sei que eu nÃ£o vou esquecer de tomar. EntÃ£o, Ã© super prÃ¡tico. VocÃª vem atÃ© com um scoop dentro. VocÃª vai adicionar um pouco do pÃ³, um scoop. Eu jÃ¡ coloquei um pouco aqui. Mexer. E tÃ¡ pronto. Sem contar que aqui dentro, alÃ©m da KM66, a Shoganda, que Ã© maravilhoso Tem Tamik, Lion Man, Shaga e L-T-A-N-E EntÃ£o sÃ£o 5 ingredientes num lugar sÃ³ muito melhor pra saÃºde E eu nÃ£o vou esquecer de tomar</v>
      </c>
      <c r="AW253" s="35"/>
      <c r="AX253" s="35"/>
      <c r="AY253" s="35"/>
      <c r="AZ253" s="35"/>
      <c r="BA253" s="35"/>
      <c r="BB253" s="35"/>
      <c r="BC253" s="35"/>
      <c r="BD253" s="35"/>
      <c r="BE253" s="35"/>
      <c r="BF253" s="35"/>
      <c r="BG253" s="35"/>
    </row>
    <row r="254" ht="15.75" customHeight="1">
      <c r="A254" s="55" t="str">
        <f>IFERROR(__xludf.DUMMYFUNCTION("""COMPUTED_VALUE"""),"Instagram")</f>
        <v>Instagram</v>
      </c>
      <c r="B254" s="56">
        <f>IFERROR(__xludf.DUMMYFUNCTION("""COMPUTED_VALUE"""),46192.0)</f>
        <v>46192</v>
      </c>
      <c r="C254" s="55" t="str">
        <f>IFERROR(__xludf.DUMMYFUNCTION("""COMPUTED_VALUE"""),"June")</f>
        <v>June</v>
      </c>
      <c r="D254" s="58" t="str">
        <f>IFERROR(__xludf.DUMMYFUNCTION("""COMPUTED_VALUE"""),"https://www.instagram.com/reel/DZutO9zsIh6/")</f>
        <v>https://www.instagram.com/reel/DZutO9zsIh6/</v>
      </c>
      <c r="E254" s="55" t="str">
        <f>IFERROR(__xludf.DUMMYFUNCTION("""COMPUTED_VALUE"""),"@na")</f>
        <v>@na</v>
      </c>
      <c r="F254" s="55" t="str">
        <f>IFERROR(__xludf.DUMMYFUNCTION("""COMPUTED_VALUE"""),"NA")</f>
        <v>NA</v>
      </c>
      <c r="G254" s="55" t="str">
        <f>IFERROR(__xludf.DUMMYFUNCTION("""COMPUTED_VALUE"""),"Target Shelf Showdown")</f>
        <v>Target Shelf Showdown</v>
      </c>
      <c r="H254" s="55">
        <f>IFERROR(__xludf.DUMMYFUNCTION("""COMPUTED_VALUE"""),47.0)</f>
        <v>47</v>
      </c>
      <c r="I254" s="55">
        <f>IFERROR(__xludf.DUMMYFUNCTION("""COMPUTED_VALUE"""),34.9)</f>
        <v>34.9</v>
      </c>
      <c r="J254" s="55" t="str">
        <f>IFERROR(__xludf.DUMMYFUNCTION("""COMPUTED_VALUE"""),"Yes – Recommend")</f>
        <v>Yes – Recommend</v>
      </c>
      <c r="K254" s="55" t="str">
        <f>IFERROR(__xludf.DUMMYFUNCTION("""COMPUTED_VALUE"""),"No")</f>
        <v>No</v>
      </c>
      <c r="L254" s="55" t="str">
        <f>IFERROR(__xludf.DUMMYFUNCTION("""COMPUTED_VALUE"""),"Score 36.9 ≥ 20 threshold")</f>
        <v>Score 36.9 ≥ 20 threshold</v>
      </c>
      <c r="M254" s="59" t="str">
        <f>IFERROR(__xludf.DUMMYFUNCTION("""COMPUTED_VALUE"""),"No Ad Data")</f>
        <v>No Ad Data</v>
      </c>
      <c r="N254" s="59" t="str">
        <f>IFERROR(__xludf.DUMMYFUNCTION("""COMPUTED_VALUE"""),"Skip")</f>
        <v>Skip</v>
      </c>
      <c r="O254" s="55"/>
      <c r="P254" s="59">
        <f>IFERROR(__xludf.DUMMYFUNCTION("""COMPUTED_VALUE"""),362.0)</f>
        <v>362</v>
      </c>
      <c r="Q254" s="59">
        <f>IFERROR(__xludf.DUMMYFUNCTION("""COMPUTED_VALUE"""),44.0)</f>
        <v>44</v>
      </c>
      <c r="R254" s="59">
        <f>IFERROR(__xludf.DUMMYFUNCTION("""COMPUTED_VALUE"""),4.0)</f>
        <v>4</v>
      </c>
      <c r="S254" s="55"/>
      <c r="T254" s="68">
        <f>IFERROR(__xludf.DUMMYFUNCTION("""COMPUTED_VALUE"""),0.0)</f>
        <v>0</v>
      </c>
      <c r="U254" s="55"/>
      <c r="V254" s="62">
        <f>IFERROR(__xludf.DUMMYFUNCTION("""COMPUTED_VALUE"""),0.1325)</f>
        <v>0.1325</v>
      </c>
      <c r="W254" s="63">
        <f>IFERROR(__xludf.DUMMYFUNCTION("""COMPUTED_VALUE"""),72.99)</f>
        <v>72.99</v>
      </c>
      <c r="X254" s="59">
        <f>IFERROR(__xludf.DUMMYFUNCTION("""COMPUTED_VALUE"""),362.0)</f>
        <v>362</v>
      </c>
      <c r="Y254" s="59">
        <f>IFERROR(__xludf.DUMMYFUNCTION("""COMPUTED_VALUE"""),44.0)</f>
        <v>44</v>
      </c>
      <c r="Z254" s="59">
        <f>IFERROR(__xludf.DUMMYFUNCTION("""COMPUTED_VALUE"""),4.0)</f>
        <v>4</v>
      </c>
      <c r="AA254" s="59">
        <f>IFERROR(__xludf.DUMMYFUNCTION("""COMPUTED_VALUE"""),0.0)</f>
        <v>0</v>
      </c>
      <c r="AB254" s="64">
        <f>IFERROR(__xludf.DUMMYFUNCTION("""COMPUTED_VALUE"""),0.0)</f>
        <v>0</v>
      </c>
      <c r="AC254" s="62">
        <f>IFERROR(__xludf.DUMMYFUNCTION("""COMPUTED_VALUE"""),0.1325)</f>
        <v>0.1325</v>
      </c>
      <c r="AD254" s="62">
        <f>IFERROR(__xludf.DUMMYFUNCTION("""COMPUTED_VALUE"""),0.0)</f>
        <v>0</v>
      </c>
      <c r="AE254" s="62">
        <f>IFERROR(__xludf.DUMMYFUNCTION("""COMPUTED_VALUE"""),0.0)</f>
        <v>0</v>
      </c>
      <c r="AF254" s="55"/>
      <c r="AG254" s="55"/>
      <c r="AH254" s="55"/>
      <c r="AI254" s="55"/>
      <c r="AJ254" s="55"/>
      <c r="AK254" s="55"/>
      <c r="AL254" s="55"/>
      <c r="AM254" s="55" t="str">
        <f>IFERROR(__xludf.DUMMYFUNCTION("""COMPUTED_VALUE"""),"Q9jTBBV-LuxaDCbX4P1Uttp4HzLuI6ImY5rxx5jBuEU0hd_DI-pk-oAMhonvE8LDKCw")</f>
        <v>Q9jTBBV-LuxaDCbX4P1Uttp4HzLuI6ImY5rxx5jBuEU0hd_DI-pk-oAMhonvE8LDKCw</v>
      </c>
      <c r="AN254" s="55"/>
      <c r="AO254" s="55" t="str">
        <f>IFERROR(__xludf.DUMMYFUNCTION("""COMPUTED_VALUE"""),"NA")</f>
        <v>NA</v>
      </c>
      <c r="AP254" s="55" t="str">
        <f>IFERROR(__xludf.DUMMYFUNCTION("""COMPUTED_VALUE"""),"Not executed well")</f>
        <v>Not executed well</v>
      </c>
      <c r="AQ254" s="55" t="str">
        <f>IFERROR(__xludf.DUMMYFUNCTION("""COMPUTED_VALUE"""),"NA")</f>
        <v>NA</v>
      </c>
      <c r="AR254" s="55" t="str">
        <f>IFERROR(__xludf.DUMMYFUNCTION("""COMPUTED_VALUE"""),"to Target to buy their newest coffee selection.")</f>
        <v>to Target to buy their newest coffee selection.</v>
      </c>
      <c r="AS254" s="55" t="str">
        <f>IFERROR(__xludf.DUMMYFUNCTION("""COMPUTED_VALUE"""),"In-Store / Target Discovery")</f>
        <v>In-Store / Target Discovery</v>
      </c>
      <c r="AT254" s="55" t="str">
        <f>IFERROR(__xludf.DUMMYFUNCTION("""COMPUTED_VALUE"""),"• Just one scoop mixed into hot water or milk and you're getting instant coffee plus functional ingredients like Ashwagandha, L-theanine, Lion's Mane, Chaga mushroom and turmeric.
• Altheanine, Lion's Mane, Chaga mushroom and turmeric.
• This is Vahdam As"&amp;"hwagandha Coffee.
• What I like most is that it gives me a gentle coffee boost without feeling overly wired while Altheanine helps create a smoother more balanced energy.")</f>
        <v>• Just one scoop mixed into hot water or milk and you're getting instant coffee plus functional ingredients like Ashwagandha, L-theanine, Lion's Mane, Chaga mushroom and turmeric.
• Altheanine, Lion's Mane, Chaga mushroom and turmeric.
• This is Vahdam Ashwagandha Coffee.
• What I like most is that it gives me a gentle coffee boost without feeling overly wired while Altheanine helps create a smoother more balanced energy.</v>
      </c>
      <c r="AU254" s="55" t="str">
        <f>IFERROR(__xludf.DUMMYFUNCTION("""COMPUTED_VALUE"""),"You can find this in Target.")</f>
        <v>You can find this in Target.</v>
      </c>
      <c r="AV254" s="55" t="str">
        <f>IFERROR(__xludf.DUMMYFUNCTION("""COMPUTED_VALUE"""),"Come with me to Target to buy their newest coffee selection. This is Vahdam Ashwagandha Coffee. Just one scoop mixed into hot water or milk and you're getting instant coffee plus functional ingredients like Ashwagandha, L-theanine, Lion's Mane, Chaga mush"&amp;"room and turmeric. Altheanine, Lion's Mane, Chaga mushroom and turmeric. What I like most is that it gives me a gentle coffee boost without feeling overly wired while Altheanine helps create a smoother more balanced energy. I'm gonna use it with a little "&amp;"bit of a cream. I came with a spoon inside. Mmm, I like it. You can find this in Target.")</f>
        <v>Come with me to Target to buy their newest coffee selection. This is Vahdam Ashwagandha Coffee. Just one scoop mixed into hot water or milk and you're getting instant coffee plus functional ingredients like Ashwagandha, L-theanine, Lion's Mane, Chaga mushroom and turmeric. Altheanine, Lion's Mane, Chaga mushroom and turmeric. What I like most is that it gives me a gentle coffee boost without feeling overly wired while Altheanine helps create a smoother more balanced energy. I'm gonna use it with a little bit of a cream. I came with a spoon inside. Mmm, I like it. You can find this in Target.</v>
      </c>
      <c r="AW254" s="35"/>
      <c r="AX254" s="35"/>
      <c r="AY254" s="35"/>
      <c r="AZ254" s="35"/>
      <c r="BA254" s="35"/>
      <c r="BB254" s="35"/>
      <c r="BC254" s="35"/>
      <c r="BD254" s="35"/>
      <c r="BE254" s="35"/>
      <c r="BF254" s="35"/>
      <c r="BG254" s="35"/>
    </row>
    <row r="255" ht="15.75" customHeight="1">
      <c r="A255" s="55" t="str">
        <f>IFERROR(__xludf.DUMMYFUNCTION("""COMPUTED_VALUE"""),"Instagram")</f>
        <v>Instagram</v>
      </c>
      <c r="B255" s="56">
        <f>IFERROR(__xludf.DUMMYFUNCTION("""COMPUTED_VALUE"""),46203.0)</f>
        <v>46203</v>
      </c>
      <c r="C255" s="55" t="str">
        <f>IFERROR(__xludf.DUMMYFUNCTION("""COMPUTED_VALUE"""),"June")</f>
        <v>June</v>
      </c>
      <c r="D255" s="58" t="str">
        <f>IFERROR(__xludf.DUMMYFUNCTION("""COMPUTED_VALUE"""),"https://www.instagram.com/reel/DaLD_V6SPun/")</f>
        <v>https://www.instagram.com/reel/DaLD_V6SPun/</v>
      </c>
      <c r="E255" s="55" t="str">
        <f>IFERROR(__xludf.DUMMYFUNCTION("""COMPUTED_VALUE"""),"determineddonna")</f>
        <v>determineddonna</v>
      </c>
      <c r="F255" s="55"/>
      <c r="G255" s="55" t="str">
        <f>IFERROR(__xludf.DUMMYFUNCTION("""COMPUTED_VALUE"""),"Over 40/ High Performer")</f>
        <v>Over 40/ High Performer</v>
      </c>
      <c r="H255" s="55"/>
      <c r="I255" s="55">
        <f>IFERROR(__xludf.DUMMYFUNCTION("""COMPUTED_VALUE"""),24.5)</f>
        <v>24.5</v>
      </c>
      <c r="J255" s="55" t="str">
        <f>IFERROR(__xludf.DUMMYFUNCTION("""COMPUTED_VALUE"""),"Yes – Recommend")</f>
        <v>Yes – Recommend</v>
      </c>
      <c r="K255" s="55" t="str">
        <f>IFERROR(__xludf.DUMMYFUNCTION("""COMPUTED_VALUE"""),"Review before running ads")</f>
        <v>Review before running ads</v>
      </c>
      <c r="L255" s="55" t="str">
        <f>IFERROR(__xludf.DUMMYFUNCTION("""COMPUTED_VALUE"""),"Score 25.6 ≥ 20 threshold")</f>
        <v>Score 25.6 ≥ 20 threshold</v>
      </c>
      <c r="M255" s="59" t="str">
        <f>IFERROR(__xludf.DUMMYFUNCTION("""COMPUTED_VALUE"""),"No Ad Data")</f>
        <v>No Ad Data</v>
      </c>
      <c r="N255" s="55"/>
      <c r="O255" s="55"/>
      <c r="P255" s="59">
        <f>IFERROR(__xludf.DUMMYFUNCTION("""COMPUTED_VALUE"""),362.0)</f>
        <v>362</v>
      </c>
      <c r="Q255" s="59">
        <f>IFERROR(__xludf.DUMMYFUNCTION("""COMPUTED_VALUE"""),9.0)</f>
        <v>9</v>
      </c>
      <c r="R255" s="55"/>
      <c r="S255" s="55"/>
      <c r="T255" s="55"/>
      <c r="U255" s="55"/>
      <c r="V255" s="55"/>
      <c r="W255" s="63">
        <f>IFERROR(__xludf.DUMMYFUNCTION("""COMPUTED_VALUE"""),117.58)</f>
        <v>117.58</v>
      </c>
      <c r="X255" s="59">
        <f>IFERROR(__xludf.DUMMYFUNCTION("""COMPUTED_VALUE"""),362.0)</f>
        <v>362</v>
      </c>
      <c r="Y255" s="59">
        <f>IFERROR(__xludf.DUMMYFUNCTION("""COMPUTED_VALUE"""),9.0)</f>
        <v>9</v>
      </c>
      <c r="Z255" s="55"/>
      <c r="AA255" s="55"/>
      <c r="AB255" s="55"/>
      <c r="AC255" s="55"/>
      <c r="AD255" s="55"/>
      <c r="AE255" s="55"/>
      <c r="AF255" s="55"/>
      <c r="AG255" s="55"/>
      <c r="AH255" s="55"/>
      <c r="AI255" s="55"/>
      <c r="AJ255" s="55"/>
      <c r="AK255" s="55"/>
      <c r="AL255" s="55"/>
      <c r="AM255" s="55" t="str">
        <f>IFERROR(__xludf.DUMMYFUNCTION("""COMPUTED_VALUE"""),"Q9jTBBUfQ_DgRQOickMvBC7zcn6oB6v7c9LgDuPHVoP5Tk3_2C5ygM0mKIn78XFSUQ")</f>
        <v>Q9jTBBUfQ_DgRQOickMvBC7zcn6oB6v7c9LgDuPHVoP5Tk3_2C5ygM0mKIn78XFSUQ</v>
      </c>
      <c r="AN255" s="55"/>
      <c r="AO255" s="55"/>
      <c r="AP255" s="55"/>
      <c r="AQ255" s="55" t="str">
        <f>IFERROR(__xludf.DUMMYFUNCTION("""COMPUTED_VALUE"""),"As a special needs mom, Iâ€™m always looking for simple ways to support my wellness. ðŸ’› Loving this easy coffee upgrade from @vahdamusa , now available at @target ! It combines my daily coffee with...")</f>
        <v>As a special needs mom, Iâ€™m always looking for simple ways to support my wellness. ðŸ’› Loving this easy coffee upgrade from @vahdamusa , now available at @target ! It combines my daily coffee with...</v>
      </c>
      <c r="AR255" s="55" t="str">
        <f>IFERROR(__xludf.DUMMYFUNCTION("""COMPUTED_VALUE"""),"As a special needs mom, stress is just part of my everyday life, so I'm always looking for simple ways to support my wellness, not add more to my plate.")</f>
        <v>As a special needs mom, stress is just part of my everyday life, so I'm always looking for simple ways to support my wellness, not add more to my plate.</v>
      </c>
      <c r="AS255" s="55" t="str">
        <f>IFERROR(__xludf.DUMMYFUNCTION("""COMPUTED_VALUE"""),"Age/Life Stage")</f>
        <v>Age/Life Stage</v>
      </c>
      <c r="AT255" s="55" t="str">
        <f>IFERROR(__xludf.DUMMYFUNCTION("""COMPUTED_VALUE"""),"• Product introduced early (sentence 2)
• Benefits covered: stress, wellness, cortisol
• CTA: ""I found mine at Target or you can order it online at Target.com.""")</f>
        <v>• Product introduced early (sentence 2)
• Benefits covered: stress, wellness, cortisol
• CTA: "I found mine at Target or you can order it online at Target.com."</v>
      </c>
      <c r="AU255" s="55" t="str">
        <f>IFERROR(__xludf.DUMMYFUNCTION("""COMPUTED_VALUE"""),"I found mine at Target or you can order it online at Target.com.")</f>
        <v>I found mine at Target or you can order it online at Target.com.</v>
      </c>
      <c r="AV255" s="55" t="str">
        <f>IFERROR(__xludf.DUMMYFUNCTION("""COMPUTED_VALUE"""),"As a special needs mom, stress is just part of my everyday life, so I'm always looking for simple ways to support my wellness, not add more to my plate. When I spotted bottom ashwagandha coffee at Target, I was immediately curious because it's way more th"&amp;"an just coffee. It combines premium coffee with KSM-66 ashwagandha, turmeric, L-theanine, and functional mushrooms, all in just one cup. As someone who lives with daily stress, I know how important it is to support healthy cortisol levels and take care of"&amp;" myself too. I love that the KSM 66 ashwagandha is clinically studied to support stress management. So turning my morning coffee into a wellness habit was an easy yes. And the best part, it actually tastes like delicious regular coffee. I was honestly exp"&amp;"ecting it to taste earthy or muddy, but it's so smooth and so delicious. I love finding simple wellness swaps that fit into my busy mornings without adding another supplement to remember. If you're looking to upgrade your morning coffee, check out Vodham "&amp;"Ashwagandha Coffee. I found mine at Target or you can order it online at Target.com.")</f>
        <v>As a special needs mom, stress is just part of my everyday life, so I'm always looking for simple ways to support my wellness, not add more to my plate. When I spotted bottom ashwagandha coffee at Target, I was immediately curious because it's way more than just coffee. It combines premium coffee with KSM-66 ashwagandha, turmeric, L-theanine, and functional mushrooms, all in just one cup. As someone who lives with daily stress, I know how important it is to support healthy cortisol levels and take care of myself too. I love that the KSM 66 ashwagandha is clinically studied to support stress management. So turning my morning coffee into a wellness habit was an easy yes. And the best part, it actually tastes like delicious regular coffee. I was honestly expecting it to taste earthy or muddy, but it's so smooth and so delicious. I love finding simple wellness swaps that fit into my busy mornings without adding another supplement to remember. If you're looking to upgrade your morning coffee, check out Vodham Ashwagandha Coffee. I found mine at Target or you can order it online at Target.com.</v>
      </c>
      <c r="AW255" s="35"/>
      <c r="AX255" s="35"/>
      <c r="AY255" s="35"/>
      <c r="AZ255" s="35"/>
      <c r="BA255" s="35"/>
      <c r="BB255" s="35"/>
      <c r="BC255" s="35"/>
      <c r="BD255" s="35"/>
      <c r="BE255" s="35"/>
      <c r="BF255" s="35"/>
      <c r="BG255" s="35"/>
    </row>
    <row r="256" ht="15.75" customHeight="1">
      <c r="A256" s="55" t="str">
        <f>IFERROR(__xludf.DUMMYFUNCTION("""COMPUTED_VALUE"""),"Instagram")</f>
        <v>Instagram</v>
      </c>
      <c r="B256" s="56">
        <f>IFERROR(__xludf.DUMMYFUNCTION("""COMPUTED_VALUE"""),46201.0)</f>
        <v>46201</v>
      </c>
      <c r="C256" s="55" t="str">
        <f>IFERROR(__xludf.DUMMYFUNCTION("""COMPUTED_VALUE"""),"June")</f>
        <v>June</v>
      </c>
      <c r="D256" s="58" t="str">
        <f>IFERROR(__xludf.DUMMYFUNCTION("""COMPUTED_VALUE"""),"https://www.instagram.com/reel/DZnGAjZh5Qb/")</f>
        <v>https://www.instagram.com/reel/DZnGAjZh5Qb/</v>
      </c>
      <c r="E256" s="55" t="str">
        <f>IFERROR(__xludf.DUMMYFUNCTION("""COMPUTED_VALUE"""),"@ugc_bymudita")</f>
        <v>@ugc_bymudita</v>
      </c>
      <c r="F256" s="55" t="str">
        <f>IFERROR(__xludf.DUMMYFUNCTION("""COMPUTED_VALUE"""),"NA")</f>
        <v>NA</v>
      </c>
      <c r="G256" s="55" t="str">
        <f>IFERROR(__xludf.DUMMYFUNCTION("""COMPUTED_VALUE"""),"Cortisol")</f>
        <v>Cortisol</v>
      </c>
      <c r="H256" s="55">
        <f>IFERROR(__xludf.DUMMYFUNCTION("""COMPUTED_VALUE"""),38.0)</f>
        <v>38</v>
      </c>
      <c r="I256" s="55">
        <f>IFERROR(__xludf.DUMMYFUNCTION("""COMPUTED_VALUE"""),41.6)</f>
        <v>41.6</v>
      </c>
      <c r="J256" s="55" t="str">
        <f>IFERROR(__xludf.DUMMYFUNCTION("""COMPUTED_VALUE"""),"Yes – Recommend")</f>
        <v>Yes – Recommend</v>
      </c>
      <c r="K256" s="55" t="str">
        <f>IFERROR(__xludf.DUMMYFUNCTION("""COMPUTED_VALUE"""),"No")</f>
        <v>No</v>
      </c>
      <c r="L256" s="55" t="str">
        <f>IFERROR(__xludf.DUMMYFUNCTION("""COMPUTED_VALUE"""),"Score 43.5 ≥ 20 threshold")</f>
        <v>Score 43.5 ≥ 20 threshold</v>
      </c>
      <c r="M256" s="59" t="str">
        <f>IFERROR(__xludf.DUMMYFUNCTION("""COMPUTED_VALUE"""),"No Ad Data")</f>
        <v>No Ad Data</v>
      </c>
      <c r="N256" s="59" t="str">
        <f>IFERROR(__xludf.DUMMYFUNCTION("""COMPUTED_VALUE"""),"Skip")</f>
        <v>Skip</v>
      </c>
      <c r="O256" s="55"/>
      <c r="P256" s="59">
        <f>IFERROR(__xludf.DUMMYFUNCTION("""COMPUTED_VALUE"""),623.0)</f>
        <v>623</v>
      </c>
      <c r="Q256" s="59">
        <f>IFERROR(__xludf.DUMMYFUNCTION("""COMPUTED_VALUE"""),15.0)</f>
        <v>15</v>
      </c>
      <c r="R256" s="59">
        <f>IFERROR(__xludf.DUMMYFUNCTION("""COMPUTED_VALUE"""),3.0)</f>
        <v>3</v>
      </c>
      <c r="S256" s="55"/>
      <c r="T256" s="68">
        <f>IFERROR(__xludf.DUMMYFUNCTION("""COMPUTED_VALUE"""),0.0)</f>
        <v>0</v>
      </c>
      <c r="U256" s="55"/>
      <c r="V256" s="62">
        <f>IFERROR(__xludf.DUMMYFUNCTION("""COMPUTED_VALUE"""),0.01769911504)</f>
        <v>0.01769911504</v>
      </c>
      <c r="W256" s="63">
        <f>IFERROR(__xludf.DUMMYFUNCTION("""COMPUTED_VALUE"""),117.58)</f>
        <v>117.58</v>
      </c>
      <c r="X256" s="59">
        <f>IFERROR(__xludf.DUMMYFUNCTION("""COMPUTED_VALUE"""),356.0)</f>
        <v>356</v>
      </c>
      <c r="Y256" s="59">
        <f>IFERROR(__xludf.DUMMYFUNCTION("""COMPUTED_VALUE"""),4.0)</f>
        <v>4</v>
      </c>
      <c r="Z256" s="59">
        <f>IFERROR(__xludf.DUMMYFUNCTION("""COMPUTED_VALUE"""),0.0)</f>
        <v>0</v>
      </c>
      <c r="AA256" s="59">
        <f>IFERROR(__xludf.DUMMYFUNCTION("""COMPUTED_VALUE"""),0.0)</f>
        <v>0</v>
      </c>
      <c r="AB256" s="64">
        <f>IFERROR(__xludf.DUMMYFUNCTION("""COMPUTED_VALUE"""),0.0)</f>
        <v>0</v>
      </c>
      <c r="AC256" s="62">
        <f>IFERROR(__xludf.DUMMYFUNCTION("""COMPUTED_VALUE"""),0.01769911504)</f>
        <v>0.01769911504</v>
      </c>
      <c r="AD256" s="62">
        <f>IFERROR(__xludf.DUMMYFUNCTION("""COMPUTED_VALUE"""),0.0)</f>
        <v>0</v>
      </c>
      <c r="AE256" s="62">
        <f>IFERROR(__xludf.DUMMYFUNCTION("""COMPUTED_VALUE"""),0.0)</f>
        <v>0</v>
      </c>
      <c r="AF256" s="55"/>
      <c r="AG256" s="55"/>
      <c r="AH256" s="55"/>
      <c r="AI256" s="55"/>
      <c r="AJ256" s="55"/>
      <c r="AK256" s="55"/>
      <c r="AL256" s="55"/>
      <c r="AM256" s="55" t="str">
        <f>IFERROR(__xludf.DUMMYFUNCTION("""COMPUTED_VALUE"""),"Q9jTBBX8e_2Sow171MAQkU9hFa02kg1tvpEH1pwgVkpTuJdDKmMxylG-upEtubpEe8Y")</f>
        <v>Q9jTBBX8e_2Sow171MAQkU9hFa02kg1tvpEH1pwgVkpTuJdDKmMxylG-upEtubpEe8Y</v>
      </c>
      <c r="AN256" s="55" t="str">
        <f>IFERROR(__xludf.DUMMYFUNCTION("""COMPUTED_VALUE"""),"This post can't be used for ads because it includes a tag for a product from a business partner's catalog.
")</f>
        <v>This post can't be used for ads because it includes a tag for a product from a business partner's catalog.
</v>
      </c>
      <c r="AO256" s="55" t="str">
        <f>IFERROR(__xludf.DUMMYFUNCTION("""COMPUTED_VALUE"""),"NA")</f>
        <v>NA</v>
      </c>
      <c r="AP256" s="55" t="str">
        <f>IFERROR(__xludf.DUMMYFUNCTION("""COMPUTED_VALUE"""),"NA")</f>
        <v>NA</v>
      </c>
      <c r="AQ256" s="55" t="str">
        <f>IFERROR(__xludf.DUMMYFUNCTION("""COMPUTED_VALUE"""),"@vahdamusa @target â€œMy new coffee resetâ€ #ugc #lifestyle #ugcmom #coffee #ashuagandha")</f>
        <v>@vahdamusa @target â€œMy new coffee resetâ€_x009d_ #ugc #lifestyle #ugcmom #coffee #ashuagandha</v>
      </c>
      <c r="AR256" s="55" t="str">
        <f>IFERROR(__xludf.DUMMYFUNCTION("""COMPUTED_VALUE"""),"If you are a coffee-loving woman who's tired of feeling jittery, anxious or crashing by noon, I need to show you this.")</f>
        <v>If you are a coffee-loving woman who's tired of feeling jittery, anxious or crashing by noon, I need to show you this.</v>
      </c>
      <c r="AS256" s="55" t="str">
        <f>IFERROR(__xludf.DUMMYFUNCTION("""COMPUTED_VALUE"""),"Problem / Pain Point")</f>
        <v>Problem / Pain Point</v>
      </c>
      <c r="AT256" s="55" t="str">
        <f>IFERROR(__xludf.DUMMYFUNCTION("""COMPUTED_VALUE"""),"• But this combines coffee with KSM66, Ashwagandha, turmeric, curcumin, L-tianine, lion's mane and chaga mushrooms all in one cup.
• I recently discovered Vadam Ashwagandha coffee at Target and honestly, I was skeptical because I thought there was no way "&amp;"a wellness coffee could taste good.
• It actually tastes like delicious regular coffee.
• Seriously, if nobody told me it had all these wellness ingredients, I would never know.")</f>
        <v>• But this combines coffee with KSM66, Ashwagandha, turmeric, curcumin, L-tianine, lion's mane and chaga mushrooms all in one cup.
• I recently discovered Vadam Ashwagandha coffee at Target and honestly, I was skeptical because I thought there was no way a wellness coffee could taste good.
• It actually tastes like delicious regular coffee.
• Seriously, if nobody told me it had all these wellness ingredients, I would never know.</v>
      </c>
      <c r="AU256" s="55" t="str">
        <f>IFERROR(__xludf.DUMMYFUNCTION("""COMPUTED_VALUE"""),"So, if you've been looking for a coffee upgrade, you can find Vadam Ashwagandha Coffee at Target Store or on Target.com.")</f>
        <v>So, if you've been looking for a coffee upgrade, you can find Vadam Ashwagandha Coffee at Target Store or on Target.com.</v>
      </c>
      <c r="AV256" s="55" t="str">
        <f>IFERROR(__xludf.DUMMYFUNCTION("""COMPUTED_VALUE"""),"If you are a coffee-loving woman who's tired of feeling jittery, anxious or crashing by noon, I need to show you this. I recently discovered Vadam Ashwagandha coffee at Target and honestly, I was skeptical because I thought there was no way a wellness cof"&amp;"fee could taste good. But this combines coffee with KSM66, Ashwagandha, turmeric, curcumin, L-tianine, lion's mane and chaga mushrooms all in one cup. And the best part? It actually tastes like delicious regular coffee. Seriously, if nobody told me it had"&amp;" all these wellness ingredients, I would never know. So, if you've been looking for a coffee upgrade, you can find Vadam Ashwagandha Coffee at Target Store or on Target.com.")</f>
        <v>If you are a coffee-loving woman who's tired of feeling jittery, anxious or crashing by noon, I need to show you this. I recently discovered Vadam Ashwagandha coffee at Target and honestly, I was skeptical because I thought there was no way a wellness coffee could taste good. But this combines coffee with KSM66, Ashwagandha, turmeric, curcumin, L-tianine, lion's mane and chaga mushrooms all in one cup. And the best part? It actually tastes like delicious regular coffee. Seriously, if nobody told me it had all these wellness ingredients, I would never know. So, if you've been looking for a coffee upgrade, you can find Vadam Ashwagandha Coffee at Target Store or on Target.com.</v>
      </c>
      <c r="AW256" s="35"/>
      <c r="AX256" s="35"/>
      <c r="AY256" s="35"/>
      <c r="AZ256" s="35"/>
      <c r="BA256" s="35"/>
      <c r="BB256" s="35"/>
      <c r="BC256" s="35"/>
      <c r="BD256" s="35"/>
      <c r="BE256" s="35"/>
      <c r="BF256" s="35"/>
      <c r="BG256" s="35"/>
    </row>
    <row r="257" ht="15.75" customHeight="1">
      <c r="A257" s="55" t="str">
        <f>IFERROR(__xludf.DUMMYFUNCTION("""COMPUTED_VALUE"""),"Tiktok")</f>
        <v>Tiktok</v>
      </c>
      <c r="B257" s="56">
        <f>IFERROR(__xludf.DUMMYFUNCTION("""COMPUTED_VALUE"""),46184.0)</f>
        <v>46184</v>
      </c>
      <c r="C257" s="55" t="str">
        <f>IFERROR(__xludf.DUMMYFUNCTION("""COMPUTED_VALUE"""),"June")</f>
        <v>June</v>
      </c>
      <c r="D257" s="58" t="str">
        <f>IFERROR(__xludf.DUMMYFUNCTION("""COMPUTED_VALUE"""),"https://www.tiktok.com/@laurenlately7/video/7650150542232046861")</f>
        <v>https://www.tiktok.com/@laurenlately7/video/7650150542232046861</v>
      </c>
      <c r="E257" s="55" t="str">
        <f>IFERROR(__xludf.DUMMYFUNCTION("""COMPUTED_VALUE"""),"@laurenlately7")</f>
        <v>@laurenlately7</v>
      </c>
      <c r="F257" s="55" t="str">
        <f>IFERROR(__xludf.DUMMYFUNCTION("""COMPUTED_VALUE"""),"Lauren Smith")</f>
        <v>Lauren Smith</v>
      </c>
      <c r="G257" s="55" t="str">
        <f>IFERROR(__xludf.DUMMYFUNCTION("""COMPUTED_VALUE"""),"Target In-Store Discovery")</f>
        <v>Target In-Store Discovery</v>
      </c>
      <c r="H257" s="55">
        <f>IFERROR(__xludf.DUMMYFUNCTION("""COMPUTED_VALUE"""),58.0)</f>
        <v>58</v>
      </c>
      <c r="I257" s="55">
        <f>IFERROR(__xludf.DUMMYFUNCTION("""COMPUTED_VALUE"""),42.9)</f>
        <v>42.9</v>
      </c>
      <c r="J257" s="55" t="str">
        <f>IFERROR(__xludf.DUMMYFUNCTION("""COMPUTED_VALUE"""),"Yes – Recommend")</f>
        <v>Yes – Recommend</v>
      </c>
      <c r="K257" s="55" t="str">
        <f>IFERROR(__xludf.DUMMYFUNCTION("""COMPUTED_VALUE"""),"Yes")</f>
        <v>Yes</v>
      </c>
      <c r="L257" s="55" t="str">
        <f>IFERROR(__xludf.DUMMYFUNCTION("""COMPUTED_VALUE"""),"Score 39.2 ≥ 30; 6-sec 25.1% ≥ 25%")</f>
        <v>Score 39.2 ≥ 30; 6-sec 25.1% ≥ 25%</v>
      </c>
      <c r="M257" s="59" t="str">
        <f>IFERROR(__xludf.DUMMYFUNCTION("""COMPUTED_VALUE"""),"Algorithm spent low")</f>
        <v>Algorithm spent low</v>
      </c>
      <c r="N257" s="55"/>
      <c r="O257" s="55"/>
      <c r="P257" s="59">
        <f>IFERROR(__xludf.DUMMYFUNCTION("""COMPUTED_VALUE"""),154.0)</f>
        <v>154</v>
      </c>
      <c r="Q257" s="59">
        <f>IFERROR(__xludf.DUMMYFUNCTION("""COMPUTED_VALUE"""),24.0)</f>
        <v>24</v>
      </c>
      <c r="R257" s="59">
        <f>IFERROR(__xludf.DUMMYFUNCTION("""COMPUTED_VALUE"""),4.0)</f>
        <v>4</v>
      </c>
      <c r="S257" s="55"/>
      <c r="T257" s="68">
        <f>IFERROR(__xludf.DUMMYFUNCTION("""COMPUTED_VALUE"""),25.1)</f>
        <v>25.1</v>
      </c>
      <c r="U257" s="55"/>
      <c r="V257" s="62">
        <f>IFERROR(__xludf.DUMMYFUNCTION("""COMPUTED_VALUE"""),0.2001)</f>
        <v>0.2001</v>
      </c>
      <c r="W257" s="63">
        <f>IFERROR(__xludf.DUMMYFUNCTION("""COMPUTED_VALUE"""),52.58)</f>
        <v>52.58</v>
      </c>
      <c r="X257" s="59">
        <f>IFERROR(__xludf.DUMMYFUNCTION("""COMPUTED_VALUE"""),351.0)</f>
        <v>351</v>
      </c>
      <c r="Y257" s="59">
        <f>IFERROR(__xludf.DUMMYFUNCTION("""COMPUTED_VALUE"""),26.0)</f>
        <v>26</v>
      </c>
      <c r="Z257" s="59">
        <f>IFERROR(__xludf.DUMMYFUNCTION("""COMPUTED_VALUE"""),4.0)</f>
        <v>4</v>
      </c>
      <c r="AA257" s="59">
        <f>IFERROR(__xludf.DUMMYFUNCTION("""COMPUTED_VALUE"""),3.0)</f>
        <v>3</v>
      </c>
      <c r="AB257" s="64">
        <f>IFERROR(__xludf.DUMMYFUNCTION("""COMPUTED_VALUE"""),5.0)</f>
        <v>5</v>
      </c>
      <c r="AC257" s="62">
        <f>IFERROR(__xludf.DUMMYFUNCTION("""COMPUTED_VALUE"""),9.4)</f>
        <v>9.4</v>
      </c>
      <c r="AD257" s="62">
        <f>IFERROR(__xludf.DUMMYFUNCTION("""COMPUTED_VALUE"""),35.4)</f>
        <v>35.4</v>
      </c>
      <c r="AE257" s="62">
        <f>IFERROR(__xludf.DUMMYFUNCTION("""COMPUTED_VALUE"""),14.9)</f>
        <v>14.9</v>
      </c>
      <c r="AF257" s="55" t="str">
        <f>IFERROR(__xludf.DUMMYFUNCTION("""COMPUTED_VALUE"""),"Yes")</f>
        <v>Yes</v>
      </c>
      <c r="AG257" s="63">
        <f>IFERROR(__xludf.DUMMYFUNCTION("""COMPUTED_VALUE"""),2.14)</f>
        <v>2.14</v>
      </c>
      <c r="AH257" s="59">
        <f>IFERROR(__xludf.DUMMYFUNCTION("""COMPUTED_VALUE"""),182.0)</f>
        <v>182</v>
      </c>
      <c r="AI257" s="55"/>
      <c r="AJ257" s="59">
        <f>IFERROR(__xludf.DUMMYFUNCTION("""COMPUTED_VALUE"""),4.0)</f>
        <v>4</v>
      </c>
      <c r="AK257" s="62">
        <f>IFERROR(__xludf.DUMMYFUNCTION("""COMPUTED_VALUE"""),2.1978)</f>
        <v>2.1978</v>
      </c>
      <c r="AL257" s="65">
        <f>IFERROR(__xludf.DUMMYFUNCTION("""COMPUTED_VALUE"""),0.535)</f>
        <v>0.535</v>
      </c>
      <c r="AM257" s="55" t="str">
        <f>IFERROR(__xludf.DUMMYFUNCTION("""COMPUTED_VALUE"""),"#4in4IKaCYBHKQ8hkytHSg8o3ZY6k429PlWJPfm0Dds81njcPDhLr/+Jm1l56x4E=")</f>
        <v>#4in4IKaCYBHKQ8hkytHSg8o3ZY6k429PlWJPfm0Dds81njcPDhLr/+Jm1l56x4E=</v>
      </c>
      <c r="AN257" s="55"/>
      <c r="AO257" s="58" t="str">
        <f>IFERROR(__xludf.DUMMYFUNCTION("""COMPUTED_VALUE"""),"https://us.brand.joinbrands.com/job/686324")</f>
        <v>https://us.brand.joinbrands.com/job/686324</v>
      </c>
      <c r="AP257" s="55" t="str">
        <f>IFERROR(__xludf.DUMMYFUNCTION("""COMPUTED_VALUE"""),"NA | MISFIT: Strong organic signal (score 50.6, 25.1% 6-sec) but only $2.14 spent — content was under-invested in ads.")</f>
        <v>NA | MISFIT: Strong organic signal (score 50.6, 25.1% 6-sec) but only $2.14 spent — content was under-invested in ads.</v>
      </c>
      <c r="AQ257" s="55" t="str">
        <f>IFERROR(__xludf.DUMMYFUNCTION("""COMPUTED_VALUE"""),"Mornings around here are a little chaotic, but thereâ€™s something about a good cup of coffee that makes everything feel a little more manageable. â˜•ðŸ¤ Lately, this Ashwagandha Coffee from @vahdamusa...")</f>
        <v>Mornings around here are a little chaotic, but thereâ€™s something about a good cup of coffee that makes everything feel a little more manageable. â˜•ðŸ¤_x008d_ Lately, this Ashwagandha Coffee from @vahdamusa...</v>
      </c>
      <c r="AR257" s="55" t="str">
        <f>IFERROR(__xludf.DUMMYFUNCTION("""COMPUTED_VALUE"""),"They have the Vodam Ashwagandha Coffee.")</f>
        <v>They have the Vodam Ashwagandha Coffee.</v>
      </c>
      <c r="AS257" s="55" t="str">
        <f>IFERROR(__xludf.DUMMYFUNCTION("""COMPUTED_VALUE"""),"General / Lifestyle")</f>
        <v>General / Lifestyle</v>
      </c>
      <c r="AT257" s="55" t="str">
        <f>IFERROR(__xludf.DUMMYFUNCTION("""COMPUTED_VALUE"""),"• They have the Vodam Ashwagandha Coffee.
• I'm super excited to try the Vodam Ashwagandha Coffee.
• I can't believe this contains KSM 66 ashwagandha, which is clinically proven to reduce stress.
• It fits so nicely into my routine without having to add a"&amp;"nother supplement.")</f>
        <v>• They have the Vodam Ashwagandha Coffee.
• I'm super excited to try the Vodam Ashwagandha Coffee.
• I can't believe this contains KSM 66 ashwagandha, which is clinically proven to reduce stress.
• It fits so nicely into my routine without having to add another supplement.</v>
      </c>
      <c r="AU257" s="55" t="str">
        <f>IFERROR(__xludf.DUMMYFUNCTION("""COMPUTED_VALUE"""),"So if you're looking for something that tastes just like real coffee, that is good hot or cold, and gives you calm energy without the crash, you should definitely go to Target and try this.")</f>
        <v>So if you're looking for something that tastes just like real coffee, that is good hot or cold, and gives you calm energy without the crash, you should definitely go to Target and try this.</v>
      </c>
      <c r="AV257" s="55" t="str">
        <f>IFERROR(__xludf.DUMMYFUNCTION("""COMPUTED_VALUE"""),"Oh look! They have the Vodam Ashwagandha Coffee. I'm super excited to try the Vodam Ashwagandha Coffee. I found it at Target today and let's see how it tastes. Mmm. It tastes just like regular coffee. It's so good. I can't believe this contains KSM 66 ash"&amp;"wagandha, which is clinically proven to reduce stress. It fits so nicely into my routine without having to add another supplement. So if you're looking for something that tastes just like real coffee, that is good hot or cold, and gives you calm energy wi"&amp;"thout the crash, you should definitely go to Target and try this.")</f>
        <v>Oh look! They have the Vodam Ashwagandha Coffee. I'm super excited to try the Vodam Ashwagandha Coffee. I found it at Target today and let's see how it tastes. Mmm. It tastes just like regular coffee. It's so good. I can't believe this contains KSM 66 ashwagandha, which is clinically proven to reduce stress. It fits so nicely into my routine without having to add another supplement. So if you're looking for something that tastes just like real coffee, that is good hot or cold, and gives you calm energy without the crash, you should definitely go to Target and try this.</v>
      </c>
      <c r="AW257" s="35"/>
      <c r="AX257" s="35"/>
      <c r="AY257" s="35"/>
      <c r="AZ257" s="35"/>
      <c r="BA257" s="35"/>
      <c r="BB257" s="35"/>
      <c r="BC257" s="35"/>
      <c r="BD257" s="35"/>
      <c r="BE257" s="35"/>
      <c r="BF257" s="35"/>
      <c r="BG257" s="35"/>
    </row>
    <row r="258" ht="15.75" customHeight="1">
      <c r="A258" s="55" t="str">
        <f>IFERROR(__xludf.DUMMYFUNCTION("""COMPUTED_VALUE"""),"Instagram")</f>
        <v>Instagram</v>
      </c>
      <c r="B258" s="56">
        <f>IFERROR(__xludf.DUMMYFUNCTION("""COMPUTED_VALUE"""),46199.0)</f>
        <v>46199</v>
      </c>
      <c r="C258" s="55" t="str">
        <f>IFERROR(__xludf.DUMMYFUNCTION("""COMPUTED_VALUE"""),"June")</f>
        <v>June</v>
      </c>
      <c r="D258" s="58" t="str">
        <f>IFERROR(__xludf.DUMMYFUNCTION("""COMPUTED_VALUE"""),"https://www.instagram.com/reel/DaBAm2QuZuT/")</f>
        <v>https://www.instagram.com/reel/DaBAm2QuZuT/</v>
      </c>
      <c r="E258" s="55" t="str">
        <f>IFERROR(__xludf.DUMMYFUNCTION("""COMPUTED_VALUE"""),"fernandacravo")</f>
        <v>fernandacravo</v>
      </c>
      <c r="F258" s="55" t="str">
        <f>IFERROR(__xludf.DUMMYFUNCTION("""COMPUTED_VALUE"""),"NA")</f>
        <v>NA</v>
      </c>
      <c r="G258" s="55" t="str">
        <f>IFERROR(__xludf.DUMMYFUNCTION("""COMPUTED_VALUE"""),"Countering Mushroom Coffee Trend")</f>
        <v>Countering Mushroom Coffee Trend</v>
      </c>
      <c r="H258" s="55">
        <f>IFERROR(__xludf.DUMMYFUNCTION("""COMPUTED_VALUE"""),34.0)</f>
        <v>34</v>
      </c>
      <c r="I258" s="55">
        <f>IFERROR(__xludf.DUMMYFUNCTION("""COMPUTED_VALUE"""),35.1)</f>
        <v>35.1</v>
      </c>
      <c r="J258" s="55" t="str">
        <f>IFERROR(__xludf.DUMMYFUNCTION("""COMPUTED_VALUE"""),"Yes – Recommend")</f>
        <v>Yes – Recommend</v>
      </c>
      <c r="K258" s="55" t="str">
        <f>IFERROR(__xludf.DUMMYFUNCTION("""COMPUTED_VALUE"""),"Yes")</f>
        <v>Yes</v>
      </c>
      <c r="L258" s="55" t="str">
        <f>IFERROR(__xludf.DUMMYFUNCTION("""COMPUTED_VALUE"""),"Score 36.8 ≥ 20 threshold")</f>
        <v>Score 36.8 ≥ 20 threshold</v>
      </c>
      <c r="M258" s="59" t="str">
        <f>IFERROR(__xludf.DUMMYFUNCTION("""COMPUTED_VALUE"""),"No Ad Data")</f>
        <v>No Ad Data</v>
      </c>
      <c r="N258" s="55" t="str">
        <f>IFERROR(__xludf.DUMMYFUNCTION("""COMPUTED_VALUE"""),"7UGC-Mushroom-CTA-fernandacravo")</f>
        <v>7UGC-Mushroom-CTA-fernandacravo</v>
      </c>
      <c r="O258" s="77" t="str">
        <f>IFERROR(__xludf.DUMMYFUNCTION("""COMPUTED_VALUE"""),"https://buy.vahdam.com/coffee-cta-ugc-mushroom")</f>
        <v>https://buy.vahdam.com/coffee-cta-ugc-mushroom</v>
      </c>
      <c r="P258" s="59">
        <f>IFERROR(__xludf.DUMMYFUNCTION("""COMPUTED_VALUE"""),342.0)</f>
        <v>342</v>
      </c>
      <c r="Q258" s="59">
        <f>IFERROR(__xludf.DUMMYFUNCTION("""COMPUTED_VALUE"""),26.0)</f>
        <v>26</v>
      </c>
      <c r="R258" s="59">
        <f>IFERROR(__xludf.DUMMYFUNCTION("""COMPUTED_VALUE"""),13.0)</f>
        <v>13</v>
      </c>
      <c r="S258" s="55"/>
      <c r="T258" s="68">
        <f>IFERROR(__xludf.DUMMYFUNCTION("""COMPUTED_VALUE"""),0.0)</f>
        <v>0</v>
      </c>
      <c r="U258" s="55"/>
      <c r="V258" s="62">
        <f>IFERROR(__xludf.DUMMYFUNCTION("""COMPUTED_VALUE"""),0.0)</f>
        <v>0</v>
      </c>
      <c r="W258" s="63">
        <f>IFERROR(__xludf.DUMMYFUNCTION("""COMPUTED_VALUE"""),117.58)</f>
        <v>117.58</v>
      </c>
      <c r="X258" s="59">
        <f>IFERROR(__xludf.DUMMYFUNCTION("""COMPUTED_VALUE"""),342.0)</f>
        <v>342</v>
      </c>
      <c r="Y258" s="59">
        <f>IFERROR(__xludf.DUMMYFUNCTION("""COMPUTED_VALUE"""),26.0)</f>
        <v>26</v>
      </c>
      <c r="Z258" s="59">
        <f>IFERROR(__xludf.DUMMYFUNCTION("""COMPUTED_VALUE"""),13.0)</f>
        <v>13</v>
      </c>
      <c r="AA258" s="59">
        <f>IFERROR(__xludf.DUMMYFUNCTION("""COMPUTED_VALUE"""),0.0)</f>
        <v>0</v>
      </c>
      <c r="AB258" s="64">
        <f>IFERROR(__xludf.DUMMYFUNCTION("""COMPUTED_VALUE"""),0.0)</f>
        <v>0</v>
      </c>
      <c r="AC258" s="62">
        <f>IFERROR(__xludf.DUMMYFUNCTION("""COMPUTED_VALUE"""),0.0)</f>
        <v>0</v>
      </c>
      <c r="AD258" s="62">
        <f>IFERROR(__xludf.DUMMYFUNCTION("""COMPUTED_VALUE"""),0.0)</f>
        <v>0</v>
      </c>
      <c r="AE258" s="62">
        <f>IFERROR(__xludf.DUMMYFUNCTION("""COMPUTED_VALUE"""),0.0)</f>
        <v>0</v>
      </c>
      <c r="AF258" s="55" t="str">
        <f>IFERROR(__xludf.DUMMYFUNCTION("""COMPUTED_VALUE"""),"Yes")</f>
        <v>Yes</v>
      </c>
      <c r="AG258" s="55"/>
      <c r="AH258" s="55"/>
      <c r="AI258" s="55"/>
      <c r="AJ258" s="55"/>
      <c r="AK258" s="55"/>
      <c r="AL258" s="55"/>
      <c r="AM258" s="55" t="str">
        <f>IFERROR(__xludf.DUMMYFUNCTION("""COMPUTED_VALUE"""),"Q9jTBBXlKnajyukNl1yXwH_MOHQX-lpaye18SO1zmta0ed_k2DCJZsEg1r-syN8UlHw")</f>
        <v>Q9jTBBXlKnajyukNl1yXwH_MOHQX-lpaye18SO1zmta0ed_k2DCJZsEg1r-syN8UlHw</v>
      </c>
      <c r="AN258" s="55"/>
      <c r="AO258" s="55" t="str">
        <f>IFERROR(__xludf.DUMMYFUNCTION("""COMPUTED_VALUE"""),"NA")</f>
        <v>NA</v>
      </c>
      <c r="AP258" s="55" t="str">
        <f>IFERROR(__xludf.DUMMYFUNCTION("""COMPUTED_VALUE"""),"NA")</f>
        <v>NA</v>
      </c>
      <c r="AQ258" s="55" t="str">
        <f>IFERROR(__xludf.DUMMYFUNCTION("""COMPUTED_VALUE"""),"NA")</f>
        <v>NA</v>
      </c>
      <c r="AR258" s="55" t="str">
        <f>IFERROR(__xludf.DUMMYFUNCTION("""COMPUTED_VALUE"""),"Why I finally stopped forcing myself to drink mushroom coffee and want to put it in my cup instead.")</f>
        <v>Why I finally stopped forcing myself to drink mushroom coffee and want to put it in my cup instead.</v>
      </c>
      <c r="AS258" s="55" t="str">
        <f>IFERROR(__xludf.DUMMYFUNCTION("""COMPUTED_VALUE"""),"Curiosity / Question")</f>
        <v>Curiosity / Question</v>
      </c>
      <c r="AT258" s="55" t="str">
        <f>IFERROR(__xludf.DUMMYFUNCTION("""COMPUTED_VALUE"""),"• It has ashwagandha, L-theanine, lion's mane, turmeric, and chaga to help support carbon more balanced energy.
• It actually tastes like delicious regular coffee, so I don't feel like I'm sacrificing flavor for wellness.
• I love the energy, but I hate t"&amp;"he jitters, the anxiety, and the afternoon crash that left me reaching for another cup.
• Then I realized forcing myself to drink mushroom coffee wasn't the answer either.")</f>
        <v>• It has ashwagandha, L-theanine, lion's mane, turmeric, and chaga to help support carbon more balanced energy.
• It actually tastes like delicious regular coffee, so I don't feel like I'm sacrificing flavor for wellness.
• I love the energy, but I hate the jitters, the anxiety, and the afternoon crash that left me reaching for another cup.
• Then I realized forcing myself to drink mushroom coffee wasn't the answer either.</v>
      </c>
      <c r="AU258" s="55" t="str">
        <f>IFERROR(__xludf.DUMMYFUNCTION("""COMPUTED_VALUE"""),"It's available in all Target stores across the US or Target.com.")</f>
        <v>It's available in all Target stores across the US or Target.com.</v>
      </c>
      <c r="AV258" s="55" t="str">
        <f>IFERROR(__xludf.DUMMYFUNCTION("""COMPUTED_VALUE"""),"Why I finally stopped forcing myself to drink mushroom coffee and want to put it in my cup instead. I'm not gonna lie, regular coffee started becoming a problem for me. I love the energy, but I hate the jitters, the anxiety, and the afternoon crash that l"&amp;"eft me reaching for another cup. Then I realized forcing myself to drink mushroom coffee wasn't the answer either. I just didn't enjoy the taste. So I switched to Valdan Ashton Coffee. It has ashwagandha, L-theanine, lion's mane, turmeric, and chaga to he"&amp;"lp support carbon more balanced energy. The best part? It actually tastes like delicious regular coffee, so I don't feel like I'm sacrificing flavor for wellness. It's available in all Target stores across the US or Target.com.")</f>
        <v>Why I finally stopped forcing myself to drink mushroom coffee and want to put it in my cup instead. I'm not gonna lie, regular coffee started becoming a problem for me. I love the energy, but I hate the jitters, the anxiety, and the afternoon crash that left me reaching for another cup. Then I realized forcing myself to drink mushroom coffee wasn't the answer either. I just didn't enjoy the taste. So I switched to Valdan Ashton Coffee. It has ashwagandha, L-theanine, lion's mane, turmeric, and chaga to help support carbon more balanced energy. The best part? It actually tastes like delicious regular coffee, so I don't feel like I'm sacrificing flavor for wellness. It's available in all Target stores across the US or Target.com.</v>
      </c>
      <c r="AW258" s="35"/>
      <c r="AX258" s="35"/>
      <c r="AY258" s="35"/>
      <c r="AZ258" s="35"/>
      <c r="BA258" s="35"/>
      <c r="BB258" s="35"/>
      <c r="BC258" s="35"/>
      <c r="BD258" s="35"/>
      <c r="BE258" s="35"/>
      <c r="BF258" s="35"/>
      <c r="BG258" s="35"/>
    </row>
    <row r="259" ht="15.75" customHeight="1">
      <c r="A259" s="55" t="str">
        <f>IFERROR(__xludf.DUMMYFUNCTION("""COMPUTED_VALUE"""),"Instagram")</f>
        <v>Instagram</v>
      </c>
      <c r="B259" s="56">
        <f>IFERROR(__xludf.DUMMYFUNCTION("""COMPUTED_VALUE"""),46191.0)</f>
        <v>46191</v>
      </c>
      <c r="C259" s="55" t="str">
        <f>IFERROR(__xludf.DUMMYFUNCTION("""COMPUTED_VALUE"""),"June")</f>
        <v>June</v>
      </c>
      <c r="D259" s="58" t="str">
        <f>IFERROR(__xludf.DUMMYFUNCTION("""COMPUTED_VALUE"""),"https://www.instagram.com/reel/DZr8VGZOYDp/")</f>
        <v>https://www.instagram.com/reel/DZr8VGZOYDp/</v>
      </c>
      <c r="E259" s="55" t="str">
        <f>IFERROR(__xludf.DUMMYFUNCTION("""COMPUTED_VALUE"""),"@na")</f>
        <v>@na</v>
      </c>
      <c r="F259" s="55" t="str">
        <f>IFERROR(__xludf.DUMMYFUNCTION("""COMPUTED_VALUE"""),"NA")</f>
        <v>NA</v>
      </c>
      <c r="G259" s="55" t="str">
        <f>IFERROR(__xludf.DUMMYFUNCTION("""COMPUTED_VALUE"""),"Over 40/ High Performer")</f>
        <v>Over 40/ High Performer</v>
      </c>
      <c r="H259" s="55">
        <f>IFERROR(__xludf.DUMMYFUNCTION("""COMPUTED_VALUE"""),32.0)</f>
        <v>32</v>
      </c>
      <c r="I259" s="55">
        <f>IFERROR(__xludf.DUMMYFUNCTION("""COMPUTED_VALUE"""),35.1)</f>
        <v>35.1</v>
      </c>
      <c r="J259" s="55" t="str">
        <f>IFERROR(__xludf.DUMMYFUNCTION("""COMPUTED_VALUE"""),"Yes – Recommend")</f>
        <v>Yes – Recommend</v>
      </c>
      <c r="K259" s="55" t="str">
        <f>IFERROR(__xludf.DUMMYFUNCTION("""COMPUTED_VALUE"""),"Review before running ads")</f>
        <v>Review before running ads</v>
      </c>
      <c r="L259" s="55" t="str">
        <f>IFERROR(__xludf.DUMMYFUNCTION("""COMPUTED_VALUE"""),"Score 36.8 ≥ 20 threshold")</f>
        <v>Score 36.8 ≥ 20 threshold</v>
      </c>
      <c r="M259" s="59" t="str">
        <f>IFERROR(__xludf.DUMMYFUNCTION("""COMPUTED_VALUE"""),"No Ad Data")</f>
        <v>No Ad Data</v>
      </c>
      <c r="N259" s="55"/>
      <c r="O259" s="55"/>
      <c r="P259" s="59">
        <f>IFERROR(__xludf.DUMMYFUNCTION("""COMPUTED_VALUE"""),320.0)</f>
        <v>320</v>
      </c>
      <c r="Q259" s="59">
        <f>IFERROR(__xludf.DUMMYFUNCTION("""COMPUTED_VALUE"""),26.0)</f>
        <v>26</v>
      </c>
      <c r="R259" s="59">
        <f>IFERROR(__xludf.DUMMYFUNCTION("""COMPUTED_VALUE"""),14.0)</f>
        <v>14</v>
      </c>
      <c r="S259" s="55"/>
      <c r="T259" s="68">
        <f>IFERROR(__xludf.DUMMYFUNCTION("""COMPUTED_VALUE"""),0.0)</f>
        <v>0</v>
      </c>
      <c r="U259" s="55"/>
      <c r="V259" s="62">
        <f>IFERROR(__xludf.DUMMYFUNCTION("""COMPUTED_VALUE"""),0.125)</f>
        <v>0.125</v>
      </c>
      <c r="W259" s="63">
        <f>IFERROR(__xludf.DUMMYFUNCTION("""COMPUTED_VALUE"""),117.58)</f>
        <v>117.58</v>
      </c>
      <c r="X259" s="59">
        <f>IFERROR(__xludf.DUMMYFUNCTION("""COMPUTED_VALUE"""),320.0)</f>
        <v>320</v>
      </c>
      <c r="Y259" s="59">
        <f>IFERROR(__xludf.DUMMYFUNCTION("""COMPUTED_VALUE"""),26.0)</f>
        <v>26</v>
      </c>
      <c r="Z259" s="59">
        <f>IFERROR(__xludf.DUMMYFUNCTION("""COMPUTED_VALUE"""),14.0)</f>
        <v>14</v>
      </c>
      <c r="AA259" s="59">
        <f>IFERROR(__xludf.DUMMYFUNCTION("""COMPUTED_VALUE"""),0.0)</f>
        <v>0</v>
      </c>
      <c r="AB259" s="64">
        <f>IFERROR(__xludf.DUMMYFUNCTION("""COMPUTED_VALUE"""),0.0)</f>
        <v>0</v>
      </c>
      <c r="AC259" s="62">
        <f>IFERROR(__xludf.DUMMYFUNCTION("""COMPUTED_VALUE"""),0.125)</f>
        <v>0.125</v>
      </c>
      <c r="AD259" s="62">
        <f>IFERROR(__xludf.DUMMYFUNCTION("""COMPUTED_VALUE"""),0.0)</f>
        <v>0</v>
      </c>
      <c r="AE259" s="62">
        <f>IFERROR(__xludf.DUMMYFUNCTION("""COMPUTED_VALUE"""),0.0)</f>
        <v>0</v>
      </c>
      <c r="AF259" s="55"/>
      <c r="AG259" s="55"/>
      <c r="AH259" s="55"/>
      <c r="AI259" s="55"/>
      <c r="AJ259" s="55"/>
      <c r="AK259" s="55"/>
      <c r="AL259" s="55"/>
      <c r="AM259" s="55" t="str">
        <f>IFERROR(__xludf.DUMMYFUNCTION("""COMPUTED_VALUE"""),"Q9jTBBXoYtekwORX9ddQaF_C2Sl53etu-KdBnRvH_msUejwg22gI-PDVsuT8EI31-Gk")</f>
        <v>Q9jTBBXoYtekwORX9ddQaF_C2Sl53etu-KdBnRvH_msUejwg22gI-PDVsuT8EI31-Gk</v>
      </c>
      <c r="AN259" s="55"/>
      <c r="AO259" s="55" t="str">
        <f>IFERROR(__xludf.DUMMYFUNCTION("""COMPUTED_VALUE"""),"NA")</f>
        <v>NA</v>
      </c>
      <c r="AP259" s="55" t="str">
        <f>IFERROR(__xludf.DUMMYFUNCTION("""COMPUTED_VALUE"""),"NA")</f>
        <v>NA</v>
      </c>
      <c r="AQ259" s="55" t="str">
        <f>IFERROR(__xludf.DUMMYFUNCTION("""COMPUTED_VALUE"""),"NA")</f>
        <v>NA</v>
      </c>
      <c r="AR259" s="55" t="str">
        <f>IFERROR(__xludf.DUMMYFUNCTION("""COMPUTED_VALUE"""),"As a mom, I love coffee, but what I don't love is the energy crash that comes with it.")</f>
        <v>As a mom, I love coffee, but what I don't love is the energy crash that comes with it.</v>
      </c>
      <c r="AS259" s="55" t="str">
        <f>IFERROR(__xludf.DUMMYFUNCTION("""COMPUTED_VALUE"""),"Problem / Pain Point")</f>
        <v>Problem / Pain Point</v>
      </c>
      <c r="AT259" s="55" t="str">
        <f>IFERROR(__xludf.DUMMYFUNCTION("""COMPUTED_VALUE"""),"• I've been drinking Vadan Ashwagandha Coffee, which combines coffee with ashwagandha, L-theanine, lion's mane, chaga and turmeric.
• Ashwagandha is known for supporting health cortisol levels, while L-theanine helps promote a common more balanced energy."&amp;"
• So instead of sparking my cortisol, I feel more balanced and calm throughout my day.
• I was surprised that it tastes just like regular coffee.")</f>
        <v>• I've been drinking Vadan Ashwagandha Coffee, which combines coffee with ashwagandha, L-theanine, lion's mane, chaga and turmeric.
• Ashwagandha is known for supporting health cortisol levels, while L-theanine helps promote a common more balanced energy.
• So instead of sparking my cortisol, I feel more balanced and calm throughout my day.
• I was surprised that it tastes just like regular coffee.</v>
      </c>
      <c r="AU259" s="55" t="str">
        <f>IFERROR(__xludf.DUMMYFUNCTION("""COMPUTED_VALUE"""),"The best part is that it's available in all target stores throughout the US or target.com")</f>
        <v>The best part is that it's available in all target stores throughout the US or target.com</v>
      </c>
      <c r="AV259" s="55" t="str">
        <f>IFERROR(__xludf.DUMMYFUNCTION("""COMPUTED_VALUE"""),"As a mom, I love coffee, but what I don't love is the energy crash that comes with it. I've been drinking Vadan Ashwagandha Coffee, which combines coffee with ashwagandha, L-theanine, lion's mane, chaga and turmeric. Ashwagandha is known for supporting he"&amp;"alth cortisol levels, while L-theanine helps promote a common more balanced energy. I was surprised that it tastes just like regular coffee. So instead of sparking my cortisol, I feel more balanced and calm throughout my day. The best part is that it's av"&amp;"ailable in all target stores throughout the US or target.com")</f>
        <v>As a mom, I love coffee, but what I don't love is the energy crash that comes with it. I've been drinking Vadan Ashwagandha Coffee, which combines coffee with ashwagandha, L-theanine, lion's mane, chaga and turmeric. Ashwagandha is known for supporting health cortisol levels, while L-theanine helps promote a common more balanced energy. I was surprised that it tastes just like regular coffee. So instead of sparking my cortisol, I feel more balanced and calm throughout my day. The best part is that it's available in all target stores throughout the US or target.com</v>
      </c>
      <c r="AW259" s="35"/>
      <c r="AX259" s="35"/>
      <c r="AY259" s="35"/>
      <c r="AZ259" s="35"/>
      <c r="BA259" s="35"/>
      <c r="BB259" s="35"/>
      <c r="BC259" s="35"/>
      <c r="BD259" s="35"/>
      <c r="BE259" s="35"/>
      <c r="BF259" s="35"/>
      <c r="BG259" s="35"/>
    </row>
    <row r="260" ht="15.75" customHeight="1">
      <c r="A260" s="55" t="str">
        <f>IFERROR(__xludf.DUMMYFUNCTION("""COMPUTED_VALUE"""),"Instagram")</f>
        <v>Instagram</v>
      </c>
      <c r="B260" s="56">
        <f>IFERROR(__xludf.DUMMYFUNCTION("""COMPUTED_VALUE"""),46199.0)</f>
        <v>46199</v>
      </c>
      <c r="C260" s="55" t="str">
        <f>IFERROR(__xludf.DUMMYFUNCTION("""COMPUTED_VALUE"""),"June")</f>
        <v>June</v>
      </c>
      <c r="D260" s="58" t="str">
        <f>IFERROR(__xludf.DUMMYFUNCTION("""COMPUTED_VALUE"""),"https://www.instagram.com/reel/DaA7kfxzFRt/")</f>
        <v>https://www.instagram.com/reel/DaA7kfxzFRt/</v>
      </c>
      <c r="E260" s="55" t="str">
        <f>IFERROR(__xludf.DUMMYFUNCTION("""COMPUTED_VALUE"""),"polyfire")</f>
        <v>polyfire</v>
      </c>
      <c r="F260" s="55" t="str">
        <f>IFERROR(__xludf.DUMMYFUNCTION("""COMPUTED_VALUE"""),"NA")</f>
        <v>NA</v>
      </c>
      <c r="G260" s="55" t="str">
        <f>IFERROR(__xludf.DUMMYFUNCTION("""COMPUTED_VALUE"""),"Target Shelf Showdown")</f>
        <v>Target Shelf Showdown</v>
      </c>
      <c r="H260" s="55">
        <f>IFERROR(__xludf.DUMMYFUNCTION("""COMPUTED_VALUE"""),44.0)</f>
        <v>44</v>
      </c>
      <c r="I260" s="55">
        <f>IFERROR(__xludf.DUMMYFUNCTION("""COMPUTED_VALUE"""),29.1)</f>
        <v>29.1</v>
      </c>
      <c r="J260" s="55" t="str">
        <f>IFERROR(__xludf.DUMMYFUNCTION("""COMPUTED_VALUE"""),"Yes – Recommend")</f>
        <v>Yes – Recommend</v>
      </c>
      <c r="K260" s="55" t="str">
        <f>IFERROR(__xludf.DUMMYFUNCTION("""COMPUTED_VALUE"""),"Yes")</f>
        <v>Yes</v>
      </c>
      <c r="L260" s="55" t="str">
        <f>IFERROR(__xludf.DUMMYFUNCTION("""COMPUTED_VALUE"""),"Score 30.6 ≥ 20 threshold")</f>
        <v>Score 30.6 ≥ 20 threshold</v>
      </c>
      <c r="M260" s="59" t="str">
        <f>IFERROR(__xludf.DUMMYFUNCTION("""COMPUTED_VALUE"""),"No Ad Data")</f>
        <v>No Ad Data</v>
      </c>
      <c r="N260" s="55" t="str">
        <f>IFERROR(__xludf.DUMMYFUNCTION("""COMPUTED_VALUE"""),"28UGC-Targetshelf-CTA-polyfire")</f>
        <v>28UGC-Targetshelf-CTA-polyfire</v>
      </c>
      <c r="O260" s="58" t="str">
        <f>IFERROR(__xludf.DUMMYFUNCTION("""COMPUTED_VALUE"""),"https://buy.vahdam.com/coffee-cta-ugc-targetstore")</f>
        <v>https://buy.vahdam.com/coffee-cta-ugc-targetstore</v>
      </c>
      <c r="P260" s="59">
        <f>IFERROR(__xludf.DUMMYFUNCTION("""COMPUTED_VALUE"""),319.0)</f>
        <v>319</v>
      </c>
      <c r="Q260" s="59">
        <f>IFERROR(__xludf.DUMMYFUNCTION("""COMPUTED_VALUE"""),16.0)</f>
        <v>16</v>
      </c>
      <c r="R260" s="59">
        <f>IFERROR(__xludf.DUMMYFUNCTION("""COMPUTED_VALUE"""),2.0)</f>
        <v>2</v>
      </c>
      <c r="S260" s="55"/>
      <c r="T260" s="68">
        <f>IFERROR(__xludf.DUMMYFUNCTION("""COMPUTED_VALUE"""),0.0)</f>
        <v>0</v>
      </c>
      <c r="U260" s="55"/>
      <c r="V260" s="62">
        <f>IFERROR(__xludf.DUMMYFUNCTION("""COMPUTED_VALUE"""),0.0)</f>
        <v>0</v>
      </c>
      <c r="W260" s="63">
        <f>IFERROR(__xludf.DUMMYFUNCTION("""COMPUTED_VALUE"""),72.99)</f>
        <v>72.99</v>
      </c>
      <c r="X260" s="59">
        <f>IFERROR(__xludf.DUMMYFUNCTION("""COMPUTED_VALUE"""),319.0)</f>
        <v>319</v>
      </c>
      <c r="Y260" s="59">
        <f>IFERROR(__xludf.DUMMYFUNCTION("""COMPUTED_VALUE"""),16.0)</f>
        <v>16</v>
      </c>
      <c r="Z260" s="59">
        <f>IFERROR(__xludf.DUMMYFUNCTION("""COMPUTED_VALUE"""),2.0)</f>
        <v>2</v>
      </c>
      <c r="AA260" s="59">
        <f>IFERROR(__xludf.DUMMYFUNCTION("""COMPUTED_VALUE"""),0.0)</f>
        <v>0</v>
      </c>
      <c r="AB260" s="64">
        <f>IFERROR(__xludf.DUMMYFUNCTION("""COMPUTED_VALUE"""),0.0)</f>
        <v>0</v>
      </c>
      <c r="AC260" s="62">
        <f>IFERROR(__xludf.DUMMYFUNCTION("""COMPUTED_VALUE"""),0.0)</f>
        <v>0</v>
      </c>
      <c r="AD260" s="62">
        <f>IFERROR(__xludf.DUMMYFUNCTION("""COMPUTED_VALUE"""),0.0)</f>
        <v>0</v>
      </c>
      <c r="AE260" s="62">
        <f>IFERROR(__xludf.DUMMYFUNCTION("""COMPUTED_VALUE"""),0.0)</f>
        <v>0</v>
      </c>
      <c r="AF260" s="55"/>
      <c r="AG260" s="55"/>
      <c r="AH260" s="55"/>
      <c r="AI260" s="55"/>
      <c r="AJ260" s="55"/>
      <c r="AK260" s="55"/>
      <c r="AL260" s="55"/>
      <c r="AM260" s="55" t="str">
        <f>IFERROR(__xludf.DUMMYFUNCTION("""COMPUTED_VALUE"""),"Q9jTBBWu5lThYHaepwEnKJFv_QS6_eHeefmIbrGN5bJhIJ18FSK9JHwjxqzHjIPj7sU")</f>
        <v>Q9jTBBWu5lThYHaepwEnKJFv_QS6_eHeefmIbrGN5bJhIJ18FSK9JHwjxqzHjIPj7sU</v>
      </c>
      <c r="AN260" s="55"/>
      <c r="AO260" s="55" t="str">
        <f>IFERROR(__xludf.DUMMYFUNCTION("""COMPUTED_VALUE"""),"NA")</f>
        <v>NA</v>
      </c>
      <c r="AP260" s="55" t="str">
        <f>IFERROR(__xludf.DUMMYFUNCTION("""COMPUTED_VALUE"""),"NA")</f>
        <v>NA</v>
      </c>
      <c r="AQ260" s="55" t="str">
        <f>IFERROR(__xludf.DUMMYFUNCTION("""COMPUTED_VALUE"""),"NA")</f>
        <v>NA</v>
      </c>
      <c r="AR260" s="55" t="str">
        <f>IFERROR(__xludf.DUMMYFUNCTION("""COMPUTED_VALUE"""),"i wasn't looking for another supplement i was looking for a better coffee then i found wahdam ashwagandha coffee on target.com and honestly it's caugh...")</f>
        <v>i wasn't looking for another supplement i was looking for a better coffee then i found wahdam ashwagandha coffee on target.com and honestly it's caugh...</v>
      </c>
      <c r="AS260" s="55" t="str">
        <f>IFERROR(__xludf.DUMMYFUNCTION("""COMPUTED_VALUE"""),"Personal Discovery")</f>
        <v>Personal Discovery</v>
      </c>
      <c r="AT260" s="55" t="str">
        <f>IFERROR(__xludf.DUMMYFUNCTION("""COMPUTED_VALUE"""),"• i wasn't looking for another supplement i was looking for a better coffee then i found wahdam ashwagandha coffee on target.com and honestly it's caught my attention right away it's not just a coffee it's combines premium arabic coffee with ksm 66 ashwag"&amp;"andha l-tanin curcumin lion's mane and chaga mushrooms what i really like is that instead of adding more supplements on my daily routine i can get everything in one cup and unlike a lot of wellness products this actually takes like delicious regular coffe"&amp;"e i love finding simple swaps that makes my daily routine easier without adding extra steps if you're curious when the ashwagandha coffee is available on target.com and target stories national white")</f>
        <v>• i wasn't looking for another supplement i was looking for a better coffee then i found wahdam ashwagandha coffee on target.com and honestly it's caught my attention right away it's not just a coffee it's combines premium arabic coffee with ksm 66 ashwagandha l-tanin curcumin lion's mane and chaga mushrooms what i really like is that instead of adding more supplements on my daily routine i can get everything in one cup and unlike a lot of wellness products this actually takes like delicious regular coffee i love finding simple swaps that makes my daily routine easier without adding extra steps if you're curious when the ashwagandha coffee is available on target.com and target stories national white</v>
      </c>
      <c r="AU260" s="55" t="str">
        <f>IFERROR(__xludf.DUMMYFUNCTION("""COMPUTED_VALUE"""),"i wasn't looking for another supplement i was looking for a better coffee then i found wahdam ashwagandha coffee on target.com and honestly it's caught my attention right away it's not just a coffee i...")</f>
        <v>i wasn't looking for another supplement i was looking for a better coffee then i found wahdam ashwagandha coffee on target.com and honestly it's caught my attention right away it's not just a coffee i...</v>
      </c>
      <c r="AV260" s="55" t="str">
        <f>IFERROR(__xludf.DUMMYFUNCTION("""COMPUTED_VALUE"""),"i wasn't looking for another supplement i was looking for a better coffee then i found wahdam ashwagandha coffee on target.com and honestly it's caught my attention right away it's not just a coffee it's combines premium arabic coffee with ksm 66 ashwagan"&amp;"dha l-tanin curcumin lion's mane and chaga mushrooms what i really like is that instead of adding more supplements on my daily routine i can get everything in one cup and unlike a lot of wellness products this actually takes like delicious regular coffee "&amp;"i love finding simple swaps that makes my daily routine easier without adding extra steps if you're curious when the ashwagandha coffee is available on target.com and target stories national white")</f>
        <v>i wasn't looking for another supplement i was looking for a better coffee then i found wahdam ashwagandha coffee on target.com and honestly it's caught my attention right away it's not just a coffee it's combines premium arabic coffee with ksm 66 ashwagandha l-tanin curcumin lion's mane and chaga mushrooms what i really like is that instead of adding more supplements on my daily routine i can get everything in one cup and unlike a lot of wellness products this actually takes like delicious regular coffee i love finding simple swaps that makes my daily routine easier without adding extra steps if you're curious when the ashwagandha coffee is available on target.com and target stories national white</v>
      </c>
      <c r="AW260" s="35"/>
      <c r="AX260" s="35"/>
      <c r="AY260" s="35"/>
      <c r="AZ260" s="35"/>
      <c r="BA260" s="35"/>
      <c r="BB260" s="35"/>
      <c r="BC260" s="35"/>
      <c r="BD260" s="35"/>
      <c r="BE260" s="35"/>
      <c r="BF260" s="35"/>
      <c r="BG260" s="35"/>
    </row>
    <row r="261" ht="15.75" customHeight="1">
      <c r="A261" s="55" t="str">
        <f>IFERROR(__xludf.DUMMYFUNCTION("""COMPUTED_VALUE"""),"Instagram")</f>
        <v>Instagram</v>
      </c>
      <c r="B261" s="56">
        <f>IFERROR(__xludf.DUMMYFUNCTION("""COMPUTED_VALUE"""),46203.0)</f>
        <v>46203</v>
      </c>
      <c r="C261" s="55" t="str">
        <f>IFERROR(__xludf.DUMMYFUNCTION("""COMPUTED_VALUE"""),"June")</f>
        <v>June</v>
      </c>
      <c r="D261" s="58" t="str">
        <f>IFERROR(__xludf.DUMMYFUNCTION("""COMPUTED_VALUE"""),"https://www.instagram.com/reel/DaLQHM1xYmp/")</f>
        <v>https://www.instagram.com/reel/DaLQHM1xYmp/</v>
      </c>
      <c r="E261" s="55" t="str">
        <f>IFERROR(__xludf.DUMMYFUNCTION("""COMPUTED_VALUE"""),"audkolkana")</f>
        <v>audkolkana</v>
      </c>
      <c r="F261" s="55"/>
      <c r="G261" s="55" t="str">
        <f>IFERROR(__xludf.DUMMYFUNCTION("""COMPUTED_VALUE"""),"Gummies vs Coffee")</f>
        <v>Gummies vs Coffee</v>
      </c>
      <c r="H261" s="55"/>
      <c r="I261" s="55">
        <f>IFERROR(__xludf.DUMMYFUNCTION("""COMPUTED_VALUE"""),24.1)</f>
        <v>24.1</v>
      </c>
      <c r="J261" s="55" t="str">
        <f>IFERROR(__xludf.DUMMYFUNCTION("""COMPUTED_VALUE"""),"Yes – Recommend")</f>
        <v>Yes – Recommend</v>
      </c>
      <c r="K261" s="55" t="str">
        <f>IFERROR(__xludf.DUMMYFUNCTION("""COMPUTED_VALUE"""),"Review before running ads")</f>
        <v>Review before running ads</v>
      </c>
      <c r="L261" s="55" t="str">
        <f>IFERROR(__xludf.DUMMYFUNCTION("""COMPUTED_VALUE"""),"Score 25.3 ≥ 20 threshold")</f>
        <v>Score 25.3 ≥ 20 threshold</v>
      </c>
      <c r="M261" s="59" t="str">
        <f>IFERROR(__xludf.DUMMYFUNCTION("""COMPUTED_VALUE"""),"No Ad Data")</f>
        <v>No Ad Data</v>
      </c>
      <c r="N261" s="55"/>
      <c r="O261" s="55"/>
      <c r="P261" s="59">
        <f>IFERROR(__xludf.DUMMYFUNCTION("""COMPUTED_VALUE"""),317.0)</f>
        <v>317</v>
      </c>
      <c r="Q261" s="59">
        <f>IFERROR(__xludf.DUMMYFUNCTION("""COMPUTED_VALUE"""),9.0)</f>
        <v>9</v>
      </c>
      <c r="R261" s="55"/>
      <c r="S261" s="55"/>
      <c r="T261" s="55"/>
      <c r="U261" s="55"/>
      <c r="V261" s="55"/>
      <c r="W261" s="63">
        <f>IFERROR(__xludf.DUMMYFUNCTION("""COMPUTED_VALUE"""),72.99)</f>
        <v>72.99</v>
      </c>
      <c r="X261" s="59">
        <f>IFERROR(__xludf.DUMMYFUNCTION("""COMPUTED_VALUE"""),317.0)</f>
        <v>317</v>
      </c>
      <c r="Y261" s="59">
        <f>IFERROR(__xludf.DUMMYFUNCTION("""COMPUTED_VALUE"""),9.0)</f>
        <v>9</v>
      </c>
      <c r="Z261" s="55"/>
      <c r="AA261" s="55"/>
      <c r="AB261" s="55"/>
      <c r="AC261" s="55"/>
      <c r="AD261" s="55"/>
      <c r="AE261" s="55"/>
      <c r="AF261" s="55"/>
      <c r="AG261" s="55"/>
      <c r="AH261" s="55"/>
      <c r="AI261" s="55"/>
      <c r="AJ261" s="55"/>
      <c r="AK261" s="55"/>
      <c r="AL261" s="55"/>
      <c r="AM261" s="55" t="str">
        <f>IFERROR(__xludf.DUMMYFUNCTION("""COMPUTED_VALUE"""),"Q9jTBBUrUF_uWZXV9a9sL3TDOoMKjVbz2s4bSjNjWpsJ1PLNm0hIy_AFtI77MDT_iiA")</f>
        <v>Q9jTBBUrUF_uWZXV9a9sL3TDOoMKjVbz2s4bSjNjWpsJ1PLNm0hIy_AFtI77MDT_iiA</v>
      </c>
      <c r="AN261" s="55"/>
      <c r="AO261" s="55"/>
      <c r="AP261" s="55"/>
      <c r="AQ261" s="55" t="str">
        <f>IFERROR(__xludf.DUMMYFUNCTION("""COMPUTED_VALUE"""),"My morning coffee just got a wellness upgrade. â˜•ðŸŒ¿ Iâ€™ve been loving VAHDAMÂ® Ashwagandha Coffee because itâ€™s more than just coffeeâ€”itâ€™s 5 wellness ingredients in every cup. âœ¨ Premium Arabica...")</f>
        <v>My morning coffee just got a wellness upgrade. â˜•ðŸŒ¿ Iâ€™ve been loving VAHDAMÂ® Ashwagandha Coffee because itâ€™s more than just coffeeâ€”itâ€™s 5 wellness ingredients in every cup. âœ¨ Premium Arabica...</v>
      </c>
      <c r="AR261" s="55" t="str">
        <f>IFERROR(__xludf.DUMMYFUNCTION("""COMPUTED_VALUE"""),"A daily coffee ritual beats a candy-like daily supplement for me any day of the week.")</f>
        <v>A daily coffee ritual beats a candy-like daily supplement for me any day of the week.</v>
      </c>
      <c r="AS261" s="55" t="str">
        <f>IFERROR(__xludf.DUMMYFUNCTION("""COMPUTED_VALUE"""),"Personal Story")</f>
        <v>Personal Story</v>
      </c>
      <c r="AT261" s="55" t="str">
        <f>IFERROR(__xludf.DUMMYFUNCTION("""COMPUTED_VALUE"""),"• Product introduced immediately in the opening
• Benefits and product features discussed
• CTA: ""Vadam Ashwagandha coffee is available nationwide in Target stores and online.""")</f>
        <v>• Product introduced immediately in the opening
• Benefits and product features discussed
• CTA: "Vadam Ashwagandha coffee is available nationwide in Target stores and online."</v>
      </c>
      <c r="AU261" s="55" t="str">
        <f>IFERROR(__xludf.DUMMYFUNCTION("""COMPUTED_VALUE"""),"Vadam Ashwagandha coffee is available nationwide in Target stores and online.")</f>
        <v>Vadam Ashwagandha coffee is available nationwide in Target stores and online.</v>
      </c>
      <c r="AV261" s="55" t="str">
        <f>IFERROR(__xludf.DUMMYFUNCTION("""COMPUTED_VALUE"""),"A daily coffee ritual beats a candy-like daily supplement for me any day of the week. Insert Vodham ashwagandha coffee into my life. I know this sounds like a strange criticism towards those gummies, but they taste too good. Like, hear me out. Gummies tas"&amp;"te like candy because they're made to be like candy. I end up eating way too many or forgetting to take my supplements. One thing I don't forget is my coffee. Oh my gosh, that actually tastes really good and it tastes just like coffee, which means you dri"&amp;"nk a cup of coffee, you feel satisfied. You're done. Two cups, half your daily dose, no candy signals, no overconsumption temptation, just your daily ritual. So it's time to make the switch. Vadam Ashwagandha coffee is available nationwide in Target store"&amp;"s and online.")</f>
        <v>A daily coffee ritual beats a candy-like daily supplement for me any day of the week. Insert Vodham ashwagandha coffee into my life. I know this sounds like a strange criticism towards those gummies, but they taste too good. Like, hear me out. Gummies taste like candy because they're made to be like candy. I end up eating way too many or forgetting to take my supplements. One thing I don't forget is my coffee. Oh my gosh, that actually tastes really good and it tastes just like coffee, which means you drink a cup of coffee, you feel satisfied. You're done. Two cups, half your daily dose, no candy signals, no overconsumption temptation, just your daily ritual. So it's time to make the switch. Vadam Ashwagandha coffee is available nationwide in Target stores and online.</v>
      </c>
      <c r="AW261" s="35"/>
      <c r="AX261" s="35"/>
      <c r="AY261" s="35"/>
      <c r="AZ261" s="35"/>
      <c r="BA261" s="35"/>
      <c r="BB261" s="35"/>
      <c r="BC261" s="35"/>
      <c r="BD261" s="35"/>
      <c r="BE261" s="35"/>
      <c r="BF261" s="35"/>
      <c r="BG261" s="35"/>
    </row>
    <row r="262" ht="15.75" customHeight="1">
      <c r="A262" s="55" t="str">
        <f>IFERROR(__xludf.DUMMYFUNCTION("""COMPUTED_VALUE"""),"Instagram")</f>
        <v>Instagram</v>
      </c>
      <c r="B262" s="56">
        <f>IFERROR(__xludf.DUMMYFUNCTION("""COMPUTED_VALUE"""),46196.0)</f>
        <v>46196</v>
      </c>
      <c r="C262" s="55" t="str">
        <f>IFERROR(__xludf.DUMMYFUNCTION("""COMPUTED_VALUE"""),"June")</f>
        <v>June</v>
      </c>
      <c r="D262" s="58" t="str">
        <f>IFERROR(__xludf.DUMMYFUNCTION("""COMPUTED_VALUE"""),"https://www.instagram.com/reel/DZ48xAOhKuZ/")</f>
        <v>https://www.instagram.com/reel/DZ48xAOhKuZ/</v>
      </c>
      <c r="E262" s="55" t="str">
        <f>IFERROR(__xludf.DUMMYFUNCTION("""COMPUTED_VALUE"""),"grumpygretel")</f>
        <v>grumpygretel</v>
      </c>
      <c r="F262" s="55" t="str">
        <f>IFERROR(__xludf.DUMMYFUNCTION("""COMPUTED_VALUE"""),"NA")</f>
        <v>NA</v>
      </c>
      <c r="G262" s="55" t="str">
        <f>IFERROR(__xludf.DUMMYFUNCTION("""COMPUTED_VALUE"""),"Over 40/ High Performer")</f>
        <v>Over 40/ High Performer</v>
      </c>
      <c r="H262" s="55">
        <f>IFERROR(__xludf.DUMMYFUNCTION("""COMPUTED_VALUE"""),33.0)</f>
        <v>33</v>
      </c>
      <c r="I262" s="55">
        <f>IFERROR(__xludf.DUMMYFUNCTION("""COMPUTED_VALUE"""),50.4)</f>
        <v>50.4</v>
      </c>
      <c r="J262" s="55" t="str">
        <f>IFERROR(__xludf.DUMMYFUNCTION("""COMPUTED_VALUE"""),"Yes – Recommend")</f>
        <v>Yes – Recommend</v>
      </c>
      <c r="K262" s="55" t="str">
        <f>IFERROR(__xludf.DUMMYFUNCTION("""COMPUTED_VALUE"""),"Yes")</f>
        <v>Yes</v>
      </c>
      <c r="L262" s="55" t="str">
        <f>IFERROR(__xludf.DUMMYFUNCTION("""COMPUTED_VALUE"""),"Score 52.7 ≥ 20 threshold")</f>
        <v>Score 52.7 ≥ 20 threshold</v>
      </c>
      <c r="M262" s="59" t="str">
        <f>IFERROR(__xludf.DUMMYFUNCTION("""COMPUTED_VALUE"""),"No Ad Data")</f>
        <v>No Ad Data</v>
      </c>
      <c r="N262" s="59" t="str">
        <f>IFERROR(__xludf.DUMMYFUNCTION("""COMPUTED_VALUE"""),"32UGC-Over40-CTA-grumpygretel")</f>
        <v>32UGC-Over40-CTA-grumpygretel</v>
      </c>
      <c r="O262" s="77" t="str">
        <f>IFERROR(__xludf.DUMMYFUNCTION("""COMPUTED_VALUE"""),"https://buy.vahdam.com/coffee-cta-ugc-over-40-woman
")</f>
        <v>https://buy.vahdam.com/coffee-cta-ugc-over-40-woman
</v>
      </c>
      <c r="P262" s="59">
        <f>IFERROR(__xludf.DUMMYFUNCTION("""COMPUTED_VALUE"""),568.0)</f>
        <v>568</v>
      </c>
      <c r="Q262" s="59">
        <f>IFERROR(__xludf.DUMMYFUNCTION("""COMPUTED_VALUE"""),30.0)</f>
        <v>30</v>
      </c>
      <c r="R262" s="59">
        <f>IFERROR(__xludf.DUMMYFUNCTION("""COMPUTED_VALUE"""),19.0)</f>
        <v>19</v>
      </c>
      <c r="S262" s="55"/>
      <c r="T262" s="68">
        <f>IFERROR(__xludf.DUMMYFUNCTION("""COMPUTED_VALUE"""),0.0)</f>
        <v>0</v>
      </c>
      <c r="U262" s="55"/>
      <c r="V262" s="62">
        <f>IFERROR(__xludf.DUMMYFUNCTION("""COMPUTED_VALUE"""),0.0607)</f>
        <v>0.0607</v>
      </c>
      <c r="W262" s="63">
        <f>IFERROR(__xludf.DUMMYFUNCTION("""COMPUTED_VALUE"""),117.58)</f>
        <v>117.58</v>
      </c>
      <c r="X262" s="59">
        <f>IFERROR(__xludf.DUMMYFUNCTION("""COMPUTED_VALUE"""),313.0)</f>
        <v>313</v>
      </c>
      <c r="Y262" s="59">
        <f>IFERROR(__xludf.DUMMYFUNCTION("""COMPUTED_VALUE"""),0.0)</f>
        <v>0</v>
      </c>
      <c r="Z262" s="59">
        <f>IFERROR(__xludf.DUMMYFUNCTION("""COMPUTED_VALUE"""),19.0)</f>
        <v>19</v>
      </c>
      <c r="AA262" s="59">
        <f>IFERROR(__xludf.DUMMYFUNCTION("""COMPUTED_VALUE"""),0.0)</f>
        <v>0</v>
      </c>
      <c r="AB262" s="64">
        <f>IFERROR(__xludf.DUMMYFUNCTION("""COMPUTED_VALUE"""),0.0)</f>
        <v>0</v>
      </c>
      <c r="AC262" s="62">
        <f>IFERROR(__xludf.DUMMYFUNCTION("""COMPUTED_VALUE"""),0.0607)</f>
        <v>0.0607</v>
      </c>
      <c r="AD262" s="62">
        <f>IFERROR(__xludf.DUMMYFUNCTION("""COMPUTED_VALUE"""),0.0)</f>
        <v>0</v>
      </c>
      <c r="AE262" s="62">
        <f>IFERROR(__xludf.DUMMYFUNCTION("""COMPUTED_VALUE"""),0.0)</f>
        <v>0</v>
      </c>
      <c r="AF262" s="55"/>
      <c r="AG262" s="55"/>
      <c r="AH262" s="55"/>
      <c r="AI262" s="55"/>
      <c r="AJ262" s="55"/>
      <c r="AK262" s="55"/>
      <c r="AL262" s="55"/>
      <c r="AM262" s="55" t="str">
        <f>IFERROR(__xludf.DUMMYFUNCTION("""COMPUTED_VALUE"""),"Q9jTBBWOUnhEoPVEx7R-Q_kiMwB10OcVkYL8a1PmrsF02TS5Xpku9K_j99TX9QC1KA0")</f>
        <v>Q9jTBBWOUnhEoPVEx7R-Q_kiMwB10OcVkYL8a1PmrsF02TS5Xpku9K_j99TX9QC1KA0</v>
      </c>
      <c r="AN262" s="55"/>
      <c r="AO262" s="55" t="str">
        <f>IFERROR(__xludf.DUMMYFUNCTION("""COMPUTED_VALUE"""),"NA")</f>
        <v>NA</v>
      </c>
      <c r="AP262" s="55" t="str">
        <f>IFERROR(__xludf.DUMMYFUNCTION("""COMPUTED_VALUE"""),"NA")</f>
        <v>NA</v>
      </c>
      <c r="AQ262" s="55" t="str">
        <f>IFERROR(__xludf.DUMMYFUNCTION("""COMPUTED_VALUE"""),"NA")</f>
        <v>NA</v>
      </c>
      <c r="AR262" s="55" t="str">
        <f>IFERROR(__xludf.DUMMYFUNCTION("""COMPUTED_VALUE"""),"My kids spike my cortisol before 7 a.m.")</f>
        <v>My kids spike my cortisol before 7 a.m.</v>
      </c>
      <c r="AS262" s="55" t="str">
        <f>IFERROR(__xludf.DUMMYFUNCTION("""COMPUTED_VALUE"""),"Problem / Pain Point")</f>
        <v>Problem / Pain Point</v>
      </c>
      <c r="AT262" s="55" t="str">
        <f>IFERROR(__xludf.DUMMYFUNCTION("""COMPUTED_VALUE"""),"• It combines coffee with KSM-66, curcumin and L-theanine and functional mushrooms all in one cup.
• It's just my morning coffee and it actually tastes like delicious regular coffee.
• What I love is that I'm not adding another supplement to my routine.
•"&amp;" So when I found Vodum's Ashwagandha coffee at Target, I was pretty intrigued.")</f>
        <v>• It combines coffee with KSM-66, curcumin and L-theanine and functional mushrooms all in one cup.
• It's just my morning coffee and it actually tastes like delicious regular coffee.
• What I love is that I'm not adding another supplement to my routine.
• So when I found Vodum's Ashwagandha coffee at Target, I was pretty intrigued.</v>
      </c>
      <c r="AU262" s="55" t="str">
        <f>IFERROR(__xludf.DUMMYFUNCTION("""COMPUTED_VALUE"""),"Instead of feeling wired and reaching for more coffee later i get calmer energy for homeschool grocery runs chicken chores and everything else on my list if you're in your 40s and looking for a")</f>
        <v>Instead of feeling wired and reaching for more coffee later i get calmer energy for homeschool grocery runs chicken chores and everything else on my list if you're in your 40s and looking for a</v>
      </c>
      <c r="AV262" s="55" t="str">
        <f>IFERROR(__xludf.DUMMYFUNCTION("""COMPUTED_VALUE"""),"My kids spike my cortisol before 7 a.m. and some days I feel like I'm already running behind before the day even starts. So when I found Vodum's Ashwagandha coffee at Target, I was pretty intrigued. It combines coffee with KSM-66, curcumin and L-theanine "&amp;"and functional mushrooms all in one cup. It's clinically studied to reduce cortisol by 28% in eight weeks. What I love is that I'm not adding another supplement to my routine. It's just my morning coffee and it actually tastes like delicious regular coffe"&amp;"e. Instead of feeling wired and reaching for more coffee later i get calmer energy for homeschool grocery runs chicken chores and everything else on my list if you're in your 40s and looking for a")</f>
        <v>My kids spike my cortisol before 7 a.m. and some days I feel like I'm already running behind before the day even starts. So when I found Vodum's Ashwagandha coffee at Target, I was pretty intrigued. It combines coffee with KSM-66, curcumin and L-theanine and functional mushrooms all in one cup. It's clinically studied to reduce cortisol by 28% in eight weeks. What I love is that I'm not adding another supplement to my routine. It's just my morning coffee and it actually tastes like delicious regular coffee. Instead of feeling wired and reaching for more coffee later i get calmer energy for homeschool grocery runs chicken chores and everything else on my list if you're in your 40s and looking for a</v>
      </c>
      <c r="AW262" s="35"/>
      <c r="AX262" s="35"/>
      <c r="AY262" s="35"/>
      <c r="AZ262" s="35"/>
      <c r="BA262" s="35"/>
      <c r="BB262" s="35"/>
      <c r="BC262" s="35"/>
      <c r="BD262" s="35"/>
      <c r="BE262" s="35"/>
      <c r="BF262" s="35"/>
      <c r="BG262" s="35"/>
    </row>
    <row r="263" ht="15.75" customHeight="1">
      <c r="A263" s="55" t="str">
        <f>IFERROR(__xludf.DUMMYFUNCTION("""COMPUTED_VALUE"""),"Instagram")</f>
        <v>Instagram</v>
      </c>
      <c r="B263" s="56">
        <f>IFERROR(__xludf.DUMMYFUNCTION("""COMPUTED_VALUE"""),46201.0)</f>
        <v>46201</v>
      </c>
      <c r="C263" s="55" t="str">
        <f>IFERROR(__xludf.DUMMYFUNCTION("""COMPUTED_VALUE"""),"June")</f>
        <v>June</v>
      </c>
      <c r="D263" s="58" t="str">
        <f>IFERROR(__xludf.DUMMYFUNCTION("""COMPUTED_VALUE"""),"https://www.instagram.com/reel/DZnChXhqp6S/")</f>
        <v>https://www.instagram.com/reel/DZnChXhqp6S/</v>
      </c>
      <c r="E263" s="55" t="str">
        <f>IFERROR(__xludf.DUMMYFUNCTION("""COMPUTED_VALUE"""),"@forbes_vi")</f>
        <v>@forbes_vi</v>
      </c>
      <c r="F263" s="55" t="str">
        <f>IFERROR(__xludf.DUMMYFUNCTION("""COMPUTED_VALUE"""),"NA")</f>
        <v>NA</v>
      </c>
      <c r="G263" s="55" t="str">
        <f>IFERROR(__xludf.DUMMYFUNCTION("""COMPUTED_VALUE"""),"Cortisol")</f>
        <v>Cortisol</v>
      </c>
      <c r="H263" s="55">
        <f>IFERROR(__xludf.DUMMYFUNCTION("""COMPUTED_VALUE"""),25.0)</f>
        <v>25</v>
      </c>
      <c r="I263" s="55">
        <f>IFERROR(__xludf.DUMMYFUNCTION("""COMPUTED_VALUE"""),26.9)</f>
        <v>26.9</v>
      </c>
      <c r="J263" s="55" t="str">
        <f>IFERROR(__xludf.DUMMYFUNCTION("""COMPUTED_VALUE"""),"Yes – Recommend")</f>
        <v>Yes – Recommend</v>
      </c>
      <c r="K263" s="55" t="str">
        <f>IFERROR(__xludf.DUMMYFUNCTION("""COMPUTED_VALUE"""),"No")</f>
        <v>No</v>
      </c>
      <c r="L263" s="55" t="str">
        <f>IFERROR(__xludf.DUMMYFUNCTION("""COMPUTED_VALUE"""),"Score 28.4 ≥ 20 threshold")</f>
        <v>Score 28.4 ≥ 20 threshold</v>
      </c>
      <c r="M263" s="59" t="str">
        <f>IFERROR(__xludf.DUMMYFUNCTION("""COMPUTED_VALUE"""),"No Ad Data")</f>
        <v>No Ad Data</v>
      </c>
      <c r="N263" s="59" t="str">
        <f>IFERROR(__xludf.DUMMYFUNCTION("""COMPUTED_VALUE"""),"Skip")</f>
        <v>Skip</v>
      </c>
      <c r="O263" s="55"/>
      <c r="P263" s="59">
        <f>IFERROR(__xludf.DUMMYFUNCTION("""COMPUTED_VALUE"""),308.0)</f>
        <v>308</v>
      </c>
      <c r="Q263" s="59">
        <f>IFERROR(__xludf.DUMMYFUNCTION("""COMPUTED_VALUE"""),18.0)</f>
        <v>18</v>
      </c>
      <c r="R263" s="59">
        <f>IFERROR(__xludf.DUMMYFUNCTION("""COMPUTED_VALUE"""),0.0)</f>
        <v>0</v>
      </c>
      <c r="S263" s="55"/>
      <c r="T263" s="68">
        <f>IFERROR(__xludf.DUMMYFUNCTION("""COMPUTED_VALUE"""),0.0)</f>
        <v>0</v>
      </c>
      <c r="U263" s="55"/>
      <c r="V263" s="62">
        <f>IFERROR(__xludf.DUMMYFUNCTION("""COMPUTED_VALUE"""),0.1028571429)</f>
        <v>0.1028571429</v>
      </c>
      <c r="W263" s="63">
        <f>IFERROR(__xludf.DUMMYFUNCTION("""COMPUTED_VALUE"""),117.58)</f>
        <v>117.58</v>
      </c>
      <c r="X263" s="59">
        <f>IFERROR(__xludf.DUMMYFUNCTION("""COMPUTED_VALUE"""),308.0)</f>
        <v>308</v>
      </c>
      <c r="Y263" s="59">
        <f>IFERROR(__xludf.DUMMYFUNCTION("""COMPUTED_VALUE"""),18.0)</f>
        <v>18</v>
      </c>
      <c r="Z263" s="59">
        <f>IFERROR(__xludf.DUMMYFUNCTION("""COMPUTED_VALUE"""),0.0)</f>
        <v>0</v>
      </c>
      <c r="AA263" s="59">
        <f>IFERROR(__xludf.DUMMYFUNCTION("""COMPUTED_VALUE"""),0.0)</f>
        <v>0</v>
      </c>
      <c r="AB263" s="64">
        <f>IFERROR(__xludf.DUMMYFUNCTION("""COMPUTED_VALUE"""),0.0)</f>
        <v>0</v>
      </c>
      <c r="AC263" s="62">
        <f>IFERROR(__xludf.DUMMYFUNCTION("""COMPUTED_VALUE"""),0.1028571429)</f>
        <v>0.1028571429</v>
      </c>
      <c r="AD263" s="62">
        <f>IFERROR(__xludf.DUMMYFUNCTION("""COMPUTED_VALUE"""),0.0)</f>
        <v>0</v>
      </c>
      <c r="AE263" s="62">
        <f>IFERROR(__xludf.DUMMYFUNCTION("""COMPUTED_VALUE"""),0.0)</f>
        <v>0</v>
      </c>
      <c r="AF263" s="55"/>
      <c r="AG263" s="55"/>
      <c r="AH263" s="55"/>
      <c r="AI263" s="55"/>
      <c r="AJ263" s="55"/>
      <c r="AK263" s="55"/>
      <c r="AL263" s="55"/>
      <c r="AM263" s="55" t="str">
        <f>IFERROR(__xludf.DUMMYFUNCTION("""COMPUTED_VALUE"""),"Q9jTBBVBC5C7B2zax86Tms4iEfFcLM5Oz74gP3HQQ8ARkGF8xjuXBZCU7sVyGNoaqW4")</f>
        <v>Q9jTBBVBC5C7B2zax86Tms4iEfFcLM5Oz74gP3HQQ8ARkGF8xjuXBZCU7sVyGNoaqW4</v>
      </c>
      <c r="AN263" s="55" t="str">
        <f>IFERROR(__xludf.DUMMYFUNCTION("""COMPUTED_VALUE"""),"Not great")</f>
        <v>Not great</v>
      </c>
      <c r="AO263" s="55" t="str">
        <f>IFERROR(__xludf.DUMMYFUNCTION("""COMPUTED_VALUE"""),"NA")</f>
        <v>NA</v>
      </c>
      <c r="AP263" s="55" t="str">
        <f>IFERROR(__xludf.DUMMYFUNCTION("""COMPUTED_VALUE"""),"NA")</f>
        <v>NA</v>
      </c>
      <c r="AQ263" s="55" t="str">
        <f>IFERROR(__xludf.DUMMYFUNCTION("""COMPUTED_VALUE"""),"â˜•ï¸ The coffee nobodyâ€™s talking about. I wasnâ€™t expecting much, but this ended up being one of the most enjoyable cups Iâ€™ve had lately. Smooth, rich, and perfectly balanced without being overly...")</f>
        <v>â˜•ï¸_x008f_ The coffee nobodyâ€™s talking about. I wasnâ€™t expecting much, but this ended up being one of the most enjoyable cups Iâ€™ve had lately. Smooth, rich, and perfectly balanced without being overly...</v>
      </c>
      <c r="AR263" s="55" t="str">
        <f>IFERROR(__xludf.DUMMYFUNCTION("""COMPUTED_VALUE"""),"This is the cortisol hack nobody talks about.")</f>
        <v>This is the cortisol hack nobody talks about.</v>
      </c>
      <c r="AS263" s="55" t="str">
        <f>IFERROR(__xludf.DUMMYFUNCTION("""COMPUTED_VALUE"""),"Problem / Pain Point")</f>
        <v>Problem / Pain Point</v>
      </c>
      <c r="AT263" s="55" t="str">
        <f>IFERROR(__xludf.DUMMYFUNCTION("""COMPUTED_VALUE"""),"• I just switched to a Vaghtam coffee with the KSM66 ashwagandha with curcumin, L-theanine and functional mushrooms.
• I still enjoy the taste in caffeine kick I love.
• I didn't quit coffee.")</f>
        <v>• I just switched to a Vaghtam coffee with the KSM66 ashwagandha with curcumin, L-theanine and functional mushrooms.
• I still enjoy the taste in caffeine kick I love.
• I didn't quit coffee.</v>
      </c>
      <c r="AU263" s="55" t="str">
        <f>IFERROR(__xludf.DUMMYFUNCTION("""COMPUTED_VALUE"""),"But now my mornings feel more focused, balanced and less chaotic.")</f>
        <v>But now my mornings feel more focused, balanced and less chaotic.</v>
      </c>
      <c r="AV263" s="55" t="str">
        <f>IFERROR(__xludf.DUMMYFUNCTION("""COMPUTED_VALUE"""),"This is the cortisol hack nobody talks about. I didn't quit coffee. I just switched to a Vaghtam coffee with the KSM66 ashwagandha with curcumin, L-theanine and functional mushrooms. I still enjoy the taste in caffeine kick I love. But now my mornings fee"&amp;"l more focused, balanced and less chaotic.")</f>
        <v>This is the cortisol hack nobody talks about. I didn't quit coffee. I just switched to a Vaghtam coffee with the KSM66 ashwagandha with curcumin, L-theanine and functional mushrooms. I still enjoy the taste in caffeine kick I love. But now my mornings feel more focused, balanced and less chaotic.</v>
      </c>
      <c r="AW263" s="35"/>
      <c r="AX263" s="35"/>
      <c r="AY263" s="35"/>
      <c r="AZ263" s="35"/>
      <c r="BA263" s="35"/>
      <c r="BB263" s="35"/>
      <c r="BC263" s="35"/>
      <c r="BD263" s="35"/>
      <c r="BE263" s="35"/>
      <c r="BF263" s="35"/>
      <c r="BG263" s="35"/>
    </row>
    <row r="264" ht="15.75" customHeight="1">
      <c r="A264" s="55" t="str">
        <f>IFERROR(__xludf.DUMMYFUNCTION("""COMPUTED_VALUE"""),"Instagram")</f>
        <v>Instagram</v>
      </c>
      <c r="B264" s="56">
        <f>IFERROR(__xludf.DUMMYFUNCTION("""COMPUTED_VALUE"""),46201.0)</f>
        <v>46201</v>
      </c>
      <c r="C264" s="55" t="str">
        <f>IFERROR(__xludf.DUMMYFUNCTION("""COMPUTED_VALUE"""),"June")</f>
        <v>June</v>
      </c>
      <c r="D264" s="58" t="str">
        <f>IFERROR(__xludf.DUMMYFUNCTION("""COMPUTED_VALUE"""),"https://www.instagram.com/reels/DZc_H-PuU9N/")</f>
        <v>https://www.instagram.com/reels/DZc_H-PuU9N/</v>
      </c>
      <c r="E264" s="55" t="str">
        <f>IFERROR(__xludf.DUMMYFUNCTION("""COMPUTED_VALUE"""),"@luciana.bittenzap")</f>
        <v>@luciana.bittenzap</v>
      </c>
      <c r="F264" s="55" t="str">
        <f>IFERROR(__xludf.DUMMYFUNCTION("""COMPUTED_VALUE"""),"NA")</f>
        <v>NA</v>
      </c>
      <c r="G264" s="55" t="str">
        <f>IFERROR(__xludf.DUMMYFUNCTION("""COMPUTED_VALUE"""),"Target Shelf Showdown")</f>
        <v>Target Shelf Showdown</v>
      </c>
      <c r="H264" s="55">
        <f>IFERROR(__xludf.DUMMYFUNCTION("""COMPUTED_VALUE"""),58.0)</f>
        <v>58</v>
      </c>
      <c r="I264" s="55">
        <f>IFERROR(__xludf.DUMMYFUNCTION("""COMPUTED_VALUE"""),23.8)</f>
        <v>23.8</v>
      </c>
      <c r="J264" s="55" t="str">
        <f>IFERROR(__xludf.DUMMYFUNCTION("""COMPUTED_VALUE"""),"Yes – Recommend")</f>
        <v>Yes – Recommend</v>
      </c>
      <c r="K264" s="55" t="str">
        <f>IFERROR(__xludf.DUMMYFUNCTION("""COMPUTED_VALUE"""),"No")</f>
        <v>No</v>
      </c>
      <c r="L264" s="55" t="str">
        <f>IFERROR(__xludf.DUMMYFUNCTION("""COMPUTED_VALUE"""),"Score 25.0 ≥ 20 threshold")</f>
        <v>Score 25.0 ≥ 20 threshold</v>
      </c>
      <c r="M264" s="59" t="str">
        <f>IFERROR(__xludf.DUMMYFUNCTION("""COMPUTED_VALUE"""),"No Ad Data")</f>
        <v>No Ad Data</v>
      </c>
      <c r="N264" s="59" t="str">
        <f>IFERROR(__xludf.DUMMYFUNCTION("""COMPUTED_VALUE"""),"Skip-repeated")</f>
        <v>Skip-repeated</v>
      </c>
      <c r="O264" s="55"/>
      <c r="P264" s="59">
        <f>IFERROR(__xludf.DUMMYFUNCTION("""COMPUTED_VALUE"""),278.0)</f>
        <v>278</v>
      </c>
      <c r="Q264" s="59">
        <f>IFERROR(__xludf.DUMMYFUNCTION("""COMPUTED_VALUE"""),9.0)</f>
        <v>9</v>
      </c>
      <c r="R264" s="59">
        <f>IFERROR(__xludf.DUMMYFUNCTION("""COMPUTED_VALUE"""),0.0)</f>
        <v>0</v>
      </c>
      <c r="S264" s="55"/>
      <c r="T264" s="68">
        <f>IFERROR(__xludf.DUMMYFUNCTION("""COMPUTED_VALUE"""),0.0)</f>
        <v>0</v>
      </c>
      <c r="U264" s="55"/>
      <c r="V264" s="62">
        <f>IFERROR(__xludf.DUMMYFUNCTION("""COMPUTED_VALUE"""),0.04306220096)</f>
        <v>0.04306220096</v>
      </c>
      <c r="W264" s="63">
        <f>IFERROR(__xludf.DUMMYFUNCTION("""COMPUTED_VALUE"""),72.99)</f>
        <v>72.99</v>
      </c>
      <c r="X264" s="59">
        <f>IFERROR(__xludf.DUMMYFUNCTION("""COMPUTED_VALUE"""),278.0)</f>
        <v>278</v>
      </c>
      <c r="Y264" s="59">
        <f>IFERROR(__xludf.DUMMYFUNCTION("""COMPUTED_VALUE"""),9.0)</f>
        <v>9</v>
      </c>
      <c r="Z264" s="59">
        <f>IFERROR(__xludf.DUMMYFUNCTION("""COMPUTED_VALUE"""),0.0)</f>
        <v>0</v>
      </c>
      <c r="AA264" s="59">
        <f>IFERROR(__xludf.DUMMYFUNCTION("""COMPUTED_VALUE"""),0.0)</f>
        <v>0</v>
      </c>
      <c r="AB264" s="64">
        <f>IFERROR(__xludf.DUMMYFUNCTION("""COMPUTED_VALUE"""),0.0)</f>
        <v>0</v>
      </c>
      <c r="AC264" s="62">
        <f>IFERROR(__xludf.DUMMYFUNCTION("""COMPUTED_VALUE"""),0.04306220096)</f>
        <v>0.04306220096</v>
      </c>
      <c r="AD264" s="62">
        <f>IFERROR(__xludf.DUMMYFUNCTION("""COMPUTED_VALUE"""),0.0)</f>
        <v>0</v>
      </c>
      <c r="AE264" s="62">
        <f>IFERROR(__xludf.DUMMYFUNCTION("""COMPUTED_VALUE"""),0.0)</f>
        <v>0</v>
      </c>
      <c r="AF264" s="55"/>
      <c r="AG264" s="55"/>
      <c r="AH264" s="55"/>
      <c r="AI264" s="55"/>
      <c r="AJ264" s="55"/>
      <c r="AK264" s="55"/>
      <c r="AL264" s="55"/>
      <c r="AM264" s="55" t="str">
        <f>IFERROR(__xludf.DUMMYFUNCTION("""COMPUTED_VALUE"""),"Q9jTBBVKLt5YAsfYKQt675UDcDlH-bmHyYSWuSqz36xkFbAhxe5VjRJgOCC-84rkLQs")</f>
        <v>Q9jTBBVKLt5YAsfYKQt675UDcDlH-bmHyYSWuSqz36xkFbAhxe5VjRJgOCC-84rkLQs</v>
      </c>
      <c r="AN264" s="55"/>
      <c r="AO264" s="55" t="str">
        <f>IFERROR(__xludf.DUMMYFUNCTION("""COMPUTED_VALUE"""),"NA")</f>
        <v>NA</v>
      </c>
      <c r="AP264" s="55" t="str">
        <f>IFERROR(__xludf.DUMMYFUNCTION("""COMPUTED_VALUE"""),"NA")</f>
        <v>NA</v>
      </c>
      <c r="AQ264" s="55" t="str">
        <f>IFERROR(__xludf.DUMMYFUNCTION("""COMPUTED_VALUE"""),"A little calm. A little focus. A whole lot of coffee. â˜•ï¸ @vahdamusa @target #coffeelover #target #ashwagandha")</f>
        <v>A little calm. A little focus. A whole lot of coffee. â˜•ï¸_x008f_ @vahdamusa @target #coffeelover #target #ashwagandha</v>
      </c>
      <c r="AR264" s="55" t="str">
        <f>IFERROR(__xludf.DUMMYFUNCTION("""COMPUTED_VALUE"""),"Mushroom coffee had its moment.")</f>
        <v>Mushroom coffee had its moment.</v>
      </c>
      <c r="AS264" s="55" t="str">
        <f>IFERROR(__xludf.DUMMYFUNCTION("""COMPUTED_VALUE"""),"General / Lifestyle")</f>
        <v>General / Lifestyle</v>
      </c>
      <c r="AT264" s="55" t="str">
        <f>IFERROR(__xludf.DUMMYFUNCTION("""COMPUTED_VALUE"""),"• It is 100% Arabica coffee with KSM66 ashwagandha, the only coffee with KSM66 ashwagandha, which is shown in clinical trials to reduce cortisol by 28%.
• This is ashwagandha coffee and this is actually the only coffee on target shelves that addresses cor"&amp;"tisol.
• Plus, it has 200mg L-theanine, 100mg carcuminoids from turmeric, lion's mane, chaga.
• Mushroom coffee was the warm-up ashwagandha coffee, is what's replacing it.")</f>
        <v>• It is 100% Arabica coffee with KSM66 ashwagandha, the only coffee with KSM66 ashwagandha, which is shown in clinical trials to reduce cortisol by 28%.
• This is ashwagandha coffee and this is actually the only coffee on target shelves that addresses cortisol.
• Plus, it has 200mg L-theanine, 100mg carcuminoids from turmeric, lion's mane, chaga.
• Mushroom coffee was the warm-up ashwagandha coffee, is what's replacing it.</v>
      </c>
      <c r="AU264" s="55" t="str">
        <f>IFERROR(__xludf.DUMMYFUNCTION("""COMPUTED_VALUE"""),"This was the number one selling functional coffee in the UK and now it has launched in Target stores, Nation Wild and online.")</f>
        <v>This was the number one selling functional coffee in the UK and now it has launched in Target stores, Nation Wild and online.</v>
      </c>
      <c r="AV264" s="55" t="str">
        <f>IFERROR(__xludf.DUMMYFUNCTION("""COMPUTED_VALUE"""),"Mushroom coffee had its moment. This is what's replacing it. It did something important. It proved people want more from their morning cup. Sure, mushrooms support focus, but they don't touch cortisol. And chronically elevated cortisol is the thing actual"&amp;"ly wrecking most people's morning. Waking up tired, brain fog, bloating, aches, pains, the list goes on. This is ashwagandha coffee and this is actually the only coffee on target shelves that addresses cortisol. It is 100% Arabica coffee with KSM66 ashwag"&amp;"andha, the only coffee with KSM66 ashwagandha, which is shown in clinical trials to reduce cortisol by 28%. 2 cups delivers your full daily recommended dose. Plus, it has 200mg L-theanine, 100mg carcuminoids from turmeric, lion's mane, chaga. Mushroom cof"&amp;"fee was the warm-up ashwagandha coffee, is what's replacing it. This was the number one selling functional coffee in the UK and now it has launched in Target stores, Nation Wild and online. So go do yourself a favor and buy this.")</f>
        <v>Mushroom coffee had its moment. This is what's replacing it. It did something important. It proved people want more from their morning cup. Sure, mushrooms support focus, but they don't touch cortisol. And chronically elevated cortisol is the thing actually wrecking most people's morning. Waking up tired, brain fog, bloating, aches, pains, the list goes on. This is ashwagandha coffee and this is actually the only coffee on target shelves that addresses cortisol. It is 100% Arabica coffee with KSM66 ashwagandha, the only coffee with KSM66 ashwagandha, which is shown in clinical trials to reduce cortisol by 28%. 2 cups delivers your full daily recommended dose. Plus, it has 200mg L-theanine, 100mg carcuminoids from turmeric, lion's mane, chaga. Mushroom coffee was the warm-up ashwagandha coffee, is what's replacing it. This was the number one selling functional coffee in the UK and now it has launched in Target stores, Nation Wild and online. So go do yourself a favor and buy this.</v>
      </c>
      <c r="AW264" s="35"/>
      <c r="AX264" s="35"/>
      <c r="AY264" s="35"/>
      <c r="AZ264" s="35"/>
      <c r="BA264" s="35"/>
      <c r="BB264" s="35"/>
      <c r="BC264" s="35"/>
      <c r="BD264" s="35"/>
      <c r="BE264" s="35"/>
      <c r="BF264" s="35"/>
      <c r="BG264" s="35"/>
    </row>
    <row r="265" ht="15.75" customHeight="1">
      <c r="A265" s="55" t="str">
        <f>IFERROR(__xludf.DUMMYFUNCTION("""COMPUTED_VALUE"""),"Instagram")</f>
        <v>Instagram</v>
      </c>
      <c r="B265" s="56">
        <f>IFERROR(__xludf.DUMMYFUNCTION("""COMPUTED_VALUE"""),46195.0)</f>
        <v>46195</v>
      </c>
      <c r="C265" s="55" t="str">
        <f>IFERROR(__xludf.DUMMYFUNCTION("""COMPUTED_VALUE"""),"June")</f>
        <v>June</v>
      </c>
      <c r="D265" s="58" t="str">
        <f>IFERROR(__xludf.DUMMYFUNCTION("""COMPUTED_VALUE"""),"https://www.instagram.com/reel/DZyFf6kuqa1/")</f>
        <v>https://www.instagram.com/reel/DZyFf6kuqa1/</v>
      </c>
      <c r="E265" s="55" t="str">
        <f>IFERROR(__xludf.DUMMYFUNCTION("""COMPUTED_VALUE"""),"@na")</f>
        <v>@na</v>
      </c>
      <c r="F265" s="55" t="str">
        <f>IFERROR(__xludf.DUMMYFUNCTION("""COMPUTED_VALUE"""),"NA")</f>
        <v>NA</v>
      </c>
      <c r="G265" s="55" t="str">
        <f>IFERROR(__xludf.DUMMYFUNCTION("""COMPUTED_VALUE"""),"Over 40/ High Performer")</f>
        <v>Over 40/ High Performer</v>
      </c>
      <c r="H265" s="55">
        <f>IFERROR(__xludf.DUMMYFUNCTION("""COMPUTED_VALUE"""),35.0)</f>
        <v>35</v>
      </c>
      <c r="I265" s="55">
        <f>IFERROR(__xludf.DUMMYFUNCTION("""COMPUTED_VALUE"""),22.8)</f>
        <v>22.8</v>
      </c>
      <c r="J265" s="55" t="str">
        <f>IFERROR(__xludf.DUMMYFUNCTION("""COMPUTED_VALUE"""),"Yes – Recommend")</f>
        <v>Yes – Recommend</v>
      </c>
      <c r="K265" s="55" t="str">
        <f>IFERROR(__xludf.DUMMYFUNCTION("""COMPUTED_VALUE"""),"Review before running ads")</f>
        <v>Review before running ads</v>
      </c>
      <c r="L265" s="55" t="str">
        <f>IFERROR(__xludf.DUMMYFUNCTION("""COMPUTED_VALUE"""),"Score 23.8 ≥ 20 threshold")</f>
        <v>Score 23.8 ≥ 20 threshold</v>
      </c>
      <c r="M265" s="59" t="str">
        <f>IFERROR(__xludf.DUMMYFUNCTION("""COMPUTED_VALUE"""),"No Ad Data")</f>
        <v>No Ad Data</v>
      </c>
      <c r="N265" s="55"/>
      <c r="O265" s="55"/>
      <c r="P265" s="59">
        <f>IFERROR(__xludf.DUMMYFUNCTION("""COMPUTED_VALUE"""),271.0)</f>
        <v>271</v>
      </c>
      <c r="Q265" s="59">
        <f>IFERROR(__xludf.DUMMYFUNCTION("""COMPUTED_VALUE"""),7.0)</f>
        <v>7</v>
      </c>
      <c r="R265" s="59">
        <f>IFERROR(__xludf.DUMMYFUNCTION("""COMPUTED_VALUE"""),0.0)</f>
        <v>0</v>
      </c>
      <c r="S265" s="55"/>
      <c r="T265" s="68">
        <f>IFERROR(__xludf.DUMMYFUNCTION("""COMPUTED_VALUE"""),0.0)</f>
        <v>0</v>
      </c>
      <c r="U265" s="55"/>
      <c r="V265" s="62">
        <f>IFERROR(__xludf.DUMMYFUNCTION("""COMPUTED_VALUE"""),0.0258)</f>
        <v>0.0258</v>
      </c>
      <c r="W265" s="63">
        <f>IFERROR(__xludf.DUMMYFUNCTION("""COMPUTED_VALUE"""),117.58)</f>
        <v>117.58</v>
      </c>
      <c r="X265" s="59">
        <f>IFERROR(__xludf.DUMMYFUNCTION("""COMPUTED_VALUE"""),271.0)</f>
        <v>271</v>
      </c>
      <c r="Y265" s="59">
        <f>IFERROR(__xludf.DUMMYFUNCTION("""COMPUTED_VALUE"""),7.0)</f>
        <v>7</v>
      </c>
      <c r="Z265" s="59">
        <f>IFERROR(__xludf.DUMMYFUNCTION("""COMPUTED_VALUE"""),0.0)</f>
        <v>0</v>
      </c>
      <c r="AA265" s="59">
        <f>IFERROR(__xludf.DUMMYFUNCTION("""COMPUTED_VALUE"""),0.0)</f>
        <v>0</v>
      </c>
      <c r="AB265" s="64">
        <f>IFERROR(__xludf.DUMMYFUNCTION("""COMPUTED_VALUE"""),0.0)</f>
        <v>0</v>
      </c>
      <c r="AC265" s="62">
        <f>IFERROR(__xludf.DUMMYFUNCTION("""COMPUTED_VALUE"""),0.0258)</f>
        <v>0.0258</v>
      </c>
      <c r="AD265" s="62">
        <f>IFERROR(__xludf.DUMMYFUNCTION("""COMPUTED_VALUE"""),0.0)</f>
        <v>0</v>
      </c>
      <c r="AE265" s="62">
        <f>IFERROR(__xludf.DUMMYFUNCTION("""COMPUTED_VALUE"""),0.0)</f>
        <v>0</v>
      </c>
      <c r="AF265" s="55"/>
      <c r="AG265" s="55"/>
      <c r="AH265" s="55"/>
      <c r="AI265" s="55"/>
      <c r="AJ265" s="55"/>
      <c r="AK265" s="55"/>
      <c r="AL265" s="55"/>
      <c r="AM265" s="55" t="str">
        <f>IFERROR(__xludf.DUMMYFUNCTION("""COMPUTED_VALUE"""),"Q9jTBBUVtC83ZYOhuT-3h4jCAEQmFO7vgv6Lm8GeaoWGhUVctSswNMSoa7cdiRGRUQ")</f>
        <v>Q9jTBBUVtC83ZYOhuT-3h4jCAEQmFO7vgv6Lm8GeaoWGhUVctSswNMSoa7cdiRGRUQ</v>
      </c>
      <c r="AN265" s="55"/>
      <c r="AO265" s="55" t="str">
        <f>IFERROR(__xludf.DUMMYFUNCTION("""COMPUTED_VALUE"""),"NA")</f>
        <v>NA</v>
      </c>
      <c r="AP265" s="55" t="str">
        <f>IFERROR(__xludf.DUMMYFUNCTION("""COMPUTED_VALUE"""),"NA")</f>
        <v>NA</v>
      </c>
      <c r="AQ265" s="55" t="str">
        <f>IFERROR(__xludf.DUMMYFUNCTION("""COMPUTED_VALUE"""),"NA")</f>
        <v>NA</v>
      </c>
      <c r="AR265" s="55" t="str">
        <f>IFERROR(__xludf.DUMMYFUNCTION("""COMPUTED_VALUE"""),"If you were told that now that you're over 40, you need to give up your morning coffee, same.")</f>
        <v>If you were told that now that you're over 40, you need to give up your morning coffee, same.</v>
      </c>
      <c r="AS265" s="55" t="str">
        <f>IFERROR(__xludf.DUMMYFUNCTION("""COMPUTED_VALUE"""),"Age / Life Stage")</f>
        <v>Age / Life Stage</v>
      </c>
      <c r="AT265" s="55" t="str">
        <f>IFERROR(__xludf.DUMMYFUNCTION("""COMPUTED_VALUE"""),"• It also has things in it like turmeric and L-theanine and lion's mane, things that I was already taking supplements for anyway.
• Morning coffee is a non-negotiable for me.
• And this new ashwagandha coffee from Vadam actually supports my hormones.
• So"&amp;" now I can just get it in my coffee and it makes it that much easier.")</f>
        <v>• It also has things in it like turmeric and L-theanine and lion's mane, things that I was already taking supplements for anyway.
• Morning coffee is a non-negotiable for me.
• And this new ashwagandha coffee from Vadam actually supports my hormones.
• So now I can just get it in my coffee and it makes it that much easier.</v>
      </c>
      <c r="AU265" s="55" t="str">
        <f>IFERROR(__xludf.DUMMYFUNCTION("""COMPUTED_VALUE"""),"So the next time you're at Target, grab some, or it's also available on target.com.")</f>
        <v>So the next time you're at Target, grab some, or it's also available on target.com.</v>
      </c>
      <c r="AV265" s="55" t="str">
        <f>IFERROR(__xludf.DUMMYFUNCTION("""COMPUTED_VALUE"""),"If you were told that now that you're over 40, you need to give up your morning coffee, same. And I found the perfect swap. Morning coffee is a non-negotiable for me. And this new ashwagandha coffee from Vadam actually supports my hormones. It also has th"&amp;"ings in it like turmeric and L-theanine and lion's mane, things that I was already taking supplements for anyway. So now I can just get it in my coffee and it makes it that much easier. And yes, it actually tastes like coffee. It actually probably tastes "&amp;"better than my regular coffee. So the next time you're at Target, grab some, or it's also available on target.com.")</f>
        <v>If you were told that now that you're over 40, you need to give up your morning coffee, same. And I found the perfect swap. Morning coffee is a non-negotiable for me. And this new ashwagandha coffee from Vadam actually supports my hormones. It also has things in it like turmeric and L-theanine and lion's mane, things that I was already taking supplements for anyway. So now I can just get it in my coffee and it makes it that much easier. And yes, it actually tastes like coffee. It actually probably tastes better than my regular coffee. So the next time you're at Target, grab some, or it's also available on target.com.</v>
      </c>
      <c r="AW265" s="35"/>
      <c r="AX265" s="35"/>
      <c r="AY265" s="35"/>
      <c r="AZ265" s="35"/>
      <c r="BA265" s="35"/>
      <c r="BB265" s="35"/>
      <c r="BC265" s="35"/>
      <c r="BD265" s="35"/>
      <c r="BE265" s="35"/>
      <c r="BF265" s="35"/>
      <c r="BG265" s="35"/>
    </row>
    <row r="266" ht="15.75" customHeight="1">
      <c r="A266" s="55" t="str">
        <f>IFERROR(__xludf.DUMMYFUNCTION("""COMPUTED_VALUE"""),"Instagram")</f>
        <v>Instagram</v>
      </c>
      <c r="B266" s="56">
        <f>IFERROR(__xludf.DUMMYFUNCTION("""COMPUTED_VALUE"""),46192.0)</f>
        <v>46192</v>
      </c>
      <c r="C266" s="55" t="str">
        <f>IFERROR(__xludf.DUMMYFUNCTION("""COMPUTED_VALUE"""),"June")</f>
        <v>June</v>
      </c>
      <c r="D266" s="58" t="str">
        <f>IFERROR(__xludf.DUMMYFUNCTION("""COMPUTED_VALUE"""),"https://www.instagram.com/reel/DZus_yrRdEe/")</f>
        <v>https://www.instagram.com/reel/DZus_yrRdEe/</v>
      </c>
      <c r="E266" s="55" t="str">
        <f>IFERROR(__xludf.DUMMYFUNCTION("""COMPUTED_VALUE"""),"itsmeaghanjackson")</f>
        <v>itsmeaghanjackson</v>
      </c>
      <c r="F266" s="55" t="str">
        <f>IFERROR(__xludf.DUMMYFUNCTION("""COMPUTED_VALUE"""),"NA")</f>
        <v>NA</v>
      </c>
      <c r="G266" s="55" t="str">
        <f>IFERROR(__xludf.DUMMYFUNCTION("""COMPUTED_VALUE"""),"Gummies vs Coffee")</f>
        <v>Gummies vs Coffee</v>
      </c>
      <c r="H266" s="55">
        <f>IFERROR(__xludf.DUMMYFUNCTION("""COMPUTED_VALUE"""),53.0)</f>
        <v>53</v>
      </c>
      <c r="I266" s="55">
        <f>IFERROR(__xludf.DUMMYFUNCTION("""COMPUTED_VALUE"""),33.7)</f>
        <v>33.7</v>
      </c>
      <c r="J266" s="55" t="str">
        <f>IFERROR(__xludf.DUMMYFUNCTION("""COMPUTED_VALUE"""),"Yes – Recommend")</f>
        <v>Yes – Recommend</v>
      </c>
      <c r="K266" s="55" t="str">
        <f>IFERROR(__xludf.DUMMYFUNCTION("""COMPUTED_VALUE"""),"Yes")</f>
        <v>Yes</v>
      </c>
      <c r="L266" s="55" t="str">
        <f>IFERROR(__xludf.DUMMYFUNCTION("""COMPUTED_VALUE"""),"Score 35.2 ≥ 20 threshold")</f>
        <v>Score 35.2 ≥ 20 threshold</v>
      </c>
      <c r="M266" s="59" t="str">
        <f>IFERROR(__xludf.DUMMYFUNCTION("""COMPUTED_VALUE"""),"No Ad Data")</f>
        <v>No Ad Data</v>
      </c>
      <c r="N266" s="55" t="str">
        <f>IFERROR(__xludf.DUMMYFUNCTION("""COMPUTED_VALUE"""),"24UGC-Gummies-CTA-itsmeaghanjackson")</f>
        <v>24UGC-Gummies-CTA-itsmeaghanjackson</v>
      </c>
      <c r="O266" s="77" t="str">
        <f>IFERROR(__xludf.DUMMYFUNCTION("""COMPUTED_VALUE"""),"https://buy.vahdam.com/coffee-cta-ugc-gummies")</f>
        <v>https://buy.vahdam.com/coffee-cta-ugc-gummies</v>
      </c>
      <c r="P266" s="59">
        <f>IFERROR(__xludf.DUMMYFUNCTION("""COMPUTED_VALUE"""),258.0)</f>
        <v>258</v>
      </c>
      <c r="Q266" s="59">
        <f>IFERROR(__xludf.DUMMYFUNCTION("""COMPUTED_VALUE"""),19.0)</f>
        <v>19</v>
      </c>
      <c r="R266" s="59">
        <f>IFERROR(__xludf.DUMMYFUNCTION("""COMPUTED_VALUE"""),17.0)</f>
        <v>17</v>
      </c>
      <c r="S266" s="55"/>
      <c r="T266" s="68">
        <f>IFERROR(__xludf.DUMMYFUNCTION("""COMPUTED_VALUE"""),0.0)</f>
        <v>0</v>
      </c>
      <c r="U266" s="55"/>
      <c r="V266" s="62">
        <f>IFERROR(__xludf.DUMMYFUNCTION("""COMPUTED_VALUE"""),0.1385)</f>
        <v>0.1385</v>
      </c>
      <c r="W266" s="63">
        <f>IFERROR(__xludf.DUMMYFUNCTION("""COMPUTED_VALUE"""),72.99)</f>
        <v>72.99</v>
      </c>
      <c r="X266" s="59">
        <f>IFERROR(__xludf.DUMMYFUNCTION("""COMPUTED_VALUE"""),258.0)</f>
        <v>258</v>
      </c>
      <c r="Y266" s="59">
        <f>IFERROR(__xludf.DUMMYFUNCTION("""COMPUTED_VALUE"""),19.0)</f>
        <v>19</v>
      </c>
      <c r="Z266" s="59">
        <f>IFERROR(__xludf.DUMMYFUNCTION("""COMPUTED_VALUE"""),17.0)</f>
        <v>17</v>
      </c>
      <c r="AA266" s="59">
        <f>IFERROR(__xludf.DUMMYFUNCTION("""COMPUTED_VALUE"""),0.0)</f>
        <v>0</v>
      </c>
      <c r="AB266" s="64">
        <f>IFERROR(__xludf.DUMMYFUNCTION("""COMPUTED_VALUE"""),0.0)</f>
        <v>0</v>
      </c>
      <c r="AC266" s="62">
        <f>IFERROR(__xludf.DUMMYFUNCTION("""COMPUTED_VALUE"""),0.1385)</f>
        <v>0.1385</v>
      </c>
      <c r="AD266" s="62">
        <f>IFERROR(__xludf.DUMMYFUNCTION("""COMPUTED_VALUE"""),0.0)</f>
        <v>0</v>
      </c>
      <c r="AE266" s="62">
        <f>IFERROR(__xludf.DUMMYFUNCTION("""COMPUTED_VALUE"""),0.0)</f>
        <v>0</v>
      </c>
      <c r="AF266" s="55"/>
      <c r="AG266" s="55"/>
      <c r="AH266" s="55"/>
      <c r="AI266" s="55"/>
      <c r="AJ266" s="55"/>
      <c r="AK266" s="55"/>
      <c r="AL266" s="55"/>
      <c r="AM266" s="55" t="str">
        <f>IFERROR(__xludf.DUMMYFUNCTION("""COMPUTED_VALUE"""),"Q9jTBBWXDoA-g62wiFnvwFrjchP-FLiegv5gugm1bzyj6ivexSky_E_nSV4Akp9TSyg")</f>
        <v>Q9jTBBWXDoA-g62wiFnvwFrjchP-FLiegv5gugm1bzyj6ivexSky_E_nSV4Akp9TSyg</v>
      </c>
      <c r="AN266" s="55" t="str">
        <f>IFERROR(__xludf.DUMMYFUNCTION("""COMPUTED_VALUE"""),"Goli Comp")</f>
        <v>Goli Comp</v>
      </c>
      <c r="AO266" s="55" t="str">
        <f>IFERROR(__xludf.DUMMYFUNCTION("""COMPUTED_VALUE"""),"NA")</f>
        <v>NA</v>
      </c>
      <c r="AP266" s="55" t="str">
        <f>IFERROR(__xludf.DUMMYFUNCTION("""COMPUTED_VALUE"""),"NA")</f>
        <v>NA</v>
      </c>
      <c r="AQ266" s="55" t="str">
        <f>IFERROR(__xludf.DUMMYFUNCTION("""COMPUTED_VALUE"""),"NA")</f>
        <v>NA</v>
      </c>
      <c r="AR266" s="55" t="str">
        <f>IFERROR(__xludf.DUMMYFUNCTION("""COMPUTED_VALUE"""),"I eating ashwagandha gummies when I already drink coffee every single morning.")</f>
        <v>I eating ashwagandha gummies when I already drink coffee every single morning.</v>
      </c>
      <c r="AS266" s="55" t="str">
        <f>IFERROR(__xludf.DUMMYFUNCTION("""COMPUTED_VALUE"""),"General / Lifestyle")</f>
        <v>General / Lifestyle</v>
      </c>
      <c r="AT266" s="55" t="str">
        <f>IFERROR(__xludf.DUMMYFUNCTION("""COMPUTED_VALUE"""),"• For the longest time I was taking ashwagandha gummies and trying to remember to take them every day but there's one thing I never forget my morning coffee.
• It has KSM 66 ashwagandha plus turmeric, l-thymine, shaga and lion's mane all in a habit I alre"&amp;"ady do every day.
• So when I found Fadam ashwagandha coffee at Target I had to try it.
• I just needed a better version of my morning coffee.")</f>
        <v>• For the longest time I was taking ashwagandha gummies and trying to remember to take them every day but there's one thing I never forget my morning coffee.
• It has KSM 66 ashwagandha plus turmeric, l-thymine, shaga and lion's mane all in a habit I already do every day.
• So when I found Fadam ashwagandha coffee at Target I had to try it.
• I just needed a better version of my morning coffee.</v>
      </c>
      <c r="AU266" s="55" t="str">
        <f>IFERROR(__xludf.DUMMYFUNCTION("""COMPUTED_VALUE"""),"If you're looking for an easier way to get your ashwagandha you can find Vadam ashwagandha coffee at Target stores nationwide or online at Target.com")</f>
        <v>If you're looking for an easier way to get your ashwagandha you can find Vadam ashwagandha coffee at Target stores nationwide or online at Target.com</v>
      </c>
      <c r="AV266" s="55" t="str">
        <f>IFERROR(__xludf.DUMMYFUNCTION("""COMPUTED_VALUE"""),"I eating ashwagandha gummies when I already drink coffee every single morning. For the longest time I was taking ashwagandha gummies and trying to remember to take them every day but there's one thing I never forget my morning coffee. So when I found Fada"&amp;"m ashwagandha coffee at Target I had to try it. It has KSM 66 ashwagandha plus turmeric, l-thymine, shaga and lion's mane all in a habit I already do every day. With every cup, I get my ashwagandha and two cups provide half of the daily recommended dose. "&amp;"Honestly, I feel a little silly for not finding this sooner. I didn't need another supplement sitting on my counter. I just needed a better version of my morning coffee. And the best part, it actually tastes like delicious regular coffee. The gummies are "&amp;"still sitting on the counter, but the coffee is already in my cup. If you're looking for an easier way to get your ashwagandha you can find Vadam ashwagandha coffee at Target stores nationwide or online at Target.com")</f>
        <v>I eating ashwagandha gummies when I already drink coffee every single morning. For the longest time I was taking ashwagandha gummies and trying to remember to take them every day but there's one thing I never forget my morning coffee. So when I found Fadam ashwagandha coffee at Target I had to try it. It has KSM 66 ashwagandha plus turmeric, l-thymine, shaga and lion's mane all in a habit I already do every day. With every cup, I get my ashwagandha and two cups provide half of the daily recommended dose. Honestly, I feel a little silly for not finding this sooner. I didn't need another supplement sitting on my counter. I just needed a better version of my morning coffee. And the best part, it actually tastes like delicious regular coffee. The gummies are still sitting on the counter, but the coffee is already in my cup. If you're looking for an easier way to get your ashwagandha you can find Vadam ashwagandha coffee at Target stores nationwide or online at Target.com</v>
      </c>
      <c r="AW266" s="35"/>
      <c r="AX266" s="35"/>
      <c r="AY266" s="35"/>
      <c r="AZ266" s="35"/>
      <c r="BA266" s="35"/>
      <c r="BB266" s="35"/>
      <c r="BC266" s="35"/>
      <c r="BD266" s="35"/>
      <c r="BE266" s="35"/>
      <c r="BF266" s="35"/>
      <c r="BG266" s="35"/>
    </row>
    <row r="267" ht="15.75" customHeight="1">
      <c r="A267" s="55" t="str">
        <f>IFERROR(__xludf.DUMMYFUNCTION("""COMPUTED_VALUE"""),"Instagram")</f>
        <v>Instagram</v>
      </c>
      <c r="B267" s="56">
        <f>IFERROR(__xludf.DUMMYFUNCTION("""COMPUTED_VALUE"""),46199.0)</f>
        <v>46199</v>
      </c>
      <c r="C267" s="55" t="str">
        <f>IFERROR(__xludf.DUMMYFUNCTION("""COMPUTED_VALUE"""),"June")</f>
        <v>June</v>
      </c>
      <c r="D267" s="58" t="str">
        <f>IFERROR(__xludf.DUMMYFUNCTION("""COMPUTED_VALUE"""),"https://www.instagram.com/reel/DaBKsMvRPky/")</f>
        <v>https://www.instagram.com/reel/DaBKsMvRPky/</v>
      </c>
      <c r="E267" s="55" t="str">
        <f>IFERROR(__xludf.DUMMYFUNCTION("""COMPUTED_VALUE"""),"taticamparin.ugc")</f>
        <v>taticamparin.ugc</v>
      </c>
      <c r="F267" s="55" t="str">
        <f>IFERROR(__xludf.DUMMYFUNCTION("""COMPUTED_VALUE"""),"NA")</f>
        <v>NA</v>
      </c>
      <c r="G267" s="55" t="str">
        <f>IFERROR(__xludf.DUMMYFUNCTION("""COMPUTED_VALUE"""),"Cortisol")</f>
        <v>Cortisol</v>
      </c>
      <c r="H267" s="55">
        <f>IFERROR(__xludf.DUMMYFUNCTION("""COMPUTED_VALUE"""),47.0)</f>
        <v>47</v>
      </c>
      <c r="I267" s="55">
        <f>IFERROR(__xludf.DUMMYFUNCTION("""COMPUTED_VALUE"""),23.6)</f>
        <v>23.6</v>
      </c>
      <c r="J267" s="55" t="str">
        <f>IFERROR(__xludf.DUMMYFUNCTION("""COMPUTED_VALUE"""),"Yes – Recommend")</f>
        <v>Yes – Recommend</v>
      </c>
      <c r="K267" s="55" t="str">
        <f>IFERROR(__xludf.DUMMYFUNCTION("""COMPUTED_VALUE"""),"Yes")</f>
        <v>Yes</v>
      </c>
      <c r="L267" s="55" t="str">
        <f>IFERROR(__xludf.DUMMYFUNCTION("""COMPUTED_VALUE"""),"Score 24.5 ≥ 20 threshold")</f>
        <v>Score 24.5 ≥ 20 threshold</v>
      </c>
      <c r="M267" s="59" t="str">
        <f>IFERROR(__xludf.DUMMYFUNCTION("""COMPUTED_VALUE"""),"No Ad Data")</f>
        <v>No Ad Data</v>
      </c>
      <c r="N267" s="55" t="str">
        <f>IFERROR(__xludf.DUMMYFUNCTION("""COMPUTED_VALUE"""),"6UGC-Cortisol-CTA-taticamparin.ugc")</f>
        <v>6UGC-Cortisol-CTA-taticamparin.ugc</v>
      </c>
      <c r="O267" s="58" t="str">
        <f>IFERROR(__xludf.DUMMYFUNCTION("""COMPUTED_VALUE"""),"https://buy.vahdam.com/coffee-cta-ugc-cortisol")</f>
        <v>https://buy.vahdam.com/coffee-cta-ugc-cortisol</v>
      </c>
      <c r="P267" s="59">
        <f>IFERROR(__xludf.DUMMYFUNCTION("""COMPUTED_VALUE"""),236.0)</f>
        <v>236</v>
      </c>
      <c r="Q267" s="59">
        <f>IFERROR(__xludf.DUMMYFUNCTION("""COMPUTED_VALUE"""),6.0)</f>
        <v>6</v>
      </c>
      <c r="R267" s="59">
        <f>IFERROR(__xludf.DUMMYFUNCTION("""COMPUTED_VALUE"""),1.0)</f>
        <v>1</v>
      </c>
      <c r="S267" s="55"/>
      <c r="T267" s="68">
        <f>IFERROR(__xludf.DUMMYFUNCTION("""COMPUTED_VALUE"""),0.0)</f>
        <v>0</v>
      </c>
      <c r="U267" s="55"/>
      <c r="V267" s="62">
        <f>IFERROR(__xludf.DUMMYFUNCTION("""COMPUTED_VALUE"""),0.0)</f>
        <v>0</v>
      </c>
      <c r="W267" s="63">
        <f>IFERROR(__xludf.DUMMYFUNCTION("""COMPUTED_VALUE"""),117.58)</f>
        <v>117.58</v>
      </c>
      <c r="X267" s="59">
        <f>IFERROR(__xludf.DUMMYFUNCTION("""COMPUTED_VALUE"""),236.0)</f>
        <v>236</v>
      </c>
      <c r="Y267" s="59">
        <f>IFERROR(__xludf.DUMMYFUNCTION("""COMPUTED_VALUE"""),6.0)</f>
        <v>6</v>
      </c>
      <c r="Z267" s="59">
        <f>IFERROR(__xludf.DUMMYFUNCTION("""COMPUTED_VALUE"""),1.0)</f>
        <v>1</v>
      </c>
      <c r="AA267" s="59">
        <f>IFERROR(__xludf.DUMMYFUNCTION("""COMPUTED_VALUE"""),0.0)</f>
        <v>0</v>
      </c>
      <c r="AB267" s="64">
        <f>IFERROR(__xludf.DUMMYFUNCTION("""COMPUTED_VALUE"""),0.0)</f>
        <v>0</v>
      </c>
      <c r="AC267" s="62">
        <f>IFERROR(__xludf.DUMMYFUNCTION("""COMPUTED_VALUE"""),0.0)</f>
        <v>0</v>
      </c>
      <c r="AD267" s="62">
        <f>IFERROR(__xludf.DUMMYFUNCTION("""COMPUTED_VALUE"""),0.0)</f>
        <v>0</v>
      </c>
      <c r="AE267" s="62">
        <f>IFERROR(__xludf.DUMMYFUNCTION("""COMPUTED_VALUE"""),0.0)</f>
        <v>0</v>
      </c>
      <c r="AF267" s="55" t="str">
        <f>IFERROR(__xludf.DUMMYFUNCTION("""COMPUTED_VALUE"""),"Yes")</f>
        <v>Yes</v>
      </c>
      <c r="AG267" s="55"/>
      <c r="AH267" s="55"/>
      <c r="AI267" s="55"/>
      <c r="AJ267" s="55"/>
      <c r="AK267" s="55"/>
      <c r="AL267" s="55"/>
      <c r="AM267" s="55" t="str">
        <f>IFERROR(__xludf.DUMMYFUNCTION("""COMPUTED_VALUE"""),"Q9jTBBWgMm91hfXxeyoiBTJflKPqJwZkNrKF4rO2vBSU97FE_7zARFt0nn2SoGMBHxs")</f>
        <v>Q9jTBBWgMm91hfXxeyoiBTJflKPqJwZkNrKF4rO2vBSU97FE_7zARFt0nn2SoGMBHxs</v>
      </c>
      <c r="AN267" s="55"/>
      <c r="AO267" s="55" t="str">
        <f>IFERROR(__xludf.DUMMYFUNCTION("""COMPUTED_VALUE"""),"NA")</f>
        <v>NA</v>
      </c>
      <c r="AP267" s="55" t="str">
        <f>IFERROR(__xludf.DUMMYFUNCTION("""COMPUTED_VALUE"""),"NA")</f>
        <v>NA</v>
      </c>
      <c r="AQ267" s="55" t="str">
        <f>IFERROR(__xludf.DUMMYFUNCTION("""COMPUTED_VALUE"""),"NA")</f>
        <v>NA</v>
      </c>
      <c r="AR267" s="55" t="str">
        <f>IFERROR(__xludf.DUMMYFUNCTION("""COMPUTED_VALUE"""),"At 43, I wasn't ready to give up my morning coffee.")</f>
        <v>At 43, I wasn't ready to give up my morning coffee.</v>
      </c>
      <c r="AS267" s="55" t="str">
        <f>IFERROR(__xludf.DUMMYFUNCTION("""COMPUTED_VALUE"""),"General / Lifestyle")</f>
        <v>General / Lifestyle</v>
      </c>
      <c r="AT267" s="55" t="str">
        <f>IFERROR(__xludf.DUMMYFUNCTION("""COMPUTED_VALUE"""),"• It's coffee with KSM 66 Ashwagandha, L-theanine, turmeric, lion's mane, plus chaga.
• One of the reasons it caught my attention is that two cups provide 300 milligrams of KSM66 ashwagandha, clinically studied to support stress management and reduce cort"&amp;"isol.
• What I love most is that it still tastes like delicious coffee.
• Then I discovered Veden Ashwagandha Coffee, now available at Target.")</f>
        <v>• It's coffee with KSM 66 Ashwagandha, L-theanine, turmeric, lion's mane, plus chaga.
• One of the reasons it caught my attention is that two cups provide 300 milligrams of KSM66 ashwagandha, clinically studied to support stress management and reduce cortisol.
• What I love most is that it still tastes like delicious coffee.
• Then I discovered Veden Ashwagandha Coffee, now available at Target.</v>
      </c>
      <c r="AU267" s="55" t="str">
        <f>IFERROR(__xludf.DUMMYFUNCTION("""COMPUTED_VALUE"""),"You can find Vandam ashwagandha coffee at Target stores nationwide and on target.com.")</f>
        <v>You can find Vandam ashwagandha coffee at Target stores nationwide and on target.com.</v>
      </c>
      <c r="AV267" s="55" t="str">
        <f>IFERROR(__xludf.DUMMYFUNCTION("""COMPUTED_VALUE"""),"At 43, I wasn't ready to give up my morning coffee. I just wanted more from it. Then I discovered Veden Ashwagandha Coffee, now available at Target. It's coffee with KSM 66 Ashwagandha, L-theanine, turmeric, lion's mane, plus chaga. What I love most is th"&amp;"at it still tastes like delicious coffee. It feels like a simple wellness upgrade to something I already do every day. One of the reasons it caught my attention is that two cups provide 300 milligrams of KSM66 ashwagandha, clinically studied to support st"&amp;"ress management and reduce cortisol. Same coffee ritual, just upgraded. You can find Vandam ashwagandha coffee at Target stores nationwide and on target.com.")</f>
        <v>At 43, I wasn't ready to give up my morning coffee. I just wanted more from it. Then I discovered Veden Ashwagandha Coffee, now available at Target. It's coffee with KSM 66 Ashwagandha, L-theanine, turmeric, lion's mane, plus chaga. What I love most is that it still tastes like delicious coffee. It feels like a simple wellness upgrade to something I already do every day. One of the reasons it caught my attention is that two cups provide 300 milligrams of KSM66 ashwagandha, clinically studied to support stress management and reduce cortisol. Same coffee ritual, just upgraded. You can find Vandam ashwagandha coffee at Target stores nationwide and on target.com.</v>
      </c>
      <c r="AW267" s="35"/>
      <c r="AX267" s="35"/>
      <c r="AY267" s="35"/>
      <c r="AZ267" s="35"/>
      <c r="BA267" s="35"/>
      <c r="BB267" s="35"/>
      <c r="BC267" s="35"/>
      <c r="BD267" s="35"/>
      <c r="BE267" s="35"/>
      <c r="BF267" s="35"/>
      <c r="BG267" s="35"/>
    </row>
    <row r="268" ht="15.75" customHeight="1">
      <c r="A268" s="55" t="str">
        <f>IFERROR(__xludf.DUMMYFUNCTION("""COMPUTED_VALUE"""),"Instagram")</f>
        <v>Instagram</v>
      </c>
      <c r="B268" s="56">
        <f>IFERROR(__xludf.DUMMYFUNCTION("""COMPUTED_VALUE"""),46199.0)</f>
        <v>46199</v>
      </c>
      <c r="C268" s="55" t="str">
        <f>IFERROR(__xludf.DUMMYFUNCTION("""COMPUTED_VALUE"""),"June")</f>
        <v>June</v>
      </c>
      <c r="D268" s="58" t="str">
        <f>IFERROR(__xludf.DUMMYFUNCTION("""COMPUTED_VALUE"""),"https://www.instagram.com/reel/DaAbIkcTOo7/")</f>
        <v>https://www.instagram.com/reel/DaAbIkcTOo7/</v>
      </c>
      <c r="E268" s="55" t="str">
        <f>IFERROR(__xludf.DUMMYFUNCTION("""COMPUTED_VALUE"""),"family.tips.review")</f>
        <v>family.tips.review</v>
      </c>
      <c r="F268" s="55" t="str">
        <f>IFERROR(__xludf.DUMMYFUNCTION("""COMPUTED_VALUE"""),"NA")</f>
        <v>NA</v>
      </c>
      <c r="G268" s="55" t="str">
        <f>IFERROR(__xludf.DUMMYFUNCTION("""COMPUTED_VALUE"""),"Target Shelf Showdown")</f>
        <v>Target Shelf Showdown</v>
      </c>
      <c r="H268" s="55">
        <f>IFERROR(__xludf.DUMMYFUNCTION("""COMPUTED_VALUE"""),26.0)</f>
        <v>26</v>
      </c>
      <c r="I268" s="55">
        <f>IFERROR(__xludf.DUMMYFUNCTION("""COMPUTED_VALUE"""),28.9)</f>
        <v>28.9</v>
      </c>
      <c r="J268" s="55" t="str">
        <f>IFERROR(__xludf.DUMMYFUNCTION("""COMPUTED_VALUE"""),"Yes – Recommend")</f>
        <v>Yes – Recommend</v>
      </c>
      <c r="K268" s="55" t="str">
        <f>IFERROR(__xludf.DUMMYFUNCTION("""COMPUTED_VALUE"""),"Yes")</f>
        <v>Yes</v>
      </c>
      <c r="L268" s="55" t="str">
        <f>IFERROR(__xludf.DUMMYFUNCTION("""COMPUTED_VALUE"""),"Score 30.4 ≥ 20 threshold")</f>
        <v>Score 30.4 ≥ 20 threshold</v>
      </c>
      <c r="M268" s="59" t="str">
        <f>IFERROR(__xludf.DUMMYFUNCTION("""COMPUTED_VALUE"""),"No Ad Data")</f>
        <v>No Ad Data</v>
      </c>
      <c r="N268" s="55" t="str">
        <f>IFERROR(__xludf.DUMMYFUNCTION("""COMPUTED_VALUE"""),"30UGC-Targetshelf-CTA-family.tips.review")</f>
        <v>30UGC-Targetshelf-CTA-family.tips.review</v>
      </c>
      <c r="O268" s="58" t="str">
        <f>IFERROR(__xludf.DUMMYFUNCTION("""COMPUTED_VALUE"""),"https://buy.vahdam.com/coffee-cta-ugc-targetstore")</f>
        <v>https://buy.vahdam.com/coffee-cta-ugc-targetstore</v>
      </c>
      <c r="P268" s="59">
        <f>IFERROR(__xludf.DUMMYFUNCTION("""COMPUTED_VALUE"""),234.0)</f>
        <v>234</v>
      </c>
      <c r="Q268" s="59">
        <f>IFERROR(__xludf.DUMMYFUNCTION("""COMPUTED_VALUE"""),18.0)</f>
        <v>18</v>
      </c>
      <c r="R268" s="59">
        <f>IFERROR(__xludf.DUMMYFUNCTION("""COMPUTED_VALUE"""),2.0)</f>
        <v>2</v>
      </c>
      <c r="S268" s="55"/>
      <c r="T268" s="68">
        <f>IFERROR(__xludf.DUMMYFUNCTION("""COMPUTED_VALUE"""),0.0)</f>
        <v>0</v>
      </c>
      <c r="U268" s="55"/>
      <c r="V268" s="62">
        <f>IFERROR(__xludf.DUMMYFUNCTION("""COMPUTED_VALUE"""),0.0)</f>
        <v>0</v>
      </c>
      <c r="W268" s="63">
        <f>IFERROR(__xludf.DUMMYFUNCTION("""COMPUTED_VALUE"""),72.99)</f>
        <v>72.99</v>
      </c>
      <c r="X268" s="59">
        <f>IFERROR(__xludf.DUMMYFUNCTION("""COMPUTED_VALUE"""),234.0)</f>
        <v>234</v>
      </c>
      <c r="Y268" s="59">
        <f>IFERROR(__xludf.DUMMYFUNCTION("""COMPUTED_VALUE"""),18.0)</f>
        <v>18</v>
      </c>
      <c r="Z268" s="59">
        <f>IFERROR(__xludf.DUMMYFUNCTION("""COMPUTED_VALUE"""),2.0)</f>
        <v>2</v>
      </c>
      <c r="AA268" s="59">
        <f>IFERROR(__xludf.DUMMYFUNCTION("""COMPUTED_VALUE"""),0.0)</f>
        <v>0</v>
      </c>
      <c r="AB268" s="64">
        <f>IFERROR(__xludf.DUMMYFUNCTION("""COMPUTED_VALUE"""),0.0)</f>
        <v>0</v>
      </c>
      <c r="AC268" s="62">
        <f>IFERROR(__xludf.DUMMYFUNCTION("""COMPUTED_VALUE"""),0.0)</f>
        <v>0</v>
      </c>
      <c r="AD268" s="62">
        <f>IFERROR(__xludf.DUMMYFUNCTION("""COMPUTED_VALUE"""),0.0)</f>
        <v>0</v>
      </c>
      <c r="AE268" s="62">
        <f>IFERROR(__xludf.DUMMYFUNCTION("""COMPUTED_VALUE"""),0.0)</f>
        <v>0</v>
      </c>
      <c r="AF268" s="55"/>
      <c r="AG268" s="55"/>
      <c r="AH268" s="55"/>
      <c r="AI268" s="55"/>
      <c r="AJ268" s="55"/>
      <c r="AK268" s="55"/>
      <c r="AL268" s="55"/>
      <c r="AM268" s="55" t="str">
        <f>IFERROR(__xludf.DUMMYFUNCTION("""COMPUTED_VALUE"""),"NA")</f>
        <v>NA</v>
      </c>
      <c r="AN268" s="55"/>
      <c r="AO268" s="55" t="str">
        <f>IFERROR(__xludf.DUMMYFUNCTION("""COMPUTED_VALUE"""),"NA")</f>
        <v>NA</v>
      </c>
      <c r="AP268" s="55" t="str">
        <f>IFERROR(__xludf.DUMMYFUNCTION("""COMPUTED_VALUE"""),"NA")</f>
        <v>NA</v>
      </c>
      <c r="AQ268" s="55" t="str">
        <f>IFERROR(__xludf.DUMMYFUNCTION("""COMPUTED_VALUE"""),"NA")</f>
        <v>NA</v>
      </c>
      <c r="AR268" s="55" t="str">
        <f>IFERROR(__xludf.DUMMYFUNCTION("""COMPUTED_VALUE"""),"A colina de café funcional do Target é basicamente a mesma, exceto uma.")</f>
        <v>A colina de café funcional do Target é basicamente a mesma, exceto uma.</v>
      </c>
      <c r="AS268" s="55" t="str">
        <f>IFERROR(__xludf.DUMMYFUNCTION("""COMPUTED_VALUE"""),"In-Store / Target Discovery")</f>
        <v>In-Store / Target Discovery</v>
      </c>
      <c r="AT268" s="55" t="str">
        <f>IFERROR(__xludf.DUMMYFUNCTION("""COMPUTED_VALUE"""),"• Ele tem KSM66 Ashwagandha, plus Elfianin, Lion's Man, Chaga e Turmeric.
• Depois, eu encontrei o café Varan Ashwagandha.
• Eu estava olhando as opções de café funcional e percebi algo interessante.
• A maior foca é nas manteigas.")</f>
        <v>• Ele tem KSM66 Ashwagandha, plus Elfianin, Lion's Man, Chaga e Turmeric.
• Depois, eu encontrei o café Varan Ashwagandha.
• Eu estava olhando as opções de café funcional e percebi algo interessante.
• A maior foca é nas manteigas.</v>
      </c>
      <c r="AU268" s="55" t="str">
        <f>IFERROR(__xludf.DUMMYFUNCTION("""COMPUTED_VALUE"""),"E ele se sente como um café regular delicioso.")</f>
        <v>E ele se sente como um café regular delicioso.</v>
      </c>
      <c r="AV268" s="55" t="str">
        <f>IFERROR(__xludf.DUMMYFUNCTION("""COMPUTED_VALUE"""),"A colina de café funcional do Target é basicamente a mesma, exceto uma. Eu estava olhando as opções de café funcional e percebi algo interessante. A maior foca é nas manteigas. Depois, eu encontrei o café Varan Ashwagandha. Ele tem KSM66 Ashwagandha, plus"&amp;" Elfianin, Lion's Man, Chaga e Turmeric. Eu amo que é mais do que apenas café de manteiga. E ele se sente como um café regular delicioso.")</f>
        <v>A colina de café funcional do Target é basicamente a mesma, exceto uma. Eu estava olhando as opções de café funcional e percebi algo interessante. A maior foca é nas manteigas. Depois, eu encontrei o café Varan Ashwagandha. Ele tem KSM66 Ashwagandha, plus Elfianin, Lion's Man, Chaga e Turmeric. Eu amo que é mais do que apenas café de manteiga. E ele se sente como um café regular delicioso.</v>
      </c>
      <c r="AW268" s="35"/>
      <c r="AX268" s="35"/>
      <c r="AY268" s="35"/>
      <c r="AZ268" s="35"/>
      <c r="BA268" s="35"/>
      <c r="BB268" s="35"/>
      <c r="BC268" s="35"/>
      <c r="BD268" s="35"/>
      <c r="BE268" s="35"/>
      <c r="BF268" s="35"/>
      <c r="BG268" s="35"/>
    </row>
    <row r="269" ht="15.75" customHeight="1">
      <c r="A269" s="55" t="str">
        <f>IFERROR(__xludf.DUMMYFUNCTION("""COMPUTED_VALUE"""),"Instagram")</f>
        <v>Instagram</v>
      </c>
      <c r="B269" s="56">
        <f>IFERROR(__xludf.DUMMYFUNCTION("""COMPUTED_VALUE"""),46187.0)</f>
        <v>46187</v>
      </c>
      <c r="C269" s="55" t="str">
        <f>IFERROR(__xludf.DUMMYFUNCTION("""COMPUTED_VALUE"""),"June")</f>
        <v>June</v>
      </c>
      <c r="D269" s="58" t="str">
        <f>IFERROR(__xludf.DUMMYFUNCTION("""COMPUTED_VALUE"""),"https://www.instagram.com/reel/DZi0NIGtWQ5/")</f>
        <v>https://www.instagram.com/reel/DZi0NIGtWQ5/</v>
      </c>
      <c r="E269" s="55" t="str">
        <f>IFERROR(__xludf.DUMMYFUNCTION("""COMPUTED_VALUE"""),"@na")</f>
        <v>@na</v>
      </c>
      <c r="F269" s="55" t="str">
        <f>IFERROR(__xludf.DUMMYFUNCTION("""COMPUTED_VALUE"""),"NA")</f>
        <v>NA</v>
      </c>
      <c r="G269" s="55" t="str">
        <f>IFERROR(__xludf.DUMMYFUNCTION("""COMPUTED_VALUE"""),"Target Shelf Showdown")</f>
        <v>Target Shelf Showdown</v>
      </c>
      <c r="H269" s="55">
        <f>IFERROR(__xludf.DUMMYFUNCTION("""COMPUTED_VALUE"""),48.0)</f>
        <v>48</v>
      </c>
      <c r="I269" s="55">
        <f>IFERROR(__xludf.DUMMYFUNCTION("""COMPUTED_VALUE"""),19.3)</f>
        <v>19.3</v>
      </c>
      <c r="J269" s="55" t="str">
        <f>IFERROR(__xludf.DUMMYFUNCTION("""COMPUTED_VALUE"""),"Yes – Recommend")</f>
        <v>Yes – Recommend</v>
      </c>
      <c r="K269" s="55" t="str">
        <f>IFERROR(__xludf.DUMMYFUNCTION("""COMPUTED_VALUE"""),"Review before running ads")</f>
        <v>Review before running ads</v>
      </c>
      <c r="L269" s="55" t="str">
        <f>IFERROR(__xludf.DUMMYFUNCTION("""COMPUTED_VALUE"""),"Score 20.1 ≥ 20 threshold")</f>
        <v>Score 20.1 ≥ 20 threshold</v>
      </c>
      <c r="M269" s="59" t="str">
        <f>IFERROR(__xludf.DUMMYFUNCTION("""COMPUTED_VALUE"""),"No Ad Data")</f>
        <v>No Ad Data</v>
      </c>
      <c r="N269" s="55"/>
      <c r="O269" s="55"/>
      <c r="P269" s="59">
        <f>IFERROR(__xludf.DUMMYFUNCTION("""COMPUTED_VALUE"""),228.0)</f>
        <v>228</v>
      </c>
      <c r="Q269" s="59">
        <f>IFERROR(__xludf.DUMMYFUNCTION("""COMPUTED_VALUE"""),3.0)</f>
        <v>3</v>
      </c>
      <c r="R269" s="59">
        <f>IFERROR(__xludf.DUMMYFUNCTION("""COMPUTED_VALUE"""),0.0)</f>
        <v>0</v>
      </c>
      <c r="S269" s="55"/>
      <c r="T269" s="68">
        <f>IFERROR(__xludf.DUMMYFUNCTION("""COMPUTED_VALUE"""),0.0)</f>
        <v>0</v>
      </c>
      <c r="U269" s="55"/>
      <c r="V269" s="62">
        <f>IFERROR(__xludf.DUMMYFUNCTION("""COMPUTED_VALUE"""),0.01315789474)</f>
        <v>0.01315789474</v>
      </c>
      <c r="W269" s="63">
        <f>IFERROR(__xludf.DUMMYFUNCTION("""COMPUTED_VALUE"""),72.99)</f>
        <v>72.99</v>
      </c>
      <c r="X269" s="59">
        <f>IFERROR(__xludf.DUMMYFUNCTION("""COMPUTED_VALUE"""),228.0)</f>
        <v>228</v>
      </c>
      <c r="Y269" s="59">
        <f>IFERROR(__xludf.DUMMYFUNCTION("""COMPUTED_VALUE"""),3.0)</f>
        <v>3</v>
      </c>
      <c r="Z269" s="59">
        <f>IFERROR(__xludf.DUMMYFUNCTION("""COMPUTED_VALUE"""),0.0)</f>
        <v>0</v>
      </c>
      <c r="AA269" s="59">
        <f>IFERROR(__xludf.DUMMYFUNCTION("""COMPUTED_VALUE"""),0.0)</f>
        <v>0</v>
      </c>
      <c r="AB269" s="64">
        <f>IFERROR(__xludf.DUMMYFUNCTION("""COMPUTED_VALUE"""),0.0)</f>
        <v>0</v>
      </c>
      <c r="AC269" s="62">
        <f>IFERROR(__xludf.DUMMYFUNCTION("""COMPUTED_VALUE"""),0.01315789474)</f>
        <v>0.01315789474</v>
      </c>
      <c r="AD269" s="62">
        <f>IFERROR(__xludf.DUMMYFUNCTION("""COMPUTED_VALUE"""),0.0)</f>
        <v>0</v>
      </c>
      <c r="AE269" s="62">
        <f>IFERROR(__xludf.DUMMYFUNCTION("""COMPUTED_VALUE"""),0.0)</f>
        <v>0</v>
      </c>
      <c r="AF269" s="55"/>
      <c r="AG269" s="55"/>
      <c r="AH269" s="55"/>
      <c r="AI269" s="55"/>
      <c r="AJ269" s="55"/>
      <c r="AK269" s="55"/>
      <c r="AL269" s="55"/>
      <c r="AM269" s="55" t="str">
        <f>IFERROR(__xludf.DUMMYFUNCTION("""COMPUTED_VALUE"""),"Q9jTBBW7CcEgQGFzCmOmjOo6nLga5I1R16cRJWbCRMUO9GYR-QKT-5CA6q_4Pt89Skw")</f>
        <v>Q9jTBBW7CcEgQGFzCmOmjOo6nLga5I1R16cRJWbCRMUO9GYR-QKT-5CA6q_4Pt89Skw</v>
      </c>
      <c r="AN269" s="55"/>
      <c r="AO269" s="55" t="str">
        <f>IFERROR(__xludf.DUMMYFUNCTION("""COMPUTED_VALUE"""),"NA")</f>
        <v>NA</v>
      </c>
      <c r="AP269" s="55" t="str">
        <f>IFERROR(__xludf.DUMMYFUNCTION("""COMPUTED_VALUE"""),"NA")</f>
        <v>NA</v>
      </c>
      <c r="AQ269" s="55" t="str">
        <f>IFERROR(__xludf.DUMMYFUNCTION("""COMPUTED_VALUE"""),"NA")</f>
        <v>NA</v>
      </c>
      <c r="AR269" s="55" t="str">
        <f>IFERROR(__xludf.DUMMYFUNCTION("""COMPUTED_VALUE"""),"If you're looking for a better coffee option, come with me.")</f>
        <v>If you're looking for a better coffee option, come with me.</v>
      </c>
      <c r="AS269" s="55" t="str">
        <f>IFERROR(__xludf.DUMMYFUNCTION("""COMPUTED_VALUE"""),"Call-Out / If You")</f>
        <v>Call-Out / If You</v>
      </c>
      <c r="AT269" s="55" t="str">
        <f>IFERROR(__xludf.DUMMYFUNCTION("""COMPUTED_VALUE"""),"• It also includes L-theanine, turmeric, lion's mane, and chaga.
• Target's entire functional coffee aisle is basically the same product, except one.
• This is the Vaadan Ashwagandha coffee.
• It has 300 milligrams of KSM 66 Ashwagandha per serving, the c"&amp;"linically studied patent form of Ashwagandha.")</f>
        <v>• It also includes L-theanine, turmeric, lion's mane, and chaga.
• Target's entire functional coffee aisle is basically the same product, except one.
• This is the Vaadan Ashwagandha coffee.
• It has 300 milligrams of KSM 66 Ashwagandha per serving, the clinically studied patent form of Ashwagandha.</v>
      </c>
      <c r="AU269" s="55" t="str">
        <f>IFERROR(__xludf.DUMMYFUNCTION("""COMPUTED_VALUE"""),"If you're shopping the functional coffee aisle at Target, this is the one for you.")</f>
        <v>If you're shopping the functional coffee aisle at Target, this is the one for you.</v>
      </c>
      <c r="AV269" s="55" t="str">
        <f>IFERROR(__xludf.DUMMYFUNCTION("""COMPUTED_VALUE"""),"If you're looking for a better coffee option, come with me. Target's entire functional coffee aisle is basically the same product, except one. This one? Mushroom coffee. Lyomane, Chaga, Reishi. This one? Mushroom blend. Different branding, similar idea. I"&amp;" kept looking through the options and here's what I found. This is the Vaadan Ashwagandha coffee. It has 300 milligrams of KSM 66 Ashwagandha per serving, the clinically studied patent form of Ashwagandha. It also includes L-theanine, turmeric, lion's man"&amp;"e, and chaga. It's a lot packed in just one cup of coffee. And honestly, it tastes like regular coffee. If you're shopping the functional coffee aisle at Target, this is the one for you. Check it out!")</f>
        <v>If you're looking for a better coffee option, come with me. Target's entire functional coffee aisle is basically the same product, except one. This one? Mushroom coffee. Lyomane, Chaga, Reishi. This one? Mushroom blend. Different branding, similar idea. I kept looking through the options and here's what I found. This is the Vaadan Ashwagandha coffee. It has 300 milligrams of KSM 66 Ashwagandha per serving, the clinically studied patent form of Ashwagandha. It also includes L-theanine, turmeric, lion's mane, and chaga. It's a lot packed in just one cup of coffee. And honestly, it tastes like regular coffee. If you're shopping the functional coffee aisle at Target, this is the one for you. Check it out!</v>
      </c>
      <c r="AW269" s="35"/>
      <c r="AX269" s="35"/>
      <c r="AY269" s="35"/>
      <c r="AZ269" s="35"/>
      <c r="BA269" s="35"/>
      <c r="BB269" s="35"/>
      <c r="BC269" s="35"/>
      <c r="BD269" s="35"/>
      <c r="BE269" s="35"/>
      <c r="BF269" s="35"/>
      <c r="BG269" s="35"/>
    </row>
    <row r="270" ht="15.75" customHeight="1">
      <c r="A270" s="55" t="str">
        <f>IFERROR(__xludf.DUMMYFUNCTION("""COMPUTED_VALUE"""),"Instagram")</f>
        <v>Instagram</v>
      </c>
      <c r="B270" s="56">
        <f>IFERROR(__xludf.DUMMYFUNCTION("""COMPUTED_VALUE"""),46191.0)</f>
        <v>46191</v>
      </c>
      <c r="C270" s="55" t="str">
        <f>IFERROR(__xludf.DUMMYFUNCTION("""COMPUTED_VALUE"""),"June")</f>
        <v>June</v>
      </c>
      <c r="D270" s="58" t="str">
        <f>IFERROR(__xludf.DUMMYFUNCTION("""COMPUTED_VALUE"""),"https://www.instagram.com/reel/DZnhFqivbWI/")</f>
        <v>https://www.instagram.com/reel/DZnhFqivbWI/</v>
      </c>
      <c r="E270" s="55" t="str">
        <f>IFERROR(__xludf.DUMMYFUNCTION("""COMPUTED_VALUE"""),"@na")</f>
        <v>@na</v>
      </c>
      <c r="F270" s="55" t="str">
        <f>IFERROR(__xludf.DUMMYFUNCTION("""COMPUTED_VALUE"""),"NA")</f>
        <v>NA</v>
      </c>
      <c r="G270" s="55" t="str">
        <f>IFERROR(__xludf.DUMMYFUNCTION("""COMPUTED_VALUE"""),"Gummies vs Coffee")</f>
        <v>Gummies vs Coffee</v>
      </c>
      <c r="H270" s="55">
        <f>IFERROR(__xludf.DUMMYFUNCTION("""COMPUTED_VALUE"""),36.0)</f>
        <v>36</v>
      </c>
      <c r="I270" s="55">
        <f>IFERROR(__xludf.DUMMYFUNCTION("""COMPUTED_VALUE"""),27.2)</f>
        <v>27.2</v>
      </c>
      <c r="J270" s="55" t="str">
        <f>IFERROR(__xludf.DUMMYFUNCTION("""COMPUTED_VALUE"""),"Yes – Recommend")</f>
        <v>Yes – Recommend</v>
      </c>
      <c r="K270" s="55" t="str">
        <f>IFERROR(__xludf.DUMMYFUNCTION("""COMPUTED_VALUE"""),"Review before running ads")</f>
        <v>Review before running ads</v>
      </c>
      <c r="L270" s="55" t="str">
        <f>IFERROR(__xludf.DUMMYFUNCTION("""COMPUTED_VALUE"""),"Score 28.4 ≥ 20 threshold")</f>
        <v>Score 28.4 ≥ 20 threshold</v>
      </c>
      <c r="M270" s="59" t="str">
        <f>IFERROR(__xludf.DUMMYFUNCTION("""COMPUTED_VALUE"""),"No Ad Data")</f>
        <v>No Ad Data</v>
      </c>
      <c r="N270" s="55"/>
      <c r="O270" s="55"/>
      <c r="P270" s="59">
        <f>IFERROR(__xludf.DUMMYFUNCTION("""COMPUTED_VALUE"""),224.0)</f>
        <v>224</v>
      </c>
      <c r="Q270" s="59">
        <f>IFERROR(__xludf.DUMMYFUNCTION("""COMPUTED_VALUE"""),9.0)</f>
        <v>9</v>
      </c>
      <c r="R270" s="59">
        <f>IFERROR(__xludf.DUMMYFUNCTION("""COMPUTED_VALUE"""),4.0)</f>
        <v>4</v>
      </c>
      <c r="S270" s="55"/>
      <c r="T270" s="68">
        <f>IFERROR(__xludf.DUMMYFUNCTION("""COMPUTED_VALUE"""),0.0)</f>
        <v>0</v>
      </c>
      <c r="U270" s="55"/>
      <c r="V270" s="62">
        <f>IFERROR(__xludf.DUMMYFUNCTION("""COMPUTED_VALUE"""),0.058)</f>
        <v>0.058</v>
      </c>
      <c r="W270" s="63">
        <f>IFERROR(__xludf.DUMMYFUNCTION("""COMPUTED_VALUE"""),72.99)</f>
        <v>72.99</v>
      </c>
      <c r="X270" s="59">
        <f>IFERROR(__xludf.DUMMYFUNCTION("""COMPUTED_VALUE"""),224.0)</f>
        <v>224</v>
      </c>
      <c r="Y270" s="59">
        <f>IFERROR(__xludf.DUMMYFUNCTION("""COMPUTED_VALUE"""),9.0)</f>
        <v>9</v>
      </c>
      <c r="Z270" s="59">
        <f>IFERROR(__xludf.DUMMYFUNCTION("""COMPUTED_VALUE"""),4.0)</f>
        <v>4</v>
      </c>
      <c r="AA270" s="59">
        <f>IFERROR(__xludf.DUMMYFUNCTION("""COMPUTED_VALUE"""),0.0)</f>
        <v>0</v>
      </c>
      <c r="AB270" s="64">
        <f>IFERROR(__xludf.DUMMYFUNCTION("""COMPUTED_VALUE"""),0.0)</f>
        <v>0</v>
      </c>
      <c r="AC270" s="62">
        <f>IFERROR(__xludf.DUMMYFUNCTION("""COMPUTED_VALUE"""),0.058)</f>
        <v>0.058</v>
      </c>
      <c r="AD270" s="62">
        <f>IFERROR(__xludf.DUMMYFUNCTION("""COMPUTED_VALUE"""),0.0)</f>
        <v>0</v>
      </c>
      <c r="AE270" s="62">
        <f>IFERROR(__xludf.DUMMYFUNCTION("""COMPUTED_VALUE"""),0.0)</f>
        <v>0</v>
      </c>
      <c r="AF270" s="55"/>
      <c r="AG270" s="55"/>
      <c r="AH270" s="55"/>
      <c r="AI270" s="55"/>
      <c r="AJ270" s="55"/>
      <c r="AK270" s="55"/>
      <c r="AL270" s="55"/>
      <c r="AM270" s="55" t="str">
        <f>IFERROR(__xludf.DUMMYFUNCTION("""COMPUTED_VALUE"""),"Q9jTBBVxau7lt96Q5YVR1hrZPZXpVTM-jiEU3ghFCnqHp4lQgDi2A-U3-7ZvY2c9Jns")</f>
        <v>Q9jTBBVxau7lt96Q5YVR1hrZPZXpVTM-jiEU3ghFCnqHp4lQgDi2A-U3-7ZvY2c9Jns</v>
      </c>
      <c r="AN270" s="55"/>
      <c r="AO270" s="55" t="str">
        <f>IFERROR(__xludf.DUMMYFUNCTION("""COMPUTED_VALUE"""),"NA")</f>
        <v>NA</v>
      </c>
      <c r="AP270" s="55" t="str">
        <f>IFERROR(__xludf.DUMMYFUNCTION("""COMPUTED_VALUE"""),"NA")</f>
        <v>NA</v>
      </c>
      <c r="AQ270" s="55" t="str">
        <f>IFERROR(__xludf.DUMMYFUNCTION("""COMPUTED_VALUE"""),"NA")</f>
        <v>NA</v>
      </c>
      <c r="AR270" s="55" t="str">
        <f>IFERROR(__xludf.DUMMYFUNCTION("""COMPUTED_VALUE"""),"Today, I'm having this instant ashwagandha coffee, and it's honestly becoming my little pre-workout ally.")</f>
        <v>Today, I'm having this instant ashwagandha coffee, and it's honestly becoming my little pre-workout ally.</v>
      </c>
      <c r="AS270" s="55" t="str">
        <f>IFERROR(__xludf.DUMMYFUNCTION("""COMPUTED_VALUE"""),"General / Lifestyle")</f>
        <v>General / Lifestyle</v>
      </c>
      <c r="AT270" s="55" t="str">
        <f>IFERROR(__xludf.DUMMYFUNCTION("""COMPUTED_VALUE"""),"• What makes it interesting is the addition of ashwagandha, a well-known adaptogenic herb, traditionally used to support the body in managing every day, stress and promoting balance and overall well-being. in managing every day, stress and promoting balan"&amp;"ce and overall well-being.
• So instead of just a regular coffee, it feels like a more functional upgrade that supports my day in a simple way.
• It's super easy to prepare, just mix it with hot water and it's ready in seconds, which makes it perfect for "&amp;"my routine before the gym.")</f>
        <v>• What makes it interesting is the addition of ashwagandha, a well-known adaptogenic herb, traditionally used to support the body in managing every day, stress and promoting balance and overall well-being. in managing every day, stress and promoting balance and overall well-being.
• So instead of just a regular coffee, it feels like a more functional upgrade that supports my day in a simple way.
• It's super easy to prepare, just mix it with hot water and it's ready in seconds, which makes it perfect for my routine before the gym.</v>
      </c>
      <c r="AU270" s="55" t="str">
        <f>IFERROR(__xludf.DUMMYFUNCTION("""COMPUTED_VALUE"""),"It's smooth, convenient, and fits perfectly into a busy, active lifestyle.")</f>
        <v>It's smooth, convenient, and fits perfectly into a busy, active lifestyle.</v>
      </c>
      <c r="AV270" s="55" t="str">
        <f>IFERROR(__xludf.DUMMYFUNCTION("""COMPUTED_VALUE"""),"Today, I'm having this instant ashwagandha coffee, and it's honestly becoming my little pre-workout ally. It's super easy to prepare, just mix it with hot water and it's ready in seconds, which makes it perfect for my routine before the gym. What makes it"&amp;" interesting is the addition of ashwagandha, a well-known adaptogenic herb, traditionally used to support the body in managing every day, stress and promoting balance and overall well-being. in managing every day, stress and promoting balance and overall "&amp;"well-being. So instead of just a regular coffee, it feels like a more functional upgrade that supports my day in a simple way. It's smooth, convenient, and fits perfectly into a busy, active lifestyle.")</f>
        <v>Today, I'm having this instant ashwagandha coffee, and it's honestly becoming my little pre-workout ally. It's super easy to prepare, just mix it with hot water and it's ready in seconds, which makes it perfect for my routine before the gym. What makes it interesting is the addition of ashwagandha, a well-known adaptogenic herb, traditionally used to support the body in managing every day, stress and promoting balance and overall well-being. in managing every day, stress and promoting balance and overall well-being. So instead of just a regular coffee, it feels like a more functional upgrade that supports my day in a simple way. It's smooth, convenient, and fits perfectly into a busy, active lifestyle.</v>
      </c>
      <c r="AW270" s="35"/>
      <c r="AX270" s="35"/>
      <c r="AY270" s="35"/>
      <c r="AZ270" s="35"/>
      <c r="BA270" s="35"/>
      <c r="BB270" s="35"/>
      <c r="BC270" s="35"/>
      <c r="BD270" s="35"/>
      <c r="BE270" s="35"/>
      <c r="BF270" s="35"/>
      <c r="BG270" s="35"/>
    </row>
    <row r="271" ht="15.75" customHeight="1">
      <c r="A271" s="55" t="str">
        <f>IFERROR(__xludf.DUMMYFUNCTION("""COMPUTED_VALUE"""),"Instagram")</f>
        <v>Instagram</v>
      </c>
      <c r="B271" s="56">
        <f>IFERROR(__xludf.DUMMYFUNCTION("""COMPUTED_VALUE"""),46198.0)</f>
        <v>46198</v>
      </c>
      <c r="C271" s="55" t="str">
        <f>IFERROR(__xludf.DUMMYFUNCTION("""COMPUTED_VALUE"""),"June")</f>
        <v>June</v>
      </c>
      <c r="D271" s="58" t="str">
        <f>IFERROR(__xludf.DUMMYFUNCTION("""COMPUTED_VALUE"""),"https://www.instagram.com/reel/DZ-NLPJuk8R/?utm_source=ig_web_copy_link&amp;igsh=MzRlODBiNWFlZA==")</f>
        <v>https://www.instagram.com/reel/DZ-NLPJuk8R/?utm_source=ig_web_copy_link&amp;igsh=MzRlODBiNWFlZA==</v>
      </c>
      <c r="E271" s="55" t="str">
        <f>IFERROR(__xludf.DUMMYFUNCTION("""COMPUTED_VALUE"""),"@na")</f>
        <v>@na</v>
      </c>
      <c r="F271" s="55" t="str">
        <f>IFERROR(__xludf.DUMMYFUNCTION("""COMPUTED_VALUE"""),"NA")</f>
        <v>NA</v>
      </c>
      <c r="G271" s="55" t="str">
        <f>IFERROR(__xludf.DUMMYFUNCTION("""COMPUTED_VALUE"""),"Cortisol")</f>
        <v>Cortisol</v>
      </c>
      <c r="H271" s="55">
        <f>IFERROR(__xludf.DUMMYFUNCTION("""COMPUTED_VALUE"""),32.0)</f>
        <v>32</v>
      </c>
      <c r="I271" s="55">
        <f>IFERROR(__xludf.DUMMYFUNCTION("""COMPUTED_VALUE"""),24.0)</f>
        <v>24</v>
      </c>
      <c r="J271" s="55" t="str">
        <f>IFERROR(__xludf.DUMMYFUNCTION("""COMPUTED_VALUE"""),"Yes – Recommend")</f>
        <v>Yes – Recommend</v>
      </c>
      <c r="K271" s="55" t="str">
        <f>IFERROR(__xludf.DUMMYFUNCTION("""COMPUTED_VALUE"""),"No")</f>
        <v>No</v>
      </c>
      <c r="L271" s="55" t="str">
        <f>IFERROR(__xludf.DUMMYFUNCTION("""COMPUTED_VALUE"""),"Score 25.0 ≥ 20 threshold")</f>
        <v>Score 25.0 ≥ 20 threshold</v>
      </c>
      <c r="M271" s="59" t="str">
        <f>IFERROR(__xludf.DUMMYFUNCTION("""COMPUTED_VALUE"""),"No Ad Data")</f>
        <v>No Ad Data</v>
      </c>
      <c r="N271" s="59" t="str">
        <f>IFERROR(__xludf.DUMMYFUNCTION("""COMPUTED_VALUE"""),"Skip")</f>
        <v>Skip</v>
      </c>
      <c r="O271" s="55"/>
      <c r="P271" s="59">
        <f>IFERROR(__xludf.DUMMYFUNCTION("""COMPUTED_VALUE"""),221.0)</f>
        <v>221</v>
      </c>
      <c r="Q271" s="59">
        <f>IFERROR(__xludf.DUMMYFUNCTION("""COMPUTED_VALUE"""),7.0)</f>
        <v>7</v>
      </c>
      <c r="R271" s="59">
        <f>IFERROR(__xludf.DUMMYFUNCTION("""COMPUTED_VALUE"""),1.0)</f>
        <v>1</v>
      </c>
      <c r="S271" s="55"/>
      <c r="T271" s="68">
        <f>IFERROR(__xludf.DUMMYFUNCTION("""COMPUTED_VALUE"""),0.0)</f>
        <v>0</v>
      </c>
      <c r="U271" s="55"/>
      <c r="V271" s="62">
        <f>IFERROR(__xludf.DUMMYFUNCTION("""COMPUTED_VALUE"""),0.0)</f>
        <v>0</v>
      </c>
      <c r="W271" s="63">
        <f>IFERROR(__xludf.DUMMYFUNCTION("""COMPUTED_VALUE"""),117.58)</f>
        <v>117.58</v>
      </c>
      <c r="X271" s="59">
        <f>IFERROR(__xludf.DUMMYFUNCTION("""COMPUTED_VALUE"""),221.0)</f>
        <v>221</v>
      </c>
      <c r="Y271" s="59">
        <f>IFERROR(__xludf.DUMMYFUNCTION("""COMPUTED_VALUE"""),7.0)</f>
        <v>7</v>
      </c>
      <c r="Z271" s="59">
        <f>IFERROR(__xludf.DUMMYFUNCTION("""COMPUTED_VALUE"""),1.0)</f>
        <v>1</v>
      </c>
      <c r="AA271" s="59">
        <f>IFERROR(__xludf.DUMMYFUNCTION("""COMPUTED_VALUE"""),0.0)</f>
        <v>0</v>
      </c>
      <c r="AB271" s="64">
        <f>IFERROR(__xludf.DUMMYFUNCTION("""COMPUTED_VALUE"""),0.0)</f>
        <v>0</v>
      </c>
      <c r="AC271" s="62">
        <f>IFERROR(__xludf.DUMMYFUNCTION("""COMPUTED_VALUE"""),0.0)</f>
        <v>0</v>
      </c>
      <c r="AD271" s="62">
        <f>IFERROR(__xludf.DUMMYFUNCTION("""COMPUTED_VALUE"""),0.0)</f>
        <v>0</v>
      </c>
      <c r="AE271" s="62">
        <f>IFERROR(__xludf.DUMMYFUNCTION("""COMPUTED_VALUE"""),0.0)</f>
        <v>0</v>
      </c>
      <c r="AF271" s="55"/>
      <c r="AG271" s="55"/>
      <c r="AH271" s="55"/>
      <c r="AI271" s="55"/>
      <c r="AJ271" s="55"/>
      <c r="AK271" s="55"/>
      <c r="AL271" s="55"/>
      <c r="AM271" s="55" t="str">
        <f>IFERROR(__xludf.DUMMYFUNCTION("""COMPUTED_VALUE"""),"NA")</f>
        <v>NA</v>
      </c>
      <c r="AN271" s="55" t="str">
        <f>IFERROR(__xludf.DUMMYFUNCTION("""COMPUTED_VALUE"""),"Not great")</f>
        <v>Not great</v>
      </c>
      <c r="AO271" s="55" t="str">
        <f>IFERROR(__xludf.DUMMYFUNCTION("""COMPUTED_VALUE"""),"NA")</f>
        <v>NA</v>
      </c>
      <c r="AP271" s="55" t="str">
        <f>IFERROR(__xludf.DUMMYFUNCTION("""COMPUTED_VALUE"""),"NA")</f>
        <v>NA</v>
      </c>
      <c r="AQ271" s="55" t="str">
        <f>IFERROR(__xludf.DUMMYFUNCTION("""COMPUTED_VALUE"""),"NA")</f>
        <v>NA</v>
      </c>
      <c r="AR271" s="55" t="str">
        <f>IFERROR(__xludf.DUMMYFUNCTION("""COMPUTED_VALUE"""),"Ditch the sugar, keep the flavor.")</f>
        <v>Ditch the sugar, keep the flavor.</v>
      </c>
      <c r="AS271" s="55" t="str">
        <f>IFERROR(__xludf.DUMMYFUNCTION("""COMPUTED_VALUE"""),"Taste / Sensory")</f>
        <v>Taste / Sensory</v>
      </c>
      <c r="AT271" s="55" t="str">
        <f>IFERROR(__xludf.DUMMYFUNCTION("""COMPUTED_VALUE"""),"• If you are tired of bitter mushroom coffee or covering up your wellness drinks with heaps of vanilla syrup and creamer, this is for you.
• Vandum Ashwagandha Coffee is the first functional blend that tastes so smooth and rich, you can drink it completel"&amp;"y clean. drink it completely clean.")</f>
        <v>• If you are tired of bitter mushroom coffee or covering up your wellness drinks with heaps of vanilla syrup and creamer, this is for you.
• Vandum Ashwagandha Coffee is the first functional blend that tastes so smooth and rich, you can drink it completely clean. drink it completely clean.</v>
      </c>
      <c r="AU271" s="55" t="str">
        <f>IFERROR(__xludf.DUMMYFUNCTION("""COMPUTED_VALUE"""),"Available at Target or Target.com")</f>
        <v>Available at Target or Target.com</v>
      </c>
      <c r="AV271" s="55" t="str">
        <f>IFERROR(__xludf.DUMMYFUNCTION("""COMPUTED_VALUE"""),"Ditch the sugar, keep the flavor. If you are tired of bitter mushroom coffee or covering up your wellness drinks with heaps of vanilla syrup and creamer, this is for you. Vandum Ashwagandha Coffee is the first functional blend that tastes so smooth and ri"&amp;"ch, you can drink it completely clean. drink it completely clean. Available at Target or Target.com")</f>
        <v>Ditch the sugar, keep the flavor. If you are tired of bitter mushroom coffee or covering up your wellness drinks with heaps of vanilla syrup and creamer, this is for you. Vandum Ashwagandha Coffee is the first functional blend that tastes so smooth and rich, you can drink it completely clean. drink it completely clean. Available at Target or Target.com</v>
      </c>
      <c r="AW271" s="35"/>
      <c r="AX271" s="35"/>
      <c r="AY271" s="35"/>
      <c r="AZ271" s="35"/>
      <c r="BA271" s="35"/>
      <c r="BB271" s="35"/>
      <c r="BC271" s="35"/>
      <c r="BD271" s="35"/>
      <c r="BE271" s="35"/>
      <c r="BF271" s="35"/>
      <c r="BG271" s="35"/>
    </row>
    <row r="272" ht="15.75" customHeight="1">
      <c r="A272" s="55" t="str">
        <f>IFERROR(__xludf.DUMMYFUNCTION("""COMPUTED_VALUE"""),"Instagram")</f>
        <v>Instagram</v>
      </c>
      <c r="B272" s="56">
        <f>IFERROR(__xludf.DUMMYFUNCTION("""COMPUTED_VALUE"""),46192.0)</f>
        <v>46192</v>
      </c>
      <c r="C272" s="55" t="str">
        <f>IFERROR(__xludf.DUMMYFUNCTION("""COMPUTED_VALUE"""),"June")</f>
        <v>June</v>
      </c>
      <c r="D272" s="58" t="str">
        <f>IFERROR(__xludf.DUMMYFUNCTION("""COMPUTED_VALUE"""),"https://www.instagram.com/reel/DZugp5Vxqms/")</f>
        <v>https://www.instagram.com/reel/DZugp5Vxqms/</v>
      </c>
      <c r="E272" s="55" t="str">
        <f>IFERROR(__xludf.DUMMYFUNCTION("""COMPUTED_VALUE"""),"@na")</f>
        <v>@na</v>
      </c>
      <c r="F272" s="55" t="str">
        <f>IFERROR(__xludf.DUMMYFUNCTION("""COMPUTED_VALUE"""),"NA")</f>
        <v>NA</v>
      </c>
      <c r="G272" s="55" t="str">
        <f>IFERROR(__xludf.DUMMYFUNCTION("""COMPUTED_VALUE"""),"Target Shelf Showdown")</f>
        <v>Target Shelf Showdown</v>
      </c>
      <c r="H272" s="55">
        <f>IFERROR(__xludf.DUMMYFUNCTION("""COMPUTED_VALUE"""),57.0)</f>
        <v>57</v>
      </c>
      <c r="I272" s="55">
        <f>IFERROR(__xludf.DUMMYFUNCTION("""COMPUTED_VALUE"""),20.9)</f>
        <v>20.9</v>
      </c>
      <c r="J272" s="55" t="str">
        <f>IFERROR(__xludf.DUMMYFUNCTION("""COMPUTED_VALUE"""),"Yes – Recommend")</f>
        <v>Yes – Recommend</v>
      </c>
      <c r="K272" s="55" t="str">
        <f>IFERROR(__xludf.DUMMYFUNCTION("""COMPUTED_VALUE"""),"Review before running ads")</f>
        <v>Review before running ads</v>
      </c>
      <c r="L272" s="55" t="str">
        <f>IFERROR(__xludf.DUMMYFUNCTION("""COMPUTED_VALUE"""),"Score 21.8 ≥ 20 threshold")</f>
        <v>Score 21.8 ≥ 20 threshold</v>
      </c>
      <c r="M272" s="59" t="str">
        <f>IFERROR(__xludf.DUMMYFUNCTION("""COMPUTED_VALUE"""),"No Ad Data")</f>
        <v>No Ad Data</v>
      </c>
      <c r="N272" s="55"/>
      <c r="O272" s="55"/>
      <c r="P272" s="59">
        <f>IFERROR(__xludf.DUMMYFUNCTION("""COMPUTED_VALUE"""),212.0)</f>
        <v>212</v>
      </c>
      <c r="Q272" s="59">
        <f>IFERROR(__xludf.DUMMYFUNCTION("""COMPUTED_VALUE"""),5.0)</f>
        <v>5</v>
      </c>
      <c r="R272" s="59">
        <f>IFERROR(__xludf.DUMMYFUNCTION("""COMPUTED_VALUE"""),0.0)</f>
        <v>0</v>
      </c>
      <c r="S272" s="55"/>
      <c r="T272" s="68">
        <f>IFERROR(__xludf.DUMMYFUNCTION("""COMPUTED_VALUE"""),0.0)</f>
        <v>0</v>
      </c>
      <c r="U272" s="55"/>
      <c r="V272" s="62">
        <f>IFERROR(__xludf.DUMMYFUNCTION("""COMPUTED_VALUE"""),0.0235)</f>
        <v>0.0235</v>
      </c>
      <c r="W272" s="63">
        <f>IFERROR(__xludf.DUMMYFUNCTION("""COMPUTED_VALUE"""),72.99)</f>
        <v>72.99</v>
      </c>
      <c r="X272" s="59">
        <f>IFERROR(__xludf.DUMMYFUNCTION("""COMPUTED_VALUE"""),212.0)</f>
        <v>212</v>
      </c>
      <c r="Y272" s="59">
        <f>IFERROR(__xludf.DUMMYFUNCTION("""COMPUTED_VALUE"""),5.0)</f>
        <v>5</v>
      </c>
      <c r="Z272" s="59">
        <f>IFERROR(__xludf.DUMMYFUNCTION("""COMPUTED_VALUE"""),0.0)</f>
        <v>0</v>
      </c>
      <c r="AA272" s="59">
        <f>IFERROR(__xludf.DUMMYFUNCTION("""COMPUTED_VALUE"""),0.0)</f>
        <v>0</v>
      </c>
      <c r="AB272" s="64">
        <f>IFERROR(__xludf.DUMMYFUNCTION("""COMPUTED_VALUE"""),0.0)</f>
        <v>0</v>
      </c>
      <c r="AC272" s="62">
        <f>IFERROR(__xludf.DUMMYFUNCTION("""COMPUTED_VALUE"""),0.0235)</f>
        <v>0.0235</v>
      </c>
      <c r="AD272" s="62">
        <f>IFERROR(__xludf.DUMMYFUNCTION("""COMPUTED_VALUE"""),0.0)</f>
        <v>0</v>
      </c>
      <c r="AE272" s="62">
        <f>IFERROR(__xludf.DUMMYFUNCTION("""COMPUTED_VALUE"""),0.0)</f>
        <v>0</v>
      </c>
      <c r="AF272" s="55"/>
      <c r="AG272" s="55"/>
      <c r="AH272" s="55"/>
      <c r="AI272" s="55"/>
      <c r="AJ272" s="55"/>
      <c r="AK272" s="55"/>
      <c r="AL272" s="55"/>
      <c r="AM272" s="55" t="str">
        <f>IFERROR(__xludf.DUMMYFUNCTION("""COMPUTED_VALUE"""),"Q9jTBBXXCtePXqZ3Tn4ZhcUcYcqsVnNAXq48XLueGTsXlQMSwBu1a4WAR3Y__mHrCbE")</f>
        <v>Q9jTBBXXCtePXqZ3Tn4ZhcUcYcqsVnNAXq48XLueGTsXlQMSwBu1a4WAR3Y__mHrCbE</v>
      </c>
      <c r="AN272" s="55"/>
      <c r="AO272" s="55" t="str">
        <f>IFERROR(__xludf.DUMMYFUNCTION("""COMPUTED_VALUE"""),"NA")</f>
        <v>NA</v>
      </c>
      <c r="AP272" s="55" t="str">
        <f>IFERROR(__xludf.DUMMYFUNCTION("""COMPUTED_VALUE"""),"NA")</f>
        <v>NA</v>
      </c>
      <c r="AQ272" s="55" t="str">
        <f>IFERROR(__xludf.DUMMYFUNCTION("""COMPUTED_VALUE"""),"NA")</f>
        <v>NA</v>
      </c>
      <c r="AR272" s="55" t="str">
        <f>IFERROR(__xludf.DUMMYFUNCTION("""COMPUTED_VALUE"""),"I bought every functional coffee at Target, so you don't have to.")</f>
        <v>I bought every functional coffee at Target, so you don't have to.</v>
      </c>
      <c r="AS272" s="55" t="str">
        <f>IFERROR(__xludf.DUMMYFUNCTION("""COMPUTED_VALUE"""),"In-Store / Target Discovery")</f>
        <v>In-Store / Target Discovery</v>
      </c>
      <c r="AT272" s="55" t="str">
        <f>IFERROR(__xludf.DUMMYFUNCTION("""COMPUTED_VALUE"""),"• Plus it has 200 milligrams of L-theany and 100 milligrams of curcuminoids from turmeric, lion's mane, chaga.
• You see, coffee spikes my cortisol levels.
• I tried every brand, Rise, Everyday Dose, Mudwater, but none of them addressed cortisol until I f"&amp;"ound this brand.
• This is the Vodum Ashwagandha Coffee, very popular in the UK, bestseller on UK TikTok.")</f>
        <v>• Plus it has 200 milligrams of L-theany and 100 milligrams of curcuminoids from turmeric, lion's mane, chaga.
• You see, coffee spikes my cortisol levels.
• I tried every brand, Rise, Everyday Dose, Mudwater, but none of them addressed cortisol until I found this brand.
• This is the Vodum Ashwagandha Coffee, very popular in the UK, bestseller on UK TikTok.</v>
      </c>
      <c r="AU272" s="55" t="str">
        <f>IFERROR(__xludf.DUMMYFUNCTION("""COMPUTED_VALUE"""),"I think I finally found a coffee that loves me back and I'm here for my second pack.")</f>
        <v>I think I finally found a coffee that loves me back and I'm here for my second pack.</v>
      </c>
      <c r="AV272" s="55" t="str">
        <f>IFERROR(__xludf.DUMMYFUNCTION("""COMPUTED_VALUE"""),"I bought every functional coffee at Target, so you don't have to. Only one of them actually does anything. You see, coffee spikes my cortisol levels. Actually, it spikes everyone. So I wanted a coffee that helps me focus without the spike. I read the labe"&amp;"ls. I tried every brand, Rise, Everyday Dose, Mudwater, but none of them addressed cortisol until I found this brand. This is the Vodum Ashwagandha Coffee, very popular in the UK, bestseller on UK TikTok. This is the only coffee in target with KSM66 Ashwa"&amp;"gandha. It's the most patented form with the most clinical evidence. Study shows it reduces cortisol by 28%. Two cups equals daily dose. Plus it has 200 milligrams of L-theany and 100 milligrams of curcuminoids from turmeric, lion's mane, chaga. I've been"&amp;" having this for 15 days and I can feel a difference. So it was time to restock. My energy is stable. No 2 p.m. crash. I think I finally found a coffee that loves me back and I'm here for my second pack.")</f>
        <v>I bought every functional coffee at Target, so you don't have to. Only one of them actually does anything. You see, coffee spikes my cortisol levels. Actually, it spikes everyone. So I wanted a coffee that helps me focus without the spike. I read the labels. I tried every brand, Rise, Everyday Dose, Mudwater, but none of them addressed cortisol until I found this brand. This is the Vodum Ashwagandha Coffee, very popular in the UK, bestseller on UK TikTok. This is the only coffee in target with KSM66 Ashwagandha. It's the most patented form with the most clinical evidence. Study shows it reduces cortisol by 28%. Two cups equals daily dose. Plus it has 200 milligrams of L-theany and 100 milligrams of curcuminoids from turmeric, lion's mane, chaga. I've been having this for 15 days and I can feel a difference. So it was time to restock. My energy is stable. No 2 p.m. crash. I think I finally found a coffee that loves me back and I'm here for my second pack.</v>
      </c>
      <c r="AW272" s="35"/>
      <c r="AX272" s="35"/>
      <c r="AY272" s="35"/>
      <c r="AZ272" s="35"/>
      <c r="BA272" s="35"/>
      <c r="BB272" s="35"/>
      <c r="BC272" s="35"/>
      <c r="BD272" s="35"/>
      <c r="BE272" s="35"/>
      <c r="BF272" s="35"/>
      <c r="BG272" s="35"/>
    </row>
    <row r="273" ht="15.75" customHeight="1">
      <c r="A273" s="55" t="str">
        <f>IFERROR(__xludf.DUMMYFUNCTION("""COMPUTED_VALUE"""),"Tiktok")</f>
        <v>Tiktok</v>
      </c>
      <c r="B273" s="56">
        <f>IFERROR(__xludf.DUMMYFUNCTION("""COMPUTED_VALUE"""),46203.0)</f>
        <v>46203</v>
      </c>
      <c r="C273" s="55" t="str">
        <f>IFERROR(__xludf.DUMMYFUNCTION("""COMPUTED_VALUE"""),"June")</f>
        <v>June</v>
      </c>
      <c r="D273" s="58" t="str">
        <f>IFERROR(__xludf.DUMMYFUNCTION("""COMPUTED_VALUE"""),"https://www.tiktok.com/@teebaaby79/video/7656802344226671902")</f>
        <v>https://www.tiktok.com/@teebaaby79/video/7656802344226671902</v>
      </c>
      <c r="E273" s="55" t="str">
        <f>IFERROR(__xludf.DUMMYFUNCTION("""COMPUTED_VALUE"""),"@teebaaby79")</f>
        <v>@teebaaby79</v>
      </c>
      <c r="F273" s="55"/>
      <c r="G273" s="55" t="str">
        <f>IFERROR(__xludf.DUMMYFUNCTION("""COMPUTED_VALUE"""),"Countering Mushroom Coffee Trend")</f>
        <v>Countering Mushroom Coffee Trend</v>
      </c>
      <c r="H273" s="55"/>
      <c r="I273" s="55">
        <f>IFERROR(__xludf.DUMMYFUNCTION("""COMPUTED_VALUE"""),42.0)</f>
        <v>42</v>
      </c>
      <c r="J273" s="55" t="str">
        <f>IFERROR(__xludf.DUMMYFUNCTION("""COMPUTED_VALUE"""),"Yes – Recommend")</f>
        <v>Yes – Recommend</v>
      </c>
      <c r="K273" s="55" t="str">
        <f>IFERROR(__xludf.DUMMYFUNCTION("""COMPUTED_VALUE"""),"Review before running ads")</f>
        <v>Review before running ads</v>
      </c>
      <c r="L273" s="55" t="str">
        <f>IFERROR(__xludf.DUMMYFUNCTION("""COMPUTED_VALUE"""),"Score 42.7 ≥ 30")</f>
        <v>Score 42.7 ≥ 30</v>
      </c>
      <c r="M273" s="59" t="str">
        <f>IFERROR(__xludf.DUMMYFUNCTION("""COMPUTED_VALUE"""),"No Ad Data")</f>
        <v>No Ad Data</v>
      </c>
      <c r="N273" s="55"/>
      <c r="O273" s="55"/>
      <c r="P273" s="59">
        <f>IFERROR(__xludf.DUMMYFUNCTION("""COMPUTED_VALUE"""),209.0)</f>
        <v>209</v>
      </c>
      <c r="Q273" s="59">
        <f>IFERROR(__xludf.DUMMYFUNCTION("""COMPUTED_VALUE"""),16.0)</f>
        <v>16</v>
      </c>
      <c r="R273" s="59">
        <f>IFERROR(__xludf.DUMMYFUNCTION("""COMPUTED_VALUE"""),2.0)</f>
        <v>2</v>
      </c>
      <c r="S273" s="62">
        <f>IFERROR(__xludf.DUMMYFUNCTION("""COMPUTED_VALUE"""),50.0)</f>
        <v>50</v>
      </c>
      <c r="T273" s="62">
        <f>IFERROR(__xludf.DUMMYFUNCTION("""COMPUTED_VALUE"""),16.8)</f>
        <v>16.8</v>
      </c>
      <c r="U273" s="64">
        <f>IFERROR(__xludf.DUMMYFUNCTION("""COMPUTED_VALUE"""),6.0)</f>
        <v>6</v>
      </c>
      <c r="V273" s="62">
        <f>IFERROR(__xludf.DUMMYFUNCTION("""COMPUTED_VALUE"""),8.6)</f>
        <v>8.6</v>
      </c>
      <c r="W273" s="63">
        <f>IFERROR(__xludf.DUMMYFUNCTION("""COMPUTED_VALUE"""),117.58)</f>
        <v>117.58</v>
      </c>
      <c r="X273" s="59">
        <f>IFERROR(__xludf.DUMMYFUNCTION("""COMPUTED_VALUE"""),209.0)</f>
        <v>209</v>
      </c>
      <c r="Y273" s="59">
        <f>IFERROR(__xludf.DUMMYFUNCTION("""COMPUTED_VALUE"""),16.0)</f>
        <v>16</v>
      </c>
      <c r="Z273" s="59">
        <f>IFERROR(__xludf.DUMMYFUNCTION("""COMPUTED_VALUE"""),2.0)</f>
        <v>2</v>
      </c>
      <c r="AA273" s="59">
        <f>IFERROR(__xludf.DUMMYFUNCTION("""COMPUTED_VALUE"""),0.0)</f>
        <v>0</v>
      </c>
      <c r="AB273" s="64">
        <f>IFERROR(__xludf.DUMMYFUNCTION("""COMPUTED_VALUE"""),6.0)</f>
        <v>6</v>
      </c>
      <c r="AC273" s="62">
        <f>IFERROR(__xludf.DUMMYFUNCTION("""COMPUTED_VALUE"""),8.6)</f>
        <v>8.6</v>
      </c>
      <c r="AD273" s="62">
        <f>IFERROR(__xludf.DUMMYFUNCTION("""COMPUTED_VALUE"""),50.0)</f>
        <v>50</v>
      </c>
      <c r="AE273" s="62">
        <f>IFERROR(__xludf.DUMMYFUNCTION("""COMPUTED_VALUE"""),16.8)</f>
        <v>16.8</v>
      </c>
      <c r="AF273" s="55"/>
      <c r="AG273" s="55"/>
      <c r="AH273" s="55"/>
      <c r="AI273" s="55"/>
      <c r="AJ273" s="55"/>
      <c r="AK273" s="55"/>
      <c r="AL273" s="55"/>
      <c r="AM273" s="55" t="str">
        <f>IFERROR(__xludf.DUMMYFUNCTION("""COMPUTED_VALUE"""),"#y9kFn46kbIQ1UtcNDjOlEKQ76mzGE0WJDCwH3G4SK4Ma95Fv6jmF6dwUNmKv7Ng=")</f>
        <v>#y9kFn46kbIQ1UtcNDjOlEKQ76mzGE0WJDCwH3G4SK4Ma95Fv6jmF6dwUNmKv7Ng=</v>
      </c>
      <c r="AN273" s="55"/>
      <c r="AO273" s="55"/>
      <c r="AP273" s="55"/>
      <c r="AQ273" s="55"/>
      <c r="AR273" s="55" t="str">
        <f>IFERROR(__xludf.DUMMYFUNCTION("""COMPUTED_VALUE"""),"N/A")</f>
        <v>N/A</v>
      </c>
      <c r="AS273" s="55" t="str">
        <f>IFERROR(__xludf.DUMMYFUNCTION("""COMPUTED_VALUE"""),"N/A")</f>
        <v>N/A</v>
      </c>
      <c r="AT273" s="55" t="str">
        <f>IFERROR(__xludf.DUMMYFUNCTION("""COMPUTED_VALUE"""),"N/A")</f>
        <v>N/A</v>
      </c>
      <c r="AU273" s="55" t="str">
        <f>IFERROR(__xludf.DUMMYFUNCTION("""COMPUTED_VALUE"""),"N/A")</f>
        <v>N/A</v>
      </c>
      <c r="AV273" s="55"/>
      <c r="AW273" s="35"/>
      <c r="AX273" s="35"/>
      <c r="AY273" s="35"/>
      <c r="AZ273" s="35"/>
      <c r="BA273" s="35"/>
      <c r="BB273" s="35"/>
      <c r="BC273" s="35"/>
      <c r="BD273" s="35"/>
      <c r="BE273" s="35"/>
      <c r="BF273" s="35"/>
      <c r="BG273" s="35"/>
    </row>
    <row r="274" ht="15.75" customHeight="1">
      <c r="A274" s="55" t="str">
        <f>IFERROR(__xludf.DUMMYFUNCTION("""COMPUTED_VALUE"""),"Instagram")</f>
        <v>Instagram</v>
      </c>
      <c r="B274" s="56">
        <f>IFERROR(__xludf.DUMMYFUNCTION("""COMPUTED_VALUE"""),46199.0)</f>
        <v>46199</v>
      </c>
      <c r="C274" s="55" t="str">
        <f>IFERROR(__xludf.DUMMYFUNCTION("""COMPUTED_VALUE"""),"June")</f>
        <v>June</v>
      </c>
      <c r="D274" s="58" t="str">
        <f>IFERROR(__xludf.DUMMYFUNCTION("""COMPUTED_VALUE"""),"https://www.instagram.com/reel/DaAp_c2uphV/")</f>
        <v>https://www.instagram.com/reel/DaAp_c2uphV/</v>
      </c>
      <c r="E274" s="55" t="str">
        <f>IFERROR(__xludf.DUMMYFUNCTION("""COMPUTED_VALUE"""),"@na")</f>
        <v>@na</v>
      </c>
      <c r="F274" s="55" t="str">
        <f>IFERROR(__xludf.DUMMYFUNCTION("""COMPUTED_VALUE"""),"NA")</f>
        <v>NA</v>
      </c>
      <c r="G274" s="55" t="str">
        <f>IFERROR(__xludf.DUMMYFUNCTION("""COMPUTED_VALUE"""),"Cortisol")</f>
        <v>Cortisol</v>
      </c>
      <c r="H274" s="55">
        <f>IFERROR(__xludf.DUMMYFUNCTION("""COMPUTED_VALUE"""),49.0)</f>
        <v>49</v>
      </c>
      <c r="I274" s="55">
        <f>IFERROR(__xludf.DUMMYFUNCTION("""COMPUTED_VALUE"""),25.6)</f>
        <v>25.6</v>
      </c>
      <c r="J274" s="55" t="str">
        <f>IFERROR(__xludf.DUMMYFUNCTION("""COMPUTED_VALUE"""),"Yes – Recommend")</f>
        <v>Yes – Recommend</v>
      </c>
      <c r="K274" s="55" t="str">
        <f>IFERROR(__xludf.DUMMYFUNCTION("""COMPUTED_VALUE"""),"No")</f>
        <v>No</v>
      </c>
      <c r="L274" s="55" t="str">
        <f>IFERROR(__xludf.DUMMYFUNCTION("""COMPUTED_VALUE"""),"Score 26.8 ≥ 20 threshold")</f>
        <v>Score 26.8 ≥ 20 threshold</v>
      </c>
      <c r="M274" s="59" t="str">
        <f>IFERROR(__xludf.DUMMYFUNCTION("""COMPUTED_VALUE"""),"No Ad Data")</f>
        <v>No Ad Data</v>
      </c>
      <c r="N274" s="59" t="str">
        <f>IFERROR(__xludf.DUMMYFUNCTION("""COMPUTED_VALUE"""),"Skip")</f>
        <v>Skip</v>
      </c>
      <c r="O274" s="55"/>
      <c r="P274" s="59">
        <f>IFERROR(__xludf.DUMMYFUNCTION("""COMPUTED_VALUE"""),192.0)</f>
        <v>192</v>
      </c>
      <c r="Q274" s="59">
        <f>IFERROR(__xludf.DUMMYFUNCTION("""COMPUTED_VALUE"""),9.0)</f>
        <v>9</v>
      </c>
      <c r="R274" s="59">
        <f>IFERROR(__xludf.DUMMYFUNCTION("""COMPUTED_VALUE"""),2.0)</f>
        <v>2</v>
      </c>
      <c r="S274" s="55"/>
      <c r="T274" s="68">
        <f>IFERROR(__xludf.DUMMYFUNCTION("""COMPUTED_VALUE"""),0.0)</f>
        <v>0</v>
      </c>
      <c r="U274" s="55"/>
      <c r="V274" s="62">
        <f>IFERROR(__xludf.DUMMYFUNCTION("""COMPUTED_VALUE"""),0.0)</f>
        <v>0</v>
      </c>
      <c r="W274" s="63">
        <f>IFERROR(__xludf.DUMMYFUNCTION("""COMPUTED_VALUE"""),117.58)</f>
        <v>117.58</v>
      </c>
      <c r="X274" s="59">
        <f>IFERROR(__xludf.DUMMYFUNCTION("""COMPUTED_VALUE"""),192.0)</f>
        <v>192</v>
      </c>
      <c r="Y274" s="59">
        <f>IFERROR(__xludf.DUMMYFUNCTION("""COMPUTED_VALUE"""),9.0)</f>
        <v>9</v>
      </c>
      <c r="Z274" s="59">
        <f>IFERROR(__xludf.DUMMYFUNCTION("""COMPUTED_VALUE"""),2.0)</f>
        <v>2</v>
      </c>
      <c r="AA274" s="59">
        <f>IFERROR(__xludf.DUMMYFUNCTION("""COMPUTED_VALUE"""),0.0)</f>
        <v>0</v>
      </c>
      <c r="AB274" s="64">
        <f>IFERROR(__xludf.DUMMYFUNCTION("""COMPUTED_VALUE"""),0.0)</f>
        <v>0</v>
      </c>
      <c r="AC274" s="62">
        <f>IFERROR(__xludf.DUMMYFUNCTION("""COMPUTED_VALUE"""),0.0)</f>
        <v>0</v>
      </c>
      <c r="AD274" s="62">
        <f>IFERROR(__xludf.DUMMYFUNCTION("""COMPUTED_VALUE"""),0.0)</f>
        <v>0</v>
      </c>
      <c r="AE274" s="62">
        <f>IFERROR(__xludf.DUMMYFUNCTION("""COMPUTED_VALUE"""),0.0)</f>
        <v>0</v>
      </c>
      <c r="AF274" s="55"/>
      <c r="AG274" s="55"/>
      <c r="AH274" s="55"/>
      <c r="AI274" s="55"/>
      <c r="AJ274" s="55"/>
      <c r="AK274" s="55"/>
      <c r="AL274" s="55"/>
      <c r="AM274" s="55" t="str">
        <f>IFERROR(__xludf.DUMMYFUNCTION("""COMPUTED_VALUE"""),"Q9jTBBWySP-0uhZ_5eaFj0aJgemOcxZZMNSpKW4evoy61hH8TXcrs-sA4IQl2tsWI5Q")</f>
        <v>Q9jTBBWySP-0uhZ_5eaFj0aJgemOcxZZMNSpKW4evoy61hH8TXcrs-sA4IQl2tsWI5Q</v>
      </c>
      <c r="AN274" s="55" t="str">
        <f>IFERROR(__xludf.DUMMYFUNCTION("""COMPUTED_VALUE"""),"Pronunciation &amp; text errors")</f>
        <v>Pronunciation &amp; text errors</v>
      </c>
      <c r="AO274" s="55" t="str">
        <f>IFERROR(__xludf.DUMMYFUNCTION("""COMPUTED_VALUE"""),"NA")</f>
        <v>NA</v>
      </c>
      <c r="AP274" s="55" t="str">
        <f>IFERROR(__xludf.DUMMYFUNCTION("""COMPUTED_VALUE"""),"NA")</f>
        <v>NA</v>
      </c>
      <c r="AQ274" s="55" t="str">
        <f>IFERROR(__xludf.DUMMYFUNCTION("""COMPUTED_VALUE"""),"NA")</f>
        <v>NA</v>
      </c>
      <c r="AR274" s="55" t="str">
        <f>IFERROR(__xludf.DUMMYFUNCTION("""COMPUTED_VALUE"""),"I didn't think coffee could actually calm me down.")</f>
        <v>I didn't think coffee could actually calm me down.</v>
      </c>
      <c r="AS274" s="55" t="str">
        <f>IFERROR(__xludf.DUMMYFUNCTION("""COMPUTED_VALUE"""),"General / Lifestyle")</f>
        <v>General / Lifestyle</v>
      </c>
      <c r="AT274" s="55" t="str">
        <f>IFERROR(__xludf.DUMMYFUNCTION("""COMPUTED_VALUE"""),"• It has ashwagandha, turmeric, eltheonine, lion's mane, and chaga mushrooms in one cup.
• Normally after I drink, I feel more anxious, but I used to love coffee and always got that jittery, anxious feeling and then the crash right after.
• Then I found V"&amp;"odum Ashwagandha Coffee.
• It's not just coffee.")</f>
        <v>• It has ashwagandha, turmeric, eltheonine, lion's mane, and chaga mushrooms in one cup.
• Normally after I drink, I feel more anxious, but I used to love coffee and always got that jittery, anxious feeling and then the crash right after.
• Then I found Vodum Ashwagandha Coffee.
• It's not just coffee.</v>
      </c>
      <c r="AU274" s="55" t="str">
        <f>IFERROR(__xludf.DUMMYFUNCTION("""COMPUTED_VALUE"""),"It actually tastes like delicious regular coffee smooth rich no weird taste and i don't get the jitters or crash anymore you can find it now at target stores across the us or on target.com this became...")</f>
        <v>It actually tastes like delicious regular coffee smooth rich no weird taste and i don't get the jitters or crash anymore you can find it now at target stores across the us or on target.com this became...</v>
      </c>
      <c r="AV274" s="55" t="str">
        <f>IFERROR(__xludf.DUMMYFUNCTION("""COMPUTED_VALUE"""),"I didn't think coffee could actually calm me down. Normally after I drink, I feel more anxious, but I used to love coffee and always got that jittery, anxious feeling and then the crash right after. It just wasn't working for my mornings anymore. Then I f"&amp;"ound Vodum Ashwagandha Coffee. It's not just coffee. It has ashwagandha, turmeric, eltheonine, lion's mane, and chaga mushrooms in one cup. And the crazy part? It actually tastes like delicious regular coffee smooth rich no weird taste and i don't get the"&amp;" jitters or crash anymore you can find it now at target stores across the us or on target.com this became my new morning switch if you're looking for a coffee that gives you energy without the jitters supports your wellness routine and still tastes like r"&amp;"eal coffee vodamesh Waganda coffee is definitely worth trying.")</f>
        <v>I didn't think coffee could actually calm me down. Normally after I drink, I feel more anxious, but I used to love coffee and always got that jittery, anxious feeling and then the crash right after. It just wasn't working for my mornings anymore. Then I found Vodum Ashwagandha Coffee. It's not just coffee. It has ashwagandha, turmeric, eltheonine, lion's mane, and chaga mushrooms in one cup. And the crazy part? It actually tastes like delicious regular coffee smooth rich no weird taste and i don't get the jitters or crash anymore you can find it now at target stores across the us or on target.com this became my new morning switch if you're looking for a coffee that gives you energy without the jitters supports your wellness routine and still tastes like real coffee vodamesh Waganda coffee is definitely worth trying.</v>
      </c>
      <c r="AW274" s="35"/>
      <c r="AX274" s="35"/>
      <c r="AY274" s="35"/>
      <c r="AZ274" s="35"/>
      <c r="BA274" s="35"/>
      <c r="BB274" s="35"/>
      <c r="BC274" s="35"/>
      <c r="BD274" s="35"/>
      <c r="BE274" s="35"/>
      <c r="BF274" s="35"/>
      <c r="BG274" s="35"/>
    </row>
    <row r="275" ht="15.75" customHeight="1">
      <c r="A275" s="55" t="str">
        <f>IFERROR(__xludf.DUMMYFUNCTION("""COMPUTED_VALUE"""),"Instagram")</f>
        <v>Instagram</v>
      </c>
      <c r="B275" s="56">
        <f>IFERROR(__xludf.DUMMYFUNCTION("""COMPUTED_VALUE"""),46199.0)</f>
        <v>46199</v>
      </c>
      <c r="C275" s="55" t="str">
        <f>IFERROR(__xludf.DUMMYFUNCTION("""COMPUTED_VALUE"""),"June")</f>
        <v>June</v>
      </c>
      <c r="D275" s="58" t="str">
        <f>IFERROR(__xludf.DUMMYFUNCTION("""COMPUTED_VALUE"""),"https://www.instagram.com/reel/DaBAxzJxGqX/")</f>
        <v>https://www.instagram.com/reel/DaBAxzJxGqX/</v>
      </c>
      <c r="E275" s="55" t="str">
        <f>IFERROR(__xludf.DUMMYFUNCTION("""COMPUTED_VALUE"""),"rosanabarbosaoficial
")</f>
        <v>rosanabarbosaoficial
</v>
      </c>
      <c r="F275" s="55" t="str">
        <f>IFERROR(__xludf.DUMMYFUNCTION("""COMPUTED_VALUE"""),"NA")</f>
        <v>NA</v>
      </c>
      <c r="G275" s="55" t="str">
        <f>IFERROR(__xludf.DUMMYFUNCTION("""COMPUTED_VALUE"""),"Countering Mushroom Coffee Trend")</f>
        <v>Countering Mushroom Coffee Trend</v>
      </c>
      <c r="H275" s="55">
        <f>IFERROR(__xludf.DUMMYFUNCTION("""COMPUTED_VALUE"""),42.0)</f>
        <v>42</v>
      </c>
      <c r="I275" s="55">
        <f>IFERROR(__xludf.DUMMYFUNCTION("""COMPUTED_VALUE"""),32.1)</f>
        <v>32.1</v>
      </c>
      <c r="J275" s="55" t="str">
        <f>IFERROR(__xludf.DUMMYFUNCTION("""COMPUTED_VALUE"""),"Yes – Recommend")</f>
        <v>Yes – Recommend</v>
      </c>
      <c r="K275" s="55" t="str">
        <f>IFERROR(__xludf.DUMMYFUNCTION("""COMPUTED_VALUE"""),"Yes")</f>
        <v>Yes</v>
      </c>
      <c r="L275" s="55" t="str">
        <f>IFERROR(__xludf.DUMMYFUNCTION("""COMPUTED_VALUE"""),"Score 33.6 ≥ 20 threshold")</f>
        <v>Score 33.6 ≥ 20 threshold</v>
      </c>
      <c r="M275" s="59" t="str">
        <f>IFERROR(__xludf.DUMMYFUNCTION("""COMPUTED_VALUE"""),"No Ad Data")</f>
        <v>No Ad Data</v>
      </c>
      <c r="N275" s="55" t="str">
        <f>IFERROR(__xludf.DUMMYFUNCTION("""COMPUTED_VALUE"""),"8UGC-Mushroom-CTA-""rosanabarbosaoficial")</f>
        <v>8UGC-Mushroom-CTA-"rosanabarbosaoficial</v>
      </c>
      <c r="O275" s="77" t="str">
        <f>IFERROR(__xludf.DUMMYFUNCTION("""COMPUTED_VALUE"""),"https://buy.vahdam.com/coffee-cta-ugc-mushroom")</f>
        <v>https://buy.vahdam.com/coffee-cta-ugc-mushroom</v>
      </c>
      <c r="P275" s="59">
        <f>IFERROR(__xludf.DUMMYFUNCTION("""COMPUTED_VALUE"""),190.0)</f>
        <v>190</v>
      </c>
      <c r="Q275" s="59">
        <f>IFERROR(__xludf.DUMMYFUNCTION("""COMPUTED_VALUE"""),18.0)</f>
        <v>18</v>
      </c>
      <c r="R275" s="59">
        <f>IFERROR(__xludf.DUMMYFUNCTION("""COMPUTED_VALUE"""),13.0)</f>
        <v>13</v>
      </c>
      <c r="S275" s="55"/>
      <c r="T275" s="68">
        <f>IFERROR(__xludf.DUMMYFUNCTION("""COMPUTED_VALUE"""),0.0)</f>
        <v>0</v>
      </c>
      <c r="U275" s="55"/>
      <c r="V275" s="62">
        <f>IFERROR(__xludf.DUMMYFUNCTION("""COMPUTED_VALUE"""),0.0)</f>
        <v>0</v>
      </c>
      <c r="W275" s="63">
        <f>IFERROR(__xludf.DUMMYFUNCTION("""COMPUTED_VALUE"""),117.58)</f>
        <v>117.58</v>
      </c>
      <c r="X275" s="59">
        <f>IFERROR(__xludf.DUMMYFUNCTION("""COMPUTED_VALUE"""),190.0)</f>
        <v>190</v>
      </c>
      <c r="Y275" s="59">
        <f>IFERROR(__xludf.DUMMYFUNCTION("""COMPUTED_VALUE"""),18.0)</f>
        <v>18</v>
      </c>
      <c r="Z275" s="59">
        <f>IFERROR(__xludf.DUMMYFUNCTION("""COMPUTED_VALUE"""),13.0)</f>
        <v>13</v>
      </c>
      <c r="AA275" s="59">
        <f>IFERROR(__xludf.DUMMYFUNCTION("""COMPUTED_VALUE"""),0.0)</f>
        <v>0</v>
      </c>
      <c r="AB275" s="64">
        <f>IFERROR(__xludf.DUMMYFUNCTION("""COMPUTED_VALUE"""),0.0)</f>
        <v>0</v>
      </c>
      <c r="AC275" s="62">
        <f>IFERROR(__xludf.DUMMYFUNCTION("""COMPUTED_VALUE"""),0.0)</f>
        <v>0</v>
      </c>
      <c r="AD275" s="62">
        <f>IFERROR(__xludf.DUMMYFUNCTION("""COMPUTED_VALUE"""),0.0)</f>
        <v>0</v>
      </c>
      <c r="AE275" s="62">
        <f>IFERROR(__xludf.DUMMYFUNCTION("""COMPUTED_VALUE"""),0.0)</f>
        <v>0</v>
      </c>
      <c r="AF275" s="55" t="str">
        <f>IFERROR(__xludf.DUMMYFUNCTION("""COMPUTED_VALUE"""),"Yes")</f>
        <v>Yes</v>
      </c>
      <c r="AG275" s="55"/>
      <c r="AH275" s="55"/>
      <c r="AI275" s="55"/>
      <c r="AJ275" s="55"/>
      <c r="AK275" s="55"/>
      <c r="AL275" s="55"/>
      <c r="AM275" s="55" t="str">
        <f>IFERROR(__xludf.DUMMYFUNCTION("""COMPUTED_VALUE"""),"Q9jTBBUSvqHhYPkCXKuIT92i_tL5LjwZexKiELvZ5TpS951OYg8gieVubZ6_ujRjL2s")</f>
        <v>Q9jTBBUSvqHhYPkCXKuIT92i_tL5LjwZexKiELvZ5TpS951OYg8gieVubZ6_ujRjL2s</v>
      </c>
      <c r="AN275" s="55"/>
      <c r="AO275" s="55" t="str">
        <f>IFERROR(__xludf.DUMMYFUNCTION("""COMPUTED_VALUE"""),"NA")</f>
        <v>NA</v>
      </c>
      <c r="AP275" s="55" t="str">
        <f>IFERROR(__xludf.DUMMYFUNCTION("""COMPUTED_VALUE"""),"NA")</f>
        <v>NA</v>
      </c>
      <c r="AQ275" s="55" t="str">
        <f>IFERROR(__xludf.DUMMYFUNCTION("""COMPUTED_VALUE"""),"NA")</f>
        <v>NA</v>
      </c>
      <c r="AR275" s="55" t="str">
        <f>IFERROR(__xludf.DUMMYFUNCTION("""COMPUTED_VALUE"""),"This is my new coffee crush.")</f>
        <v>This is my new coffee crush.</v>
      </c>
      <c r="AS275" s="55" t="str">
        <f>IFERROR(__xludf.DUMMYFUNCTION("""COMPUTED_VALUE"""),"General / Lifestyle")</f>
        <v>General / Lifestyle</v>
      </c>
      <c r="AT275" s="55" t="str">
        <f>IFERROR(__xludf.DUMMYFUNCTION("""COMPUTED_VALUE"""),"• Ashuganda Coffee has literally replaced three things on my wellness shelf and gives me that coffee spirit.
• Also helps me to be calm, focused, and have more energy.
• It's delicious, just like regular coffee.
• I found Vardem Ashuganda Coffee at Target"&amp;".")</f>
        <v>• Ashuganda Coffee has literally replaced three things on my wellness shelf and gives me that coffee spirit.
• Also helps me to be calm, focused, and have more energy.
• It's delicious, just like regular coffee.
• I found Vardem Ashuganda Coffee at Target.</v>
      </c>
      <c r="AU275" s="55" t="str">
        <f>IFERROR(__xludf.DUMMYFUNCTION("""COMPUTED_VALUE"""),"It is available at Target, Nationalwide, or at Target.com.")</f>
        <v>It is available at Target, Nationalwide, or at Target.com.</v>
      </c>
      <c r="AV275" s="55" t="str">
        <f>IFERROR(__xludf.DUMMYFUNCTION("""COMPUTED_VALUE"""),"This is my new coffee crush. I found Vardem Ashuganda Coffee at Target. Ashuganda Coffee has literally replaced three things on my wellness shelf and gives me that coffee spirit. Also helps me to be calm, focused, and have more energy. It's delicious, jus"&amp;"t like regular coffee. It is available at Target, Nationalwide, or at Target.com.")</f>
        <v>This is my new coffee crush. I found Vardem Ashuganda Coffee at Target. Ashuganda Coffee has literally replaced three things on my wellness shelf and gives me that coffee spirit. Also helps me to be calm, focused, and have more energy. It's delicious, just like regular coffee. It is available at Target, Nationalwide, or at Target.com.</v>
      </c>
      <c r="AW275" s="35"/>
      <c r="AX275" s="35"/>
      <c r="AY275" s="35"/>
      <c r="AZ275" s="35"/>
      <c r="BA275" s="35"/>
      <c r="BB275" s="35"/>
      <c r="BC275" s="35"/>
      <c r="BD275" s="35"/>
      <c r="BE275" s="35"/>
      <c r="BF275" s="35"/>
      <c r="BG275" s="35"/>
    </row>
    <row r="276" ht="15.75" customHeight="1">
      <c r="A276" s="55" t="str">
        <f>IFERROR(__xludf.DUMMYFUNCTION("""COMPUTED_VALUE"""),"Tiktok")</f>
        <v>Tiktok</v>
      </c>
      <c r="B276" s="56">
        <f>IFERROR(__xludf.DUMMYFUNCTION("""COMPUTED_VALUE"""),46202.0)</f>
        <v>46202</v>
      </c>
      <c r="C276" s="55" t="str">
        <f>IFERROR(__xludf.DUMMYFUNCTION("""COMPUTED_VALUE"""),"June")</f>
        <v>June</v>
      </c>
      <c r="D276" s="58" t="str">
        <f>IFERROR(__xludf.DUMMYFUNCTION("""COMPUTED_VALUE"""),"https://www.tiktok.com/@juliegperalta/video/7655636072180763918")</f>
        <v>https://www.tiktok.com/@juliegperalta/video/7655636072180763918</v>
      </c>
      <c r="E276" s="55" t="str">
        <f>IFERROR(__xludf.DUMMYFUNCTION("""COMPUTED_VALUE"""),"@juliegperalta")</f>
        <v>@juliegperalta</v>
      </c>
      <c r="F276" s="55"/>
      <c r="G276" s="55" t="str">
        <f>IFERROR(__xludf.DUMMYFUNCTION("""COMPUTED_VALUE"""),"Countering Mushroom Coffee Trend")</f>
        <v>Countering Mushroom Coffee Trend</v>
      </c>
      <c r="H276" s="55"/>
      <c r="I276" s="55">
        <f>IFERROR(__xludf.DUMMYFUNCTION("""COMPUTED_VALUE"""),46.9)</f>
        <v>46.9</v>
      </c>
      <c r="J276" s="55" t="str">
        <f>IFERROR(__xludf.DUMMYFUNCTION("""COMPUTED_VALUE"""),"Yes – Recommend")</f>
        <v>Yes – Recommend</v>
      </c>
      <c r="K276" s="55" t="str">
        <f>IFERROR(__xludf.DUMMYFUNCTION("""COMPUTED_VALUE"""),"Review before running ads")</f>
        <v>Review before running ads</v>
      </c>
      <c r="L276" s="55" t="str">
        <f>IFERROR(__xludf.DUMMYFUNCTION("""COMPUTED_VALUE"""),"Score 57.3 ≥ 30; 6-sec 28.2% ≥ 25%")</f>
        <v>Score 57.3 ≥ 30; 6-sec 28.2% ≥ 25%</v>
      </c>
      <c r="M276" s="59" t="str">
        <f>IFERROR(__xludf.DUMMYFUNCTION("""COMPUTED_VALUE"""),"No Ad Data")</f>
        <v>No Ad Data</v>
      </c>
      <c r="N276" s="55"/>
      <c r="O276" s="55"/>
      <c r="P276" s="59">
        <f>IFERROR(__xludf.DUMMYFUNCTION("""COMPUTED_VALUE"""),186.0)</f>
        <v>186</v>
      </c>
      <c r="Q276" s="59">
        <f>IFERROR(__xludf.DUMMYFUNCTION("""COMPUTED_VALUE"""),14.0)</f>
        <v>14</v>
      </c>
      <c r="R276" s="59">
        <f>IFERROR(__xludf.DUMMYFUNCTION("""COMPUTED_VALUE"""),12.0)</f>
        <v>12</v>
      </c>
      <c r="S276" s="62">
        <f>IFERROR(__xludf.DUMMYFUNCTION("""COMPUTED_VALUE"""),47.6)</f>
        <v>47.6</v>
      </c>
      <c r="T276" s="62">
        <f>IFERROR(__xludf.DUMMYFUNCTION("""COMPUTED_VALUE"""),28.2)</f>
        <v>28.2</v>
      </c>
      <c r="U276" s="64">
        <f>IFERROR(__xludf.DUMMYFUNCTION("""COMPUTED_VALUE"""),11.0)</f>
        <v>11</v>
      </c>
      <c r="V276" s="62">
        <f>IFERROR(__xludf.DUMMYFUNCTION("""COMPUTED_VALUE"""),18.8)</f>
        <v>18.8</v>
      </c>
      <c r="W276" s="63">
        <f>IFERROR(__xludf.DUMMYFUNCTION("""COMPUTED_VALUE"""),117.58)</f>
        <v>117.58</v>
      </c>
      <c r="X276" s="59">
        <f>IFERROR(__xludf.DUMMYFUNCTION("""COMPUTED_VALUE"""),186.0)</f>
        <v>186</v>
      </c>
      <c r="Y276" s="59">
        <f>IFERROR(__xludf.DUMMYFUNCTION("""COMPUTED_VALUE"""),14.0)</f>
        <v>14</v>
      </c>
      <c r="Z276" s="59">
        <f>IFERROR(__xludf.DUMMYFUNCTION("""COMPUTED_VALUE"""),12.0)</f>
        <v>12</v>
      </c>
      <c r="AA276" s="59">
        <f>IFERROR(__xludf.DUMMYFUNCTION("""COMPUTED_VALUE"""),9.0)</f>
        <v>9</v>
      </c>
      <c r="AB276" s="64">
        <f>IFERROR(__xludf.DUMMYFUNCTION("""COMPUTED_VALUE"""),11.0)</f>
        <v>11</v>
      </c>
      <c r="AC276" s="62">
        <f>IFERROR(__xludf.DUMMYFUNCTION("""COMPUTED_VALUE"""),18.8)</f>
        <v>18.8</v>
      </c>
      <c r="AD276" s="62">
        <f>IFERROR(__xludf.DUMMYFUNCTION("""COMPUTED_VALUE"""),47.6)</f>
        <v>47.6</v>
      </c>
      <c r="AE276" s="62">
        <f>IFERROR(__xludf.DUMMYFUNCTION("""COMPUTED_VALUE"""),28.2)</f>
        <v>28.2</v>
      </c>
      <c r="AF276" s="55"/>
      <c r="AG276" s="55"/>
      <c r="AH276" s="55"/>
      <c r="AI276" s="55"/>
      <c r="AJ276" s="55"/>
      <c r="AK276" s="55"/>
      <c r="AL276" s="55"/>
      <c r="AM276" s="55" t="str">
        <f>IFERROR(__xludf.DUMMYFUNCTION("""COMPUTED_VALUE"""),"#JL+S6E+qiMgCueE7VjkS+aW380AwMa0lwUHeZtjEza7M6cGO4F9316i34yjD+Gw=")</f>
        <v>#JL+S6E+qiMgCueE7VjkS+aW380AwMa0lwUHeZtjEza7M6cGO4F9316i34yjD+Gw=</v>
      </c>
      <c r="AN276" s="55"/>
      <c r="AO276" s="55"/>
      <c r="AP276" s="55"/>
      <c r="AQ276" s="55" t="str">
        <f>IFERROR(__xludf.DUMMYFUNCTION("""COMPUTED_VALUE"""),"Boy mom + coffee = my favorite combo. â˜•ðŸ¤Ž Chasing after my little boy all day makes me appreciate those quiet moments with a great cup of coffee even more. Growing up in Costa Rica, coffee has...")</f>
        <v>Boy mom + coffee = my favorite combo. â˜•ðŸ¤Ž Chasing after my little boy all day makes me appreciate those quiet moments with a great cup of coffee even more. Growing up in Costa Rica, coffee has...</v>
      </c>
      <c r="AR276" s="55" t="str">
        <f>IFERROR(__xludf.DUMMYFUNCTION("""COMPUTED_VALUE"""),"Yeah, I'm a boy, mom. Which means my days start at 100 miles an hour.")</f>
        <v>Yeah, I'm a boy, mom. Which means my days start at 100 miles an hour.</v>
      </c>
      <c r="AS276" s="55" t="str">
        <f>IFERROR(__xludf.DUMMYFUNCTION("""COMPUTED_VALUE"""),"Personal Story")</f>
        <v>Personal Story</v>
      </c>
      <c r="AT276" s="55" t="str">
        <f>IFERROR(__xludf.DUMMYFUNCTION("""COMPUTED_VALUE"""),"• Product introduced mid-video after hook
• Benefits covered: energy, focus, cortisol, jitter
• CTA: ""Grab yours on your next target run.""")</f>
        <v>• Product introduced mid-video after hook
• Benefits covered: energy, focus, cortisol, jitter
• CTA: "Grab yours on your next target run."</v>
      </c>
      <c r="AU276" s="55" t="str">
        <f>IFERROR(__xludf.DUMMYFUNCTION("""COMPUTED_VALUE"""),"Grab yours on your next target run.")</f>
        <v>Grab yours on your next target run.</v>
      </c>
      <c r="AV276" s="55" t="str">
        <f>IFERROR(__xludf.DUMMYFUNCTION("""COMPUTED_VALUE"""),"Yeah, I'm a boy, mom. Which means my days start at 100 miles an hour. Between the endless energy and keeping up with my little one, finding a real moment of focus is a must. That's why I upgraded my morning with Vahdam Ashwagandha coffee. It's packed with"&amp;" K S M66 ashwagandha and functional mushrooms. Clinically proven to lower cortisol and fight off that midday brain fog. It gives me the clean, deeply focused energy I need to handle the beautiful chaos entirely without the jitters. Grab yours on your next"&amp;" target run.")</f>
        <v>Yeah, I'm a boy, mom. Which means my days start at 100 miles an hour. Between the endless energy and keeping up with my little one, finding a real moment of focus is a must. That's why I upgraded my morning with Vahdam Ashwagandha coffee. It's packed with K S M66 ashwagandha and functional mushrooms. Clinically proven to lower cortisol and fight off that midday brain fog. It gives me the clean, deeply focused energy I need to handle the beautiful chaos entirely without the jitters. Grab yours on your next target run.</v>
      </c>
      <c r="AW276" s="35"/>
      <c r="AX276" s="35"/>
      <c r="AY276" s="35"/>
      <c r="AZ276" s="35"/>
      <c r="BA276" s="35"/>
      <c r="BB276" s="35"/>
      <c r="BC276" s="35"/>
      <c r="BD276" s="35"/>
      <c r="BE276" s="35"/>
      <c r="BF276" s="35"/>
      <c r="BG276" s="35"/>
    </row>
    <row r="277" ht="15.75" customHeight="1">
      <c r="A277" s="55" t="str">
        <f>IFERROR(__xludf.DUMMYFUNCTION("""COMPUTED_VALUE"""),"Tiktok")</f>
        <v>Tiktok</v>
      </c>
      <c r="B277" s="56">
        <f>IFERROR(__xludf.DUMMYFUNCTION("""COMPUTED_VALUE"""),46195.0)</f>
        <v>46195</v>
      </c>
      <c r="C277" s="55" t="str">
        <f>IFERROR(__xludf.DUMMYFUNCTION("""COMPUTED_VALUE"""),"June")</f>
        <v>June</v>
      </c>
      <c r="D277" s="58" t="str">
        <f>IFERROR(__xludf.DUMMYFUNCTION("""COMPUTED_VALUE"""),"https://www.tiktok.com/@jamesmelissaugc/video/7654195508097010957")</f>
        <v>https://www.tiktok.com/@jamesmelissaugc/video/7654195508097010957</v>
      </c>
      <c r="E277" s="55" t="str">
        <f>IFERROR(__xludf.DUMMYFUNCTION("""COMPUTED_VALUE"""),"@jamesmelissaugc")</f>
        <v>@jamesmelissaugc</v>
      </c>
      <c r="F277" s="55" t="str">
        <f>IFERROR(__xludf.DUMMYFUNCTION("""COMPUTED_VALUE"""),"James Griffiths")</f>
        <v>James Griffiths</v>
      </c>
      <c r="G277" s="55" t="str">
        <f>IFERROR(__xludf.DUMMYFUNCTION("""COMPUTED_VALUE"""),"Taste")</f>
        <v>Taste</v>
      </c>
      <c r="H277" s="55">
        <f>IFERROR(__xludf.DUMMYFUNCTION("""COMPUTED_VALUE"""),55.0)</f>
        <v>55</v>
      </c>
      <c r="I277" s="55">
        <f>IFERROR(__xludf.DUMMYFUNCTION("""COMPUTED_VALUE"""),39.3)</f>
        <v>39.3</v>
      </c>
      <c r="J277" s="55" t="str">
        <f>IFERROR(__xludf.DUMMYFUNCTION("""COMPUTED_VALUE"""),"Yes – Recommend")</f>
        <v>Yes – Recommend</v>
      </c>
      <c r="K277" s="55" t="str">
        <f>IFERROR(__xludf.DUMMYFUNCTION("""COMPUTED_VALUE"""),"Yes")</f>
        <v>Yes</v>
      </c>
      <c r="L277" s="55" t="str">
        <f>IFERROR(__xludf.DUMMYFUNCTION("""COMPUTED_VALUE"""),"Score 35.5 ≥ 30")</f>
        <v>Score 35.5 ≥ 30</v>
      </c>
      <c r="M277" s="59" t="str">
        <f>IFERROR(__xludf.DUMMYFUNCTION("""COMPUTED_VALUE"""),"Algorithm spent low")</f>
        <v>Algorithm spent low</v>
      </c>
      <c r="N277" s="55"/>
      <c r="O277" s="55"/>
      <c r="P277" s="59">
        <f>IFERROR(__xludf.DUMMYFUNCTION("""COMPUTED_VALUE"""),100.0)</f>
        <v>100</v>
      </c>
      <c r="Q277" s="59">
        <f>IFERROR(__xludf.DUMMYFUNCTION("""COMPUTED_VALUE"""),9.0)</f>
        <v>9</v>
      </c>
      <c r="R277" s="59">
        <f>IFERROR(__xludf.DUMMYFUNCTION("""COMPUTED_VALUE"""),4.0)</f>
        <v>4</v>
      </c>
      <c r="S277" s="55"/>
      <c r="T277" s="68">
        <f>IFERROR(__xludf.DUMMYFUNCTION("""COMPUTED_VALUE"""),19.3)</f>
        <v>19.3</v>
      </c>
      <c r="U277" s="55"/>
      <c r="V277" s="62">
        <f>IFERROR(__xludf.DUMMYFUNCTION("""COMPUTED_VALUE"""),0.17)</f>
        <v>0.17</v>
      </c>
      <c r="W277" s="63">
        <f>IFERROR(__xludf.DUMMYFUNCTION("""COMPUTED_VALUE"""),117.58)</f>
        <v>117.58</v>
      </c>
      <c r="X277" s="59">
        <f>IFERROR(__xludf.DUMMYFUNCTION("""COMPUTED_VALUE"""),185.0)</f>
        <v>185</v>
      </c>
      <c r="Y277" s="59">
        <f>IFERROR(__xludf.DUMMYFUNCTION("""COMPUTED_VALUE"""),10.0)</f>
        <v>10</v>
      </c>
      <c r="Z277" s="59">
        <f>IFERROR(__xludf.DUMMYFUNCTION("""COMPUTED_VALUE"""),4.0)</f>
        <v>4</v>
      </c>
      <c r="AA277" s="59">
        <f>IFERROR(__xludf.DUMMYFUNCTION("""COMPUTED_VALUE"""),4.0)</f>
        <v>4</v>
      </c>
      <c r="AB277" s="64">
        <f>IFERROR(__xludf.DUMMYFUNCTION("""COMPUTED_VALUE"""),7.0)</f>
        <v>7</v>
      </c>
      <c r="AC277" s="62">
        <f>IFERROR(__xludf.DUMMYFUNCTION("""COMPUTED_VALUE"""),9.7)</f>
        <v>9.7</v>
      </c>
      <c r="AD277" s="62">
        <f>IFERROR(__xludf.DUMMYFUNCTION("""COMPUTED_VALUE"""),52.6)</f>
        <v>52.6</v>
      </c>
      <c r="AE277" s="62">
        <f>IFERROR(__xludf.DUMMYFUNCTION("""COMPUTED_VALUE"""),19.3)</f>
        <v>19.3</v>
      </c>
      <c r="AF277" s="55" t="str">
        <f>IFERROR(__xludf.DUMMYFUNCTION("""COMPUTED_VALUE"""),"Yes")</f>
        <v>Yes</v>
      </c>
      <c r="AG277" s="63">
        <f>IFERROR(__xludf.DUMMYFUNCTION("""COMPUTED_VALUE"""),0.45)</f>
        <v>0.45</v>
      </c>
      <c r="AH277" s="59">
        <f>IFERROR(__xludf.DUMMYFUNCTION("""COMPUTED_VALUE"""),49.0)</f>
        <v>49</v>
      </c>
      <c r="AI277" s="55"/>
      <c r="AJ277" s="59">
        <f>IFERROR(__xludf.DUMMYFUNCTION("""COMPUTED_VALUE"""),1.0)</f>
        <v>1</v>
      </c>
      <c r="AK277" s="62">
        <f>IFERROR(__xludf.DUMMYFUNCTION("""COMPUTED_VALUE"""),2.0408)</f>
        <v>2.0408</v>
      </c>
      <c r="AL277" s="65">
        <f>IFERROR(__xludf.DUMMYFUNCTION("""COMPUTED_VALUE"""),0.45)</f>
        <v>0.45</v>
      </c>
      <c r="AM277" s="55" t="str">
        <f>IFERROR(__xludf.DUMMYFUNCTION("""COMPUTED_VALUE"""),"#D0iwi3jYNGIb+ZXybLRgrQXJ/ESgkIOGSqNAvRBlWO+FpYBhcg5cT7dwjtp3qmY=")</f>
        <v>#D0iwi3jYNGIb+ZXybLRgrQXJ/ESgkIOGSqNAvRBlWO+FpYBhcg5cT7dwjtp3qmY=</v>
      </c>
      <c r="AN277" s="55"/>
      <c r="AO277" s="58" t="str">
        <f>IFERROR(__xludf.DUMMYFUNCTION("""COMPUTED_VALUE"""),"https://us.brand.joinbrands.com/job/693084")</f>
        <v>https://us.brand.joinbrands.com/job/693084</v>
      </c>
      <c r="AP277" s="55" t="str">
        <f>IFERROR(__xludf.DUMMYFUNCTION("""COMPUTED_VALUE"""),"NA")</f>
        <v>NA</v>
      </c>
      <c r="AQ277" s="55" t="str">
        <f>IFERROR(__xludf.DUMMYFUNCTION("""COMPUTED_VALUE"""),"Check this out. Coffee that supports your body. available in target stores or target.com. @target @VAHDAM USA")</f>
        <v>Check this out. Coffee that supports your body. available in target stores or target.com. @target @VAHDAM USA</v>
      </c>
      <c r="AR277" s="55" t="str">
        <f>IFERROR(__xludf.DUMMYFUNCTION("""COMPUTED_VALUE"""),"Ladies, ladies, you going through menopause?")</f>
        <v>Ladies, ladies, you going through menopause?</v>
      </c>
      <c r="AS277" s="55" t="str">
        <f>IFERROR(__xludf.DUMMYFUNCTION("""COMPUTED_VALUE"""),"Age / Life Stage")</f>
        <v>Age / Life Stage</v>
      </c>
      <c r="AT277" s="55" t="str">
        <f>IFERROR(__xludf.DUMMYFUNCTION("""COMPUTED_VALUE"""),"• And it's an instant coffee, which normally I'm a little bit hesitant about instant coffee because I'm a coffee snob, you know?
• I get ya, I feel ya.
• I had instant menopause because I had a hysterectomy.
• And I take so many supplements, but I discove"&amp;"red the best coffee.")</f>
        <v>• And it's an instant coffee, which normally I'm a little bit hesitant about instant coffee because I'm a coffee snob, you know?
• I get ya, I feel ya.
• I had instant menopause because I had a hysterectomy.
• And I take so many supplements, but I discovered the best coffee.</v>
      </c>
      <c r="AU277" s="55" t="str">
        <f>IFERROR(__xludf.DUMMYFUNCTION("""COMPUTED_VALUE"""),"I ordered it off target.com, but you can also get it in the Target store itself.")</f>
        <v>I ordered it off target.com, but you can also get it in the Target store itself.</v>
      </c>
      <c r="AV277" s="55" t="str">
        <f>IFERROR(__xludf.DUMMYFUNCTION("""COMPUTED_VALUE"""),"Ladies, ladies, you going through menopause? I get ya, I feel ya. I've had the hot flashes, I've had the sleepy sweats, I've had all of the weird feelings, the emotions, all of that. I had instant menopause because I had a hysterectomy. And so I went from"&amp;" zero to everything. And I take so many supplements, but I discovered the best coffee. It is ashwagandha. And it's an instant coffee, which normally I'm a little bit hesitant about instant coffee because I'm a coffee snob, you know? But the first thing th"&amp;"at I said when I tried it was, that's so much better. I loved it. Oh my gosh. It's so delicious. It's also helping me with those old lady puffy eyes that I'm starting to get. It's good. I got it at Target. I ordered it off target.com, but you can also get"&amp;" it in the Target store itself.")</f>
        <v>Ladies, ladies, you going through menopause? I get ya, I feel ya. I've had the hot flashes, I've had the sleepy sweats, I've had all of the weird feelings, the emotions, all of that. I had instant menopause because I had a hysterectomy. And so I went from zero to everything. And I take so many supplements, but I discovered the best coffee. It is ashwagandha. And it's an instant coffee, which normally I'm a little bit hesitant about instant coffee because I'm a coffee snob, you know? But the first thing that I said when I tried it was, that's so much better. I loved it. Oh my gosh. It's so delicious. It's also helping me with those old lady puffy eyes that I'm starting to get. It's good. I got it at Target. I ordered it off target.com, but you can also get it in the Target store itself.</v>
      </c>
      <c r="AW277" s="35"/>
      <c r="AX277" s="35"/>
      <c r="AY277" s="35"/>
      <c r="AZ277" s="35"/>
      <c r="BA277" s="35"/>
      <c r="BB277" s="35"/>
      <c r="BC277" s="35"/>
      <c r="BD277" s="35"/>
      <c r="BE277" s="35"/>
      <c r="BF277" s="35"/>
      <c r="BG277" s="35"/>
    </row>
    <row r="278" ht="15.75" customHeight="1">
      <c r="A278" s="55" t="str">
        <f>IFERROR(__xludf.DUMMYFUNCTION("""COMPUTED_VALUE"""),"Tiktok")</f>
        <v>Tiktok</v>
      </c>
      <c r="B278" s="56">
        <f>IFERROR(__xludf.DUMMYFUNCTION("""COMPUTED_VALUE"""),46196.0)</f>
        <v>46196</v>
      </c>
      <c r="C278" s="55" t="str">
        <f>IFERROR(__xludf.DUMMYFUNCTION("""COMPUTED_VALUE"""),"June")</f>
        <v>June</v>
      </c>
      <c r="D278" s="58" t="str">
        <f>IFERROR(__xludf.DUMMYFUNCTION("""COMPUTED_VALUE"""),"https://www.tiktok.com/@liz63785/video/7654512998781947167")</f>
        <v>https://www.tiktok.com/@liz63785/video/7654512998781947167</v>
      </c>
      <c r="E278" s="55" t="str">
        <f>IFERROR(__xludf.DUMMYFUNCTION("""COMPUTED_VALUE"""),"@liz63785")</f>
        <v>@liz63785</v>
      </c>
      <c r="F278" s="55" t="str">
        <f>IFERROR(__xludf.DUMMYFUNCTION("""COMPUTED_VALUE"""),"Liz Simone")</f>
        <v>Liz Simone</v>
      </c>
      <c r="G278" s="55" t="str">
        <f>IFERROR(__xludf.DUMMYFUNCTION("""COMPUTED_VALUE"""),"Cortisol")</f>
        <v>Cortisol</v>
      </c>
      <c r="H278" s="55">
        <f>IFERROR(__xludf.DUMMYFUNCTION("""COMPUTED_VALUE"""),79.0)</f>
        <v>79</v>
      </c>
      <c r="I278" s="55">
        <f>IFERROR(__xludf.DUMMYFUNCTION("""COMPUTED_VALUE"""),31.7)</f>
        <v>31.7</v>
      </c>
      <c r="J278" s="55" t="str">
        <f>IFERROR(__xludf.DUMMYFUNCTION("""COMPUTED_VALUE"""),"Yes – Recommend")</f>
        <v>Yes – Recommend</v>
      </c>
      <c r="K278" s="55" t="str">
        <f>IFERROR(__xludf.DUMMYFUNCTION("""COMPUTED_VALUE"""),"Yes")</f>
        <v>Yes</v>
      </c>
      <c r="L278" s="55" t="str">
        <f>IFERROR(__xludf.DUMMYFUNCTION("""COMPUTED_VALUE"""),"Score 32.6 ≥ 30; 6-sec 30.2% ≥ 25%")</f>
        <v>Score 32.6 ≥ 30; 6-sec 30.2% ≥ 25%</v>
      </c>
      <c r="M278" s="59" t="str">
        <f>IFERROR(__xludf.DUMMYFUNCTION("""COMPUTED_VALUE"""),"Algorithm spent low")</f>
        <v>Algorithm spent low</v>
      </c>
      <c r="N278" s="55"/>
      <c r="O278" s="55"/>
      <c r="P278" s="59">
        <f>IFERROR(__xludf.DUMMYFUNCTION("""COMPUTED_VALUE"""),167.0)</f>
        <v>167</v>
      </c>
      <c r="Q278" s="59">
        <f>IFERROR(__xludf.DUMMYFUNCTION("""COMPUTED_VALUE"""),1.0)</f>
        <v>1</v>
      </c>
      <c r="R278" s="59">
        <f>IFERROR(__xludf.DUMMYFUNCTION("""COMPUTED_VALUE"""),0.0)</f>
        <v>0</v>
      </c>
      <c r="S278" s="55"/>
      <c r="T278" s="68">
        <f>IFERROR(__xludf.DUMMYFUNCTION("""COMPUTED_VALUE"""),30.2)</f>
        <v>30.2</v>
      </c>
      <c r="U278" s="55"/>
      <c r="V278" s="62">
        <f>IFERROR(__xludf.DUMMYFUNCTION("""COMPUTED_VALUE"""),0.0078)</f>
        <v>0.0078</v>
      </c>
      <c r="W278" s="63">
        <f>IFERROR(__xludf.DUMMYFUNCTION("""COMPUTED_VALUE"""),117.58)</f>
        <v>117.58</v>
      </c>
      <c r="X278" s="59">
        <f>IFERROR(__xludf.DUMMYFUNCTION("""COMPUTED_VALUE"""),176.0)</f>
        <v>176</v>
      </c>
      <c r="Y278" s="59">
        <f>IFERROR(__xludf.DUMMYFUNCTION("""COMPUTED_VALUE"""),2.0)</f>
        <v>2</v>
      </c>
      <c r="Z278" s="59">
        <f>IFERROR(__xludf.DUMMYFUNCTION("""COMPUTED_VALUE"""),0.0)</f>
        <v>0</v>
      </c>
      <c r="AA278" s="59">
        <f>IFERROR(__xludf.DUMMYFUNCTION("""COMPUTED_VALUE"""),0.0)</f>
        <v>0</v>
      </c>
      <c r="AB278" s="64">
        <f>IFERROR(__xludf.DUMMYFUNCTION("""COMPUTED_VALUE"""),9.0)</f>
        <v>9</v>
      </c>
      <c r="AC278" s="62">
        <f>IFERROR(__xludf.DUMMYFUNCTION("""COMPUTED_VALUE"""),1.1)</f>
        <v>1.1</v>
      </c>
      <c r="AD278" s="62">
        <f>IFERROR(__xludf.DUMMYFUNCTION("""COMPUTED_VALUE"""),60.8)</f>
        <v>60.8</v>
      </c>
      <c r="AE278" s="62">
        <f>IFERROR(__xludf.DUMMYFUNCTION("""COMPUTED_VALUE"""),32.9)</f>
        <v>32.9</v>
      </c>
      <c r="AF278" s="55" t="str">
        <f>IFERROR(__xludf.DUMMYFUNCTION("""COMPUTED_VALUE"""),"Yes")</f>
        <v>Yes</v>
      </c>
      <c r="AG278" s="63">
        <f>IFERROR(__xludf.DUMMYFUNCTION("""COMPUTED_VALUE"""),1.05)</f>
        <v>1.05</v>
      </c>
      <c r="AH278" s="59">
        <f>IFERROR(__xludf.DUMMYFUNCTION("""COMPUTED_VALUE"""),178.0)</f>
        <v>178</v>
      </c>
      <c r="AI278" s="55"/>
      <c r="AJ278" s="59">
        <f>IFERROR(__xludf.DUMMYFUNCTION("""COMPUTED_VALUE"""),2.0)</f>
        <v>2</v>
      </c>
      <c r="AK278" s="62">
        <f>IFERROR(__xludf.DUMMYFUNCTION("""COMPUTED_VALUE"""),1.1236)</f>
        <v>1.1236</v>
      </c>
      <c r="AL278" s="65">
        <f>IFERROR(__xludf.DUMMYFUNCTION("""COMPUTED_VALUE"""),0.525)</f>
        <v>0.525</v>
      </c>
      <c r="AM278" s="55" t="str">
        <f>IFERROR(__xludf.DUMMYFUNCTION("""COMPUTED_VALUE"""),"#YGI+naapBbwIqw2z81ndLvFWbAQqtIM1OMMuoAriinFyhG8vdMrHlYSuiANwXi8=")</f>
        <v>#YGI+naapBbwIqw2z81ndLvFWbAQqtIM1OMMuoAriinFyhG8vdMrHlYSuiANwXi8=</v>
      </c>
      <c r="AN278" s="55"/>
      <c r="AO278" s="58" t="str">
        <f>IFERROR(__xludf.DUMMYFUNCTION("""COMPUTED_VALUE"""),"https://us.brand.joinbrands.com/job/689623")</f>
        <v>https://us.brand.joinbrands.com/job/689623</v>
      </c>
      <c r="AP278" s="55" t="str">
        <f>IFERROR(__xludf.DUMMYFUNCTION("""COMPUTED_VALUE"""),"Long but nice - product comes in too late | MISFIT: Strong organic signal (score 36.4, 32.9% 6-sec) but only $1.05 spent — content was under-invested in ads.")</f>
        <v>Long but nice - product comes in too late | MISFIT: Strong organic signal (score 36.4, 32.9% 6-sec) but only $1.05 spent — content was under-invested in ads.</v>
      </c>
      <c r="AQ278" s="55" t="str">
        <f>IFERROR(__xludf.DUMMYFUNCTION("""COMPUTED_VALUE"""),"VAHDAM coffee available at Target! Help those hormones and our 40 year old bodies! @VAHDAM USA @target")</f>
        <v>VAHDAM coffee available at Target! Help those hormones and our 40 year old bodies! @VAHDAM USA @target</v>
      </c>
      <c r="AR278" s="55" t="str">
        <f>IFERROR(__xludf.DUMMYFUNCTION("""COMPUTED_VALUE"""),"Are you anything like me?")</f>
        <v>Are you anything like me?</v>
      </c>
      <c r="AS278" s="55" t="str">
        <f>IFERROR(__xludf.DUMMYFUNCTION("""COMPUTED_VALUE"""),"Curiosity / Question")</f>
        <v>Curiosity / Question</v>
      </c>
      <c r="AT278" s="55" t="str">
        <f>IFERROR(__xludf.DUMMYFUNCTION("""COMPUTED_VALUE"""),"• So one thing specifically that I love about Vottom's Ashwagandha Coffee is that it's like coffee upgraded with five wellness ingredients in one cup.
• In just two cups daily, you're getting your ashwagandha, turmeric, altheanine, lion's mane, and chaga "&amp;"mushrooms.
• So it's coffee that tastes delicious just like a regular coffee and might I say tastes better.
• 41, 42, starting with some of those perimenopause or menopause symptoms.")</f>
        <v>• So one thing specifically that I love about Vottom's Ashwagandha Coffee is that it's like coffee upgraded with five wellness ingredients in one cup.
• In just two cups daily, you're getting your ashwagandha, turmeric, altheanine, lion's mane, and chaga mushrooms.
• So it's coffee that tastes delicious just like a regular coffee and might I say tastes better.
• 41, 42, starting with some of those perimenopause or menopause symptoms.</v>
      </c>
      <c r="AU278" s="55" t="str">
        <f>IFERROR(__xludf.DUMMYFUNCTION("""COMPUTED_VALUE"""),"Go grab some now.")</f>
        <v>Go grab some now.</v>
      </c>
      <c r="AV278" s="55" t="str">
        <f>IFERROR(__xludf.DUMMYFUNCTION("""COMPUTED_VALUE"""),"Are you anything like me? 41, 42, starting with some of those perimenopause or menopause symptoms. You know, can't lose the weight after 40, hormonal changes, hot flashes, any of those ringing a bell? If so, you need to stay tuned with me. So with dealing"&amp;" with all those symptoms in my age, I figure something has to be changed. I'm a coffee gal. I like a nice coffee in the morning. I do sometimes like a little pick-me-up at the end of the day. I also take a lot of supplements, specifically ashwagandha is o"&amp;"ne of them that I've been taking for probably six months now. So I figured that's a good place to start to see what can I overlap with. And let me tell you, I came across Vottom's Ashwagandha Coffee. Game changer. So one thing specifically that I love abo"&amp;"ut Vottom's Ashwagandha Coffee is that it's like coffee upgraded with five wellness ingredients in one cup. In just two cups daily, you're getting your ashwagandha, turmeric, altheanine, lion's mane, and chaga mushrooms. That is amazing to have all this i"&amp;"n here. So it's coffee that tastes delicious just like a regular coffee and might I say tastes better. It's available at Target. Go grab some now. I need to restock.")</f>
        <v>Are you anything like me? 41, 42, starting with some of those perimenopause or menopause symptoms. You know, can't lose the weight after 40, hormonal changes, hot flashes, any of those ringing a bell? If so, you need to stay tuned with me. So with dealing with all those symptoms in my age, I figure something has to be changed. I'm a coffee gal. I like a nice coffee in the morning. I do sometimes like a little pick-me-up at the end of the day. I also take a lot of supplements, specifically ashwagandha is one of them that I've been taking for probably six months now. So I figured that's a good place to start to see what can I overlap with. And let me tell you, I came across Vottom's Ashwagandha Coffee. Game changer. So one thing specifically that I love about Vottom's Ashwagandha Coffee is that it's like coffee upgraded with five wellness ingredients in one cup. In just two cups daily, you're getting your ashwagandha, turmeric, altheanine, lion's mane, and chaga mushrooms. That is amazing to have all this in here. So it's coffee that tastes delicious just like a regular coffee and might I say tastes better. It's available at Target. Go grab some now. I need to restock.</v>
      </c>
      <c r="AW278" s="35"/>
      <c r="AX278" s="35"/>
      <c r="AY278" s="35"/>
      <c r="AZ278" s="35"/>
      <c r="BA278" s="35"/>
      <c r="BB278" s="35"/>
      <c r="BC278" s="35"/>
      <c r="BD278" s="35"/>
      <c r="BE278" s="35"/>
      <c r="BF278" s="35"/>
      <c r="BG278" s="35"/>
    </row>
    <row r="279" ht="15.75" customHeight="1">
      <c r="A279" s="55" t="str">
        <f>IFERROR(__xludf.DUMMYFUNCTION("""COMPUTED_VALUE"""),"Instagram")</f>
        <v>Instagram</v>
      </c>
      <c r="B279" s="56">
        <f>IFERROR(__xludf.DUMMYFUNCTION("""COMPUTED_VALUE"""),46187.0)</f>
        <v>46187</v>
      </c>
      <c r="C279" s="55" t="str">
        <f>IFERROR(__xludf.DUMMYFUNCTION("""COMPUTED_VALUE"""),"June")</f>
        <v>June</v>
      </c>
      <c r="D279" s="58" t="str">
        <f>IFERROR(__xludf.DUMMYFUNCTION("""COMPUTED_VALUE"""),"https://www.instagram.com/reel/DZin9PfiKXv/")</f>
        <v>https://www.instagram.com/reel/DZin9PfiKXv/</v>
      </c>
      <c r="E279" s="55" t="str">
        <f>IFERROR(__xludf.DUMMYFUNCTION("""COMPUTED_VALUE"""),"dioxi10")</f>
        <v>dioxi10</v>
      </c>
      <c r="F279" s="55" t="str">
        <f>IFERROR(__xludf.DUMMYFUNCTION("""COMPUTED_VALUE"""),"NA")</f>
        <v>NA</v>
      </c>
      <c r="G279" s="55" t="str">
        <f>IFERROR(__xludf.DUMMYFUNCTION("""COMPUTED_VALUE"""),"Cortisol")</f>
        <v>Cortisol</v>
      </c>
      <c r="H279" s="55">
        <f>IFERROR(__xludf.DUMMYFUNCTION("""COMPUTED_VALUE"""),44.0)</f>
        <v>44</v>
      </c>
      <c r="I279" s="55">
        <f>IFERROR(__xludf.DUMMYFUNCTION("""COMPUTED_VALUE"""),22.2)</f>
        <v>22.2</v>
      </c>
      <c r="J279" s="55" t="str">
        <f>IFERROR(__xludf.DUMMYFUNCTION("""COMPUTED_VALUE"""),"Yes – Recommend")</f>
        <v>Yes – Recommend</v>
      </c>
      <c r="K279" s="55" t="str">
        <f>IFERROR(__xludf.DUMMYFUNCTION("""COMPUTED_VALUE"""),"Yes")</f>
        <v>Yes</v>
      </c>
      <c r="L279" s="55" t="str">
        <f>IFERROR(__xludf.DUMMYFUNCTION("""COMPUTED_VALUE"""),"Score 23.3 ≥ 20 threshold")</f>
        <v>Score 23.3 ≥ 20 threshold</v>
      </c>
      <c r="M279" s="59" t="str">
        <f>IFERROR(__xludf.DUMMYFUNCTION("""COMPUTED_VALUE"""),"No Ad Data")</f>
        <v>No Ad Data</v>
      </c>
      <c r="N279" s="55" t="str">
        <f>IFERROR(__xludf.DUMMYFUNCTION("""COMPUTED_VALUE"""),"7UGC-Cortisol-CTA-dioxi10")</f>
        <v>7UGC-Cortisol-CTA-dioxi10</v>
      </c>
      <c r="O279" s="58" t="str">
        <f>IFERROR(__xludf.DUMMYFUNCTION("""COMPUTED_VALUE"""),"https://buy.vahdam.com/coffee-cta-ugc-cortisol")</f>
        <v>https://buy.vahdam.com/coffee-cta-ugc-cortisol</v>
      </c>
      <c r="P279" s="59">
        <f>IFERROR(__xludf.DUMMYFUNCTION("""COMPUTED_VALUE"""),174.0)</f>
        <v>174</v>
      </c>
      <c r="Q279" s="59">
        <f>IFERROR(__xludf.DUMMYFUNCTION("""COMPUTED_VALUE"""),8.0)</f>
        <v>8</v>
      </c>
      <c r="R279" s="59">
        <f>IFERROR(__xludf.DUMMYFUNCTION("""COMPUTED_VALUE"""),0.0)</f>
        <v>0</v>
      </c>
      <c r="S279" s="55"/>
      <c r="T279" s="68">
        <f>IFERROR(__xludf.DUMMYFUNCTION("""COMPUTED_VALUE"""),0.0)</f>
        <v>0</v>
      </c>
      <c r="U279" s="55"/>
      <c r="V279" s="62">
        <f>IFERROR(__xludf.DUMMYFUNCTION("""COMPUTED_VALUE"""),0.04597701149)</f>
        <v>0.04597701149</v>
      </c>
      <c r="W279" s="63">
        <f>IFERROR(__xludf.DUMMYFUNCTION("""COMPUTED_VALUE"""),117.58)</f>
        <v>117.58</v>
      </c>
      <c r="X279" s="59">
        <f>IFERROR(__xludf.DUMMYFUNCTION("""COMPUTED_VALUE"""),174.0)</f>
        <v>174</v>
      </c>
      <c r="Y279" s="59">
        <f>IFERROR(__xludf.DUMMYFUNCTION("""COMPUTED_VALUE"""),8.0)</f>
        <v>8</v>
      </c>
      <c r="Z279" s="59">
        <f>IFERROR(__xludf.DUMMYFUNCTION("""COMPUTED_VALUE"""),0.0)</f>
        <v>0</v>
      </c>
      <c r="AA279" s="59">
        <f>IFERROR(__xludf.DUMMYFUNCTION("""COMPUTED_VALUE"""),0.0)</f>
        <v>0</v>
      </c>
      <c r="AB279" s="64">
        <f>IFERROR(__xludf.DUMMYFUNCTION("""COMPUTED_VALUE"""),0.0)</f>
        <v>0</v>
      </c>
      <c r="AC279" s="62">
        <f>IFERROR(__xludf.DUMMYFUNCTION("""COMPUTED_VALUE"""),0.04597701149)</f>
        <v>0.04597701149</v>
      </c>
      <c r="AD279" s="62">
        <f>IFERROR(__xludf.DUMMYFUNCTION("""COMPUTED_VALUE"""),0.0)</f>
        <v>0</v>
      </c>
      <c r="AE279" s="62">
        <f>IFERROR(__xludf.DUMMYFUNCTION("""COMPUTED_VALUE"""),0.0)</f>
        <v>0</v>
      </c>
      <c r="AF279" s="55" t="str">
        <f>IFERROR(__xludf.DUMMYFUNCTION("""COMPUTED_VALUE"""),"Yes")</f>
        <v>Yes</v>
      </c>
      <c r="AG279" s="55"/>
      <c r="AH279" s="55"/>
      <c r="AI279" s="55"/>
      <c r="AJ279" s="55"/>
      <c r="AK279" s="55"/>
      <c r="AL279" s="55"/>
      <c r="AM279" s="55" t="str">
        <f>IFERROR(__xludf.DUMMYFUNCTION("""COMPUTED_VALUE"""),"Q9jTBBVhn1HWR7cVxDr1kCBRPSoH4KUBsmSxKXgdNfVOeq5LBsSAqdfp4qzBIwgZUA")</f>
        <v>Q9jTBBVhn1HWR7cVxDr1kCBRPSoH4KUBsmSxKXgdNfVOeq5LBsSAqdfp4qzBIwgZUA</v>
      </c>
      <c r="AN279" s="55"/>
      <c r="AO279" s="55" t="str">
        <f>IFERROR(__xludf.DUMMYFUNCTION("""COMPUTED_VALUE"""),"NA")</f>
        <v>NA</v>
      </c>
      <c r="AP279" s="55" t="str">
        <f>IFERROR(__xludf.DUMMYFUNCTION("""COMPUTED_VALUE"""),"NA")</f>
        <v>NA</v>
      </c>
      <c r="AQ279" s="55" t="str">
        <f>IFERROR(__xludf.DUMMYFUNCTION("""COMPUTED_VALUE"""),"NA")</f>
        <v>NA</v>
      </c>
      <c r="AR279" s="55" t="str">
        <f>IFERROR(__xludf.DUMMYFUNCTION("""COMPUTED_VALUE"""),"Okay, I think I just found a coffee that's actually made for people like me.")</f>
        <v>Okay, I think I just found a coffee that's actually made for people like me.</v>
      </c>
      <c r="AS279" s="55" t="str">
        <f>IFERROR(__xludf.DUMMYFUNCTION("""COMPUTED_VALUE"""),"Personal Discovery")</f>
        <v>Personal Discovery</v>
      </c>
      <c r="AT279" s="55" t="str">
        <f>IFERROR(__xludf.DUMMYFUNCTION("""COMPUTED_VALUE"""),"• It has ashwagandha, lion's mane, chaga mushrooms, L-theanine, and turmeric, which are designed to help support calmer energy, less stress, and no jitters or crash.
• I picked up this Vadam Ashwagandha coffee at Target because I was curious about all the"&amp;" wellness ingredients packed into one cup.
• It actually tastes like delicious regular coffee.
• It tastes even better than some of my usual coffee drinks.")</f>
        <v>• It has ashwagandha, lion's mane, chaga mushrooms, L-theanine, and turmeric, which are designed to help support calmer energy, less stress, and no jitters or crash.
• I picked up this Vadam Ashwagandha coffee at Target because I was curious about all the wellness ingredients packed into one cup.
• It actually tastes like delicious regular coffee.
• It tastes even better than some of my usual coffee drinks.</v>
      </c>
      <c r="AU279" s="55" t="str">
        <f>IFERROR(__xludf.DUMMYFUNCTION("""COMPUTED_VALUE"""),"you can find Vadom")</f>
        <v>you can find Vadom</v>
      </c>
      <c r="AV279" s="55" t="str">
        <f>IFERROR(__xludf.DUMMYFUNCTION("""COMPUTED_VALUE"""),"Okay, I think I just found a coffee that's actually made for people like me. I picked up this Vadam Ashwagandha coffee at Target because I was curious about all the wellness ingredients packed into one cup. It has ashwagandha, lion's mane, chaga mushrooms"&amp;", L-theanine, and turmeric, which are designed to help support calmer energy, less stress, and no jitters or crash. So of course, I had to try it my favorite way. Over ice with oat milk. Honestly, I wasn't sure what to expect because of all the added ingr"&amp;"edients. But it mixes so well and smells amazing. And here's the best part. It actually tastes like delicious regular coffee. Seriously, it's so good. It's smooth, refreshing, and with ice and oat milk. It tastes even better than some of my usual coffee d"&amp;"rinks. I've really been enjoying this as part of my morning routine, when I want steady energy without feeling overstimulated. you can find Vadom")</f>
        <v>Okay, I think I just found a coffee that's actually made for people like me. I picked up this Vadam Ashwagandha coffee at Target because I was curious about all the wellness ingredients packed into one cup. It has ashwagandha, lion's mane, chaga mushrooms, L-theanine, and turmeric, which are designed to help support calmer energy, less stress, and no jitters or crash. So of course, I had to try it my favorite way. Over ice with oat milk. Honestly, I wasn't sure what to expect because of all the added ingredients. But it mixes so well and smells amazing. And here's the best part. It actually tastes like delicious regular coffee. Seriously, it's so good. It's smooth, refreshing, and with ice and oat milk. It tastes even better than some of my usual coffee drinks. I've really been enjoying this as part of my morning routine, when I want steady energy without feeling overstimulated. you can find Vadom</v>
      </c>
      <c r="AW279" s="35"/>
      <c r="AX279" s="35"/>
      <c r="AY279" s="35"/>
      <c r="AZ279" s="35"/>
      <c r="BA279" s="35"/>
      <c r="BB279" s="35"/>
      <c r="BC279" s="35"/>
      <c r="BD279" s="35"/>
      <c r="BE279" s="35"/>
      <c r="BF279" s="35"/>
      <c r="BG279" s="35"/>
    </row>
    <row r="280" ht="15.75" customHeight="1">
      <c r="A280" s="55" t="str">
        <f>IFERROR(__xludf.DUMMYFUNCTION("""COMPUTED_VALUE"""),"Instagram")</f>
        <v>Instagram</v>
      </c>
      <c r="B280" s="56">
        <f>IFERROR(__xludf.DUMMYFUNCTION("""COMPUTED_VALUE"""),46191.0)</f>
        <v>46191</v>
      </c>
      <c r="C280" s="55" t="str">
        <f>IFERROR(__xludf.DUMMYFUNCTION("""COMPUTED_VALUE"""),"June")</f>
        <v>June</v>
      </c>
      <c r="D280" s="58" t="str">
        <f>IFERROR(__xludf.DUMMYFUNCTION("""COMPUTED_VALUE"""),"https://www.instagram.com/reel/DZs9lABNrYX/")</f>
        <v>https://www.instagram.com/reel/DZs9lABNrYX/</v>
      </c>
      <c r="E280" s="55" t="str">
        <f>IFERROR(__xludf.DUMMYFUNCTION("""COMPUTED_VALUE"""),"lifeeasyology")</f>
        <v>lifeeasyology</v>
      </c>
      <c r="F280" s="55" t="str">
        <f>IFERROR(__xludf.DUMMYFUNCTION("""COMPUTED_VALUE"""),"NA")</f>
        <v>NA</v>
      </c>
      <c r="G280" s="55" t="str">
        <f>IFERROR(__xludf.DUMMYFUNCTION("""COMPUTED_VALUE"""),"Cortisol")</f>
        <v>Cortisol</v>
      </c>
      <c r="H280" s="55">
        <f>IFERROR(__xludf.DUMMYFUNCTION("""COMPUTED_VALUE"""),36.0)</f>
        <v>36</v>
      </c>
      <c r="I280" s="55">
        <f>IFERROR(__xludf.DUMMYFUNCTION("""COMPUTED_VALUE"""),22.1)</f>
        <v>22.1</v>
      </c>
      <c r="J280" s="55" t="str">
        <f>IFERROR(__xludf.DUMMYFUNCTION("""COMPUTED_VALUE"""),"Yes – Recommend")</f>
        <v>Yes – Recommend</v>
      </c>
      <c r="K280" s="55" t="str">
        <f>IFERROR(__xludf.DUMMYFUNCTION("""COMPUTED_VALUE"""),"Yes")</f>
        <v>Yes</v>
      </c>
      <c r="L280" s="55" t="str">
        <f>IFERROR(__xludf.DUMMYFUNCTION("""COMPUTED_VALUE"""),"Score 23.1 ≥ 20 threshold")</f>
        <v>Score 23.1 ≥ 20 threshold</v>
      </c>
      <c r="M280" s="59" t="str">
        <f>IFERROR(__xludf.DUMMYFUNCTION("""COMPUTED_VALUE"""),"No Ad Data")</f>
        <v>No Ad Data</v>
      </c>
      <c r="N280" s="55" t="str">
        <f>IFERROR(__xludf.DUMMYFUNCTION("""COMPUTED_VALUE"""),"8UGC-Cortisol-CTA-lifeeasyology")</f>
        <v>8UGC-Cortisol-CTA-lifeeasyology</v>
      </c>
      <c r="O280" s="58" t="str">
        <f>IFERROR(__xludf.DUMMYFUNCTION("""COMPUTED_VALUE"""),"https://buy.vahdam.com/coffee-cta-ugc-cortisol")</f>
        <v>https://buy.vahdam.com/coffee-cta-ugc-cortisol</v>
      </c>
      <c r="P280" s="59">
        <f>IFERROR(__xludf.DUMMYFUNCTION("""COMPUTED_VALUE"""),174.0)</f>
        <v>174</v>
      </c>
      <c r="Q280" s="59">
        <f>IFERROR(__xludf.DUMMYFUNCTION("""COMPUTED_VALUE"""),5.0)</f>
        <v>5</v>
      </c>
      <c r="R280" s="59">
        <f>IFERROR(__xludf.DUMMYFUNCTION("""COMPUTED_VALUE"""),1.0)</f>
        <v>1</v>
      </c>
      <c r="S280" s="55"/>
      <c r="T280" s="68">
        <f>IFERROR(__xludf.DUMMYFUNCTION("""COMPUTED_VALUE"""),0.0)</f>
        <v>0</v>
      </c>
      <c r="U280" s="55"/>
      <c r="V280" s="62">
        <f>IFERROR(__xludf.DUMMYFUNCTION("""COMPUTED_VALUE"""),0.0344)</f>
        <v>0.0344</v>
      </c>
      <c r="W280" s="63">
        <f>IFERROR(__xludf.DUMMYFUNCTION("""COMPUTED_VALUE"""),117.58)</f>
        <v>117.58</v>
      </c>
      <c r="X280" s="59">
        <f>IFERROR(__xludf.DUMMYFUNCTION("""COMPUTED_VALUE"""),174.0)</f>
        <v>174</v>
      </c>
      <c r="Y280" s="59">
        <f>IFERROR(__xludf.DUMMYFUNCTION("""COMPUTED_VALUE"""),5.0)</f>
        <v>5</v>
      </c>
      <c r="Z280" s="59">
        <f>IFERROR(__xludf.DUMMYFUNCTION("""COMPUTED_VALUE"""),1.0)</f>
        <v>1</v>
      </c>
      <c r="AA280" s="59">
        <f>IFERROR(__xludf.DUMMYFUNCTION("""COMPUTED_VALUE"""),0.0)</f>
        <v>0</v>
      </c>
      <c r="AB280" s="64">
        <f>IFERROR(__xludf.DUMMYFUNCTION("""COMPUTED_VALUE"""),0.0)</f>
        <v>0</v>
      </c>
      <c r="AC280" s="62">
        <f>IFERROR(__xludf.DUMMYFUNCTION("""COMPUTED_VALUE"""),0.0344)</f>
        <v>0.0344</v>
      </c>
      <c r="AD280" s="62">
        <f>IFERROR(__xludf.DUMMYFUNCTION("""COMPUTED_VALUE"""),0.0)</f>
        <v>0</v>
      </c>
      <c r="AE280" s="62">
        <f>IFERROR(__xludf.DUMMYFUNCTION("""COMPUTED_VALUE"""),0.0)</f>
        <v>0</v>
      </c>
      <c r="AF280" s="55" t="str">
        <f>IFERROR(__xludf.DUMMYFUNCTION("""COMPUTED_VALUE"""),"Yes")</f>
        <v>Yes</v>
      </c>
      <c r="AG280" s="55"/>
      <c r="AH280" s="55"/>
      <c r="AI280" s="55"/>
      <c r="AJ280" s="55"/>
      <c r="AK280" s="55"/>
      <c r="AL280" s="55"/>
      <c r="AM280" s="55" t="str">
        <f>IFERROR(__xludf.DUMMYFUNCTION("""COMPUTED_VALUE"""),"Q9jTBBVZ3Z3WtoCLOwGvG9Us12CQG5r9n7Udw9-wSHrj513Rc5XAD6kamXOaXPTBqdM")</f>
        <v>Q9jTBBVZ3Z3WtoCLOwGvG9Us12CQG5r9n7Udw9-wSHrj513Rc5XAD6kamXOaXPTBqdM</v>
      </c>
      <c r="AN280" s="55"/>
      <c r="AO280" s="55" t="str">
        <f>IFERROR(__xludf.DUMMYFUNCTION("""COMPUTED_VALUE"""),"NA")</f>
        <v>NA</v>
      </c>
      <c r="AP280" s="55" t="str">
        <f>IFERROR(__xludf.DUMMYFUNCTION("""COMPUTED_VALUE"""),"NA")</f>
        <v>NA</v>
      </c>
      <c r="AQ280" s="55" t="str">
        <f>IFERROR(__xludf.DUMMYFUNCTION("""COMPUTED_VALUE"""),"NA")</f>
        <v>NA</v>
      </c>
      <c r="AR280" s="55" t="str">
        <f>IFERROR(__xludf.DUMMYFUNCTION("""COMPUTED_VALUE"""),"I'm tired, just got to my hotel and honestly the only thing I can think about is coffee.")</f>
        <v>I'm tired, just got to my hotel and honestly the only thing I can think about is coffee.</v>
      </c>
      <c r="AS280" s="55" t="str">
        <f>IFERROR(__xludf.DUMMYFUNCTION("""COMPUTED_VALUE"""),"Problem / Pain Point")</f>
        <v>Problem / Pain Point</v>
      </c>
      <c r="AT280" s="55" t="str">
        <f>IFERROR(__xludf.DUMMYFUNCTION("""COMPUTED_VALUE"""),"• In every cup I'm getting ashwagandha, lion's mane, chaga, el teanin and turmeric curcumin.
• Good thing my Vadan ashwagandha coffee is always with me.
• Hot water, a scoop of coffee, a little milk, a little sugar and that's it.
• And honestly, it tastes"&amp;" delicious.")</f>
        <v>• In every cup I'm getting ashwagandha, lion's mane, chaga, el teanin and turmeric curcumin.
• Good thing my Vadan ashwagandha coffee is always with me.
• Hot water, a scoop of coffee, a little milk, a little sugar and that's it.
• And honestly, it tastes delicious.</v>
      </c>
      <c r="AU280" s="55" t="str">
        <f>IFERROR(__xludf.DUMMYFUNCTION("""COMPUTED_VALUE"""),"You can find Vadan Ashwagandha coffee at Target stores nationwide and on target.com")</f>
        <v>You can find Vadan Ashwagandha coffee at Target stores nationwide and on target.com</v>
      </c>
      <c r="AV280" s="55" t="str">
        <f>IFERROR(__xludf.DUMMYFUNCTION("""COMPUTED_VALUE"""),"I'm tired, just got to my hotel and honestly the only thing I can think about is coffee. Good thing my Vadan ashwagandha coffee is always with me. In every cup I'm getting ashwagandha, lion's mane, chaga, el teanin and turmeric curcumin. Just like at home"&amp;", it's easy to make. Hot water, a scoop of coffee, a little milk, a little sugar and that's it. For me, it's all I need in a cup. And honestly, it tastes delicious. Now my vacation can officially begin. You can find Vadan Ashwagandha coffee at Target stor"&amp;"es nationwide and on target.com")</f>
        <v>I'm tired, just got to my hotel and honestly the only thing I can think about is coffee. Good thing my Vadan ashwagandha coffee is always with me. In every cup I'm getting ashwagandha, lion's mane, chaga, el teanin and turmeric curcumin. Just like at home, it's easy to make. Hot water, a scoop of coffee, a little milk, a little sugar and that's it. For me, it's all I need in a cup. And honestly, it tastes delicious. Now my vacation can officially begin. You can find Vadan Ashwagandha coffee at Target stores nationwide and on target.com</v>
      </c>
      <c r="AW280" s="35"/>
      <c r="AX280" s="35"/>
      <c r="AY280" s="35"/>
      <c r="AZ280" s="35"/>
      <c r="BA280" s="35"/>
      <c r="BB280" s="35"/>
      <c r="BC280" s="35"/>
      <c r="BD280" s="35"/>
      <c r="BE280" s="35"/>
      <c r="BF280" s="35"/>
      <c r="BG280" s="35"/>
    </row>
    <row r="281" ht="15.75" customHeight="1">
      <c r="A281" s="55" t="str">
        <f>IFERROR(__xludf.DUMMYFUNCTION("""COMPUTED_VALUE"""),"Tiktok")</f>
        <v>Tiktok</v>
      </c>
      <c r="B281" s="56">
        <f>IFERROR(__xludf.DUMMYFUNCTION("""COMPUTED_VALUE"""),46195.0)</f>
        <v>46195</v>
      </c>
      <c r="C281" s="55" t="str">
        <f>IFERROR(__xludf.DUMMYFUNCTION("""COMPUTED_VALUE"""),"June")</f>
        <v>June</v>
      </c>
      <c r="D281" s="58" t="str">
        <f>IFERROR(__xludf.DUMMYFUNCTION("""COMPUTED_VALUE"""),"https://www.tiktok.com/@viviendoenusa4/video/7654131101711109406")</f>
        <v>https://www.tiktok.com/@viviendoenusa4/video/7654131101711109406</v>
      </c>
      <c r="E281" s="55" t="str">
        <f>IFERROR(__xludf.DUMMYFUNCTION("""COMPUTED_VALUE"""),"@viviendoenusa4")</f>
        <v>@viviendoenusa4</v>
      </c>
      <c r="F281" s="55" t="str">
        <f>IFERROR(__xludf.DUMMYFUNCTION("""COMPUTED_VALUE"""),"Rubi AgÃ¼ero Morillo")</f>
        <v>Rubi AgÃ¼ero Morillo</v>
      </c>
      <c r="G281" s="55" t="str">
        <f>IFERROR(__xludf.DUMMYFUNCTION("""COMPUTED_VALUE"""),"Countering Mushroom Coffee Trend")</f>
        <v>Countering Mushroom Coffee Trend</v>
      </c>
      <c r="H281" s="55">
        <f>IFERROR(__xludf.DUMMYFUNCTION("""COMPUTED_VALUE"""),33.0)</f>
        <v>33</v>
      </c>
      <c r="I281" s="55">
        <f>IFERROR(__xludf.DUMMYFUNCTION("""COMPUTED_VALUE"""),39.5)</f>
        <v>39.5</v>
      </c>
      <c r="J281" s="55" t="str">
        <f>IFERROR(__xludf.DUMMYFUNCTION("""COMPUTED_VALUE"""),"Yes – Recommend")</f>
        <v>Yes – Recommend</v>
      </c>
      <c r="K281" s="55" t="str">
        <f>IFERROR(__xludf.DUMMYFUNCTION("""COMPUTED_VALUE"""),"Review before running ads")</f>
        <v>Review before running ads</v>
      </c>
      <c r="L281" s="55" t="str">
        <f>IFERROR(__xludf.DUMMYFUNCTION("""COMPUTED_VALUE"""),"Score 39.8 ≥ 30; 6-sec 29.1% ≥ 25%")</f>
        <v>Score 39.8 ≥ 30; 6-sec 29.1% ≥ 25%</v>
      </c>
      <c r="M281" s="59" t="str">
        <f>IFERROR(__xludf.DUMMYFUNCTION("""COMPUTED_VALUE"""),"No Ad Data")</f>
        <v>No Ad Data</v>
      </c>
      <c r="N281" s="55"/>
      <c r="O281" s="55"/>
      <c r="P281" s="59">
        <f>IFERROR(__xludf.DUMMYFUNCTION("""COMPUTED_VALUE"""),170.0)</f>
        <v>170</v>
      </c>
      <c r="Q281" s="59">
        <f>IFERROR(__xludf.DUMMYFUNCTION("""COMPUTED_VALUE"""),13.0)</f>
        <v>13</v>
      </c>
      <c r="R281" s="59">
        <f>IFERROR(__xludf.DUMMYFUNCTION("""COMPUTED_VALUE"""),0.0)</f>
        <v>0</v>
      </c>
      <c r="S281" s="62">
        <f>IFERROR(__xludf.DUMMYFUNCTION("""COMPUTED_VALUE"""),56.0)</f>
        <v>56</v>
      </c>
      <c r="T281" s="62">
        <f>IFERROR(__xludf.DUMMYFUNCTION("""COMPUTED_VALUE"""),29.1)</f>
        <v>29.1</v>
      </c>
      <c r="U281" s="64">
        <f>IFERROR(__xludf.DUMMYFUNCTION("""COMPUTED_VALUE"""),7.0)</f>
        <v>7</v>
      </c>
      <c r="V281" s="62">
        <f>IFERROR(__xludf.DUMMYFUNCTION("""COMPUTED_VALUE"""),8.2)</f>
        <v>8.2</v>
      </c>
      <c r="W281" s="63">
        <f>IFERROR(__xludf.DUMMYFUNCTION("""COMPUTED_VALUE"""),117.58)</f>
        <v>117.58</v>
      </c>
      <c r="X281" s="59">
        <f>IFERROR(__xludf.DUMMYFUNCTION("""COMPUTED_VALUE"""),170.0)</f>
        <v>170</v>
      </c>
      <c r="Y281" s="59">
        <f>IFERROR(__xludf.DUMMYFUNCTION("""COMPUTED_VALUE"""),13.0)</f>
        <v>13</v>
      </c>
      <c r="Z281" s="59">
        <f>IFERROR(__xludf.DUMMYFUNCTION("""COMPUTED_VALUE"""),0.0)</f>
        <v>0</v>
      </c>
      <c r="AA281" s="59">
        <f>IFERROR(__xludf.DUMMYFUNCTION("""COMPUTED_VALUE"""),1.0)</f>
        <v>1</v>
      </c>
      <c r="AB281" s="64">
        <f>IFERROR(__xludf.DUMMYFUNCTION("""COMPUTED_VALUE"""),7.0)</f>
        <v>7</v>
      </c>
      <c r="AC281" s="62">
        <f>IFERROR(__xludf.DUMMYFUNCTION("""COMPUTED_VALUE"""),8.2)</f>
        <v>8.2</v>
      </c>
      <c r="AD281" s="62">
        <f>IFERROR(__xludf.DUMMYFUNCTION("""COMPUTED_VALUE"""),56.0)</f>
        <v>56</v>
      </c>
      <c r="AE281" s="62">
        <f>IFERROR(__xludf.DUMMYFUNCTION("""COMPUTED_VALUE"""),29.1)</f>
        <v>29.1</v>
      </c>
      <c r="AF281" s="55"/>
      <c r="AG281" s="55"/>
      <c r="AH281" s="55"/>
      <c r="AI281" s="55"/>
      <c r="AJ281" s="55"/>
      <c r="AK281" s="55"/>
      <c r="AL281" s="55"/>
      <c r="AM281" s="55" t="str">
        <f>IFERROR(__xludf.DUMMYFUNCTION("""COMPUTED_VALUE"""),"#IqdmMjvVt5C0utSTnS++5UzNY9WSYF3hFSL74clo+kQoAawZQO3lwgzYWZdJh4M=")</f>
        <v>#IqdmMjvVt5C0utSTnS++5UzNY9WSYF3hFSL74clo+kQoAawZQO3lwgzYWZdJh4M=</v>
      </c>
      <c r="AN281" s="55"/>
      <c r="AO281" s="58" t="str">
        <f>IFERROR(__xludf.DUMMYFUNCTION("""COMPUTED_VALUE"""),"https://us.brand.joinbrands.com/job/694262")</f>
        <v>https://us.brand.joinbrands.com/job/694262</v>
      </c>
      <c r="AP281" s="55" t="str">
        <f>IFERROR(__xludf.DUMMYFUNCTION("""COMPUTED_VALUE"""),"Not enlgish")</f>
        <v>Not enlgish</v>
      </c>
      <c r="AQ281" s="55" t="str">
        <f>IFERROR(__xludf.DUMMYFUNCTION("""COMPUTED_VALUE"""),"Me encanta este cafÃ© lo tomo todas las maÃ±ana porque sus componentes me an ayudado a mejorar mi bienestar ! CafÃ© instantÃ¡neo arÃ¡bica 100% premium, para la energÃ­a diaria y la rutina 300 mg KSM-66...")</f>
        <v>Me encanta este cafÃ© lo tomo todas las maÃ±ana porque sus componentes me an ayudado a mejorar mi bienestar ! CafÃ© instantÃ¡neo arÃ¡bica 100% premium, para la energÃ­a diaria y la rutina 300 mg KSM-66...</v>
      </c>
      <c r="AR281" s="55" t="str">
        <f>IFERROR(__xludf.DUMMYFUNCTION("""COMPUTED_VALUE"""),"Hoy me despertÃ© un poco cansada, mana, y como soy cafÃ© love, me tomarÃ© mi bandana ashwagandha.")</f>
        <v>Hoy me despertÃ© un poco cansada, mana, y como soy cafÃ© love, me tomarÃ© mi bandana ashwagandha.</v>
      </c>
      <c r="AS281" s="55" t="str">
        <f>IFERROR(__xludf.DUMMYFUNCTION("""COMPUTED_VALUE"""),"General / Lifestyle")</f>
        <v>General / Lifestyle</v>
      </c>
      <c r="AT281" s="55" t="str">
        <f>IFERROR(__xludf.DUMMYFUNCTION("""COMPUTED_VALUE"""),"• AdemÃ¡s, el chaga, siento que me ha apoyado bastante con mis defensas y mi energÃ­a diaria.
• Este tambiÃ©n tiene ashwagandha.
• Ese es mi aliado todos los dÃ­as porque sus componentes como la cÃºrcuma, la pimienta negra y el lion me han ayudado a senti"&amp;"rme mÃ¡s enfocada y con mÃ¡s claridad mental.
• Me he sentido que desde que lo tomo, no es solo un cafÃ©, es una rutina que me ha mejorado como me siento en el dÃ­a a dÃ­a.")</f>
        <v>• AdemÃ¡s, el chaga, siento que me ha apoyado bastante con mis defensas y mi energÃ­a diaria.
• Este tambiÃ©n tiene ashwagandha.
• Ese es mi aliado todos los dÃ­as porque sus componentes como la cÃºrcuma, la pimienta negra y el lion me han ayudado a sentirme mÃ¡s enfocada y con mÃ¡s claridad mental.
• Me he sentido que desde que lo tomo, no es solo un cafÃ©, es una rutina que me ha mejorado como me siento en el dÃ­a a dÃ­a.</v>
      </c>
      <c r="AU281" s="55" t="str">
        <f>IFERROR(__xludf.DUMMYFUNCTION("""COMPUTED_VALUE"""),"Lo compro en Target y a veces lo pido en Target.com.")</f>
        <v>Lo compro en Target y a veces lo pido en Target.com.</v>
      </c>
      <c r="AV281" s="55" t="str">
        <f>IFERROR(__xludf.DUMMYFUNCTION("""COMPUTED_VALUE"""),"Hoy me despertÃ© un poco cansada, mana, y como soy cafÃ© love, me tomarÃ© mi bandana ashwagandha. Ese es mi aliado todos los dÃ­as porque sus componentes como la cÃºrcuma, la pimienta negra y el lion me han ayudado a sentirme mÃ¡s enfocada y con mÃ¡s clar"&amp;"idad mental. AdemÃ¡s, el chaga, siento que me ha apoyado bastante con mis defensas y mi energÃ­a diaria. Este tambiÃ©n tiene ashwagandha. Me he sentido que desde que lo tomo, no es solo un cafÃ©, es una rutina que me ha mejorado como me siento en el dÃ­a "&amp;"a dÃ­a. Lo compro en Target y a veces lo pido en Target.com.")</f>
        <v>Hoy me despertÃ© un poco cansada, mana, y como soy cafÃ© love, me tomarÃ© mi bandana ashwagandha. Ese es mi aliado todos los dÃ­as porque sus componentes como la cÃºrcuma, la pimienta negra y el lion me han ayudado a sentirme mÃ¡s enfocada y con mÃ¡s claridad mental. AdemÃ¡s, el chaga, siento que me ha apoyado bastante con mis defensas y mi energÃ­a diaria. Este tambiÃ©n tiene ashwagandha. Me he sentido que desde que lo tomo, no es solo un cafÃ©, es una rutina que me ha mejorado como me siento en el dÃ­a a dÃ­a. Lo compro en Target y a veces lo pido en Target.com.</v>
      </c>
      <c r="AW281" s="35"/>
      <c r="AX281" s="35"/>
      <c r="AY281" s="35"/>
      <c r="AZ281" s="35"/>
      <c r="BA281" s="35"/>
      <c r="BB281" s="35"/>
      <c r="BC281" s="35"/>
      <c r="BD281" s="35"/>
      <c r="BE281" s="35"/>
      <c r="BF281" s="35"/>
      <c r="BG281" s="35"/>
    </row>
    <row r="282" ht="15.75" customHeight="1">
      <c r="A282" s="55" t="str">
        <f>IFERROR(__xludf.DUMMYFUNCTION("""COMPUTED_VALUE"""),"Instagram")</f>
        <v>Instagram</v>
      </c>
      <c r="B282" s="56">
        <f>IFERROR(__xludf.DUMMYFUNCTION("""COMPUTED_VALUE"""),46198.0)</f>
        <v>46198</v>
      </c>
      <c r="C282" s="55" t="str">
        <f>IFERROR(__xludf.DUMMYFUNCTION("""COMPUTED_VALUE"""),"June")</f>
        <v>June</v>
      </c>
      <c r="D282" s="58" t="str">
        <f>IFERROR(__xludf.DUMMYFUNCTION("""COMPUTED_VALUE"""),"https://www.instagram.com/reel/DZ-s1kfvbKJ/")</f>
        <v>https://www.instagram.com/reel/DZ-s1kfvbKJ/</v>
      </c>
      <c r="E282" s="55" t="str">
        <f>IFERROR(__xludf.DUMMYFUNCTION("""COMPUTED_VALUE"""),"@na")</f>
        <v>@na</v>
      </c>
      <c r="F282" s="55" t="str">
        <f>IFERROR(__xludf.DUMMYFUNCTION("""COMPUTED_VALUE"""),"NA")</f>
        <v>NA</v>
      </c>
      <c r="G282" s="55" t="str">
        <f>IFERROR(__xludf.DUMMYFUNCTION("""COMPUTED_VALUE"""),"Gummies vs Coffee")</f>
        <v>Gummies vs Coffee</v>
      </c>
      <c r="H282" s="55">
        <f>IFERROR(__xludf.DUMMYFUNCTION("""COMPUTED_VALUE"""),55.0)</f>
        <v>55</v>
      </c>
      <c r="I282" s="55">
        <f>IFERROR(__xludf.DUMMYFUNCTION("""COMPUTED_VALUE"""),27.3)</f>
        <v>27.3</v>
      </c>
      <c r="J282" s="55" t="str">
        <f>IFERROR(__xludf.DUMMYFUNCTION("""COMPUTED_VALUE"""),"Yes – Recommend")</f>
        <v>Yes – Recommend</v>
      </c>
      <c r="K282" s="55" t="str">
        <f>IFERROR(__xludf.DUMMYFUNCTION("""COMPUTED_VALUE"""),"Review before running ads")</f>
        <v>Review before running ads</v>
      </c>
      <c r="L282" s="55" t="str">
        <f>IFERROR(__xludf.DUMMYFUNCTION("""COMPUTED_VALUE"""),"Score 28.7 ≥ 20 threshold")</f>
        <v>Score 28.7 ≥ 20 threshold</v>
      </c>
      <c r="M282" s="59" t="str">
        <f>IFERROR(__xludf.DUMMYFUNCTION("""COMPUTED_VALUE"""),"No Ad Data")</f>
        <v>No Ad Data</v>
      </c>
      <c r="N282" s="55"/>
      <c r="O282" s="55"/>
      <c r="P282" s="59">
        <f>IFERROR(__xludf.DUMMYFUNCTION("""COMPUTED_VALUE"""),168.0)</f>
        <v>168</v>
      </c>
      <c r="Q282" s="59">
        <f>IFERROR(__xludf.DUMMYFUNCTION("""COMPUTED_VALUE"""),15.0)</f>
        <v>15</v>
      </c>
      <c r="R282" s="59">
        <f>IFERROR(__xludf.DUMMYFUNCTION("""COMPUTED_VALUE"""),2.0)</f>
        <v>2</v>
      </c>
      <c r="S282" s="55"/>
      <c r="T282" s="68">
        <f>IFERROR(__xludf.DUMMYFUNCTION("""COMPUTED_VALUE"""),0.0)</f>
        <v>0</v>
      </c>
      <c r="U282" s="55"/>
      <c r="V282" s="62">
        <f>IFERROR(__xludf.DUMMYFUNCTION("""COMPUTED_VALUE"""),0.0)</f>
        <v>0</v>
      </c>
      <c r="W282" s="63">
        <f>IFERROR(__xludf.DUMMYFUNCTION("""COMPUTED_VALUE"""),72.99)</f>
        <v>72.99</v>
      </c>
      <c r="X282" s="59">
        <f>IFERROR(__xludf.DUMMYFUNCTION("""COMPUTED_VALUE"""),168.0)</f>
        <v>168</v>
      </c>
      <c r="Y282" s="59">
        <f>IFERROR(__xludf.DUMMYFUNCTION("""COMPUTED_VALUE"""),15.0)</f>
        <v>15</v>
      </c>
      <c r="Z282" s="59">
        <f>IFERROR(__xludf.DUMMYFUNCTION("""COMPUTED_VALUE"""),2.0)</f>
        <v>2</v>
      </c>
      <c r="AA282" s="59">
        <f>IFERROR(__xludf.DUMMYFUNCTION("""COMPUTED_VALUE"""),0.0)</f>
        <v>0</v>
      </c>
      <c r="AB282" s="64">
        <f>IFERROR(__xludf.DUMMYFUNCTION("""COMPUTED_VALUE"""),0.0)</f>
        <v>0</v>
      </c>
      <c r="AC282" s="62">
        <f>IFERROR(__xludf.DUMMYFUNCTION("""COMPUTED_VALUE"""),0.0)</f>
        <v>0</v>
      </c>
      <c r="AD282" s="62">
        <f>IFERROR(__xludf.DUMMYFUNCTION("""COMPUTED_VALUE"""),0.0)</f>
        <v>0</v>
      </c>
      <c r="AE282" s="62">
        <f>IFERROR(__xludf.DUMMYFUNCTION("""COMPUTED_VALUE"""),0.0)</f>
        <v>0</v>
      </c>
      <c r="AF282" s="55"/>
      <c r="AG282" s="55"/>
      <c r="AH282" s="55"/>
      <c r="AI282" s="55"/>
      <c r="AJ282" s="55"/>
      <c r="AK282" s="55"/>
      <c r="AL282" s="55"/>
      <c r="AM282" s="55" t="str">
        <f>IFERROR(__xludf.DUMMYFUNCTION("""COMPUTED_VALUE"""),"Q9jTBBWcIXeRcfG4oMmdf5wqqbq9nraCuYwrWRhxTbdkF7iDTPy1_Kz6czvQR4PH")</f>
        <v>Q9jTBBWcIXeRcfG4oMmdf5wqqbq9nraCuYwrWRhxTbdkF7iDTPy1_Kz6czvQR4PH</v>
      </c>
      <c r="AN282" s="55"/>
      <c r="AO282" s="55" t="str">
        <f>IFERROR(__xludf.DUMMYFUNCTION("""COMPUTED_VALUE"""),"NA")</f>
        <v>NA</v>
      </c>
      <c r="AP282" s="55" t="str">
        <f>IFERROR(__xludf.DUMMYFUNCTION("""COMPUTED_VALUE"""),"NA")</f>
        <v>NA</v>
      </c>
      <c r="AQ282" s="55" t="str">
        <f>IFERROR(__xludf.DUMMYFUNCTION("""COMPUTED_VALUE"""),"NA")</f>
        <v>NA</v>
      </c>
      <c r="AR282" s="55" t="str">
        <f>IFERROR(__xludf.DUMMYFUNCTION("""COMPUTED_VALUE"""),"coffee but make it feel a little more intentional.")</f>
        <v>coffee but make it feel a little more intentional.</v>
      </c>
      <c r="AS282" s="55" t="str">
        <f>IFERROR(__xludf.DUMMYFUNCTION("""COMPUTED_VALUE"""),"General / Lifestyle")</f>
        <v>General / Lifestyle</v>
      </c>
      <c r="AT282" s="55" t="str">
        <f>IFERROR(__xludf.DUMMYFUNCTION("""COMPUTED_VALUE"""),"• Today I'm using Vadan Ashwagandha coffee plus blended with KSM 66, Ashwagandha, L-theanine, turmeric, lion's mane and chaga for a smoother coffee ritual.
• I'm sure that you're gonna love this recipe.
• First one cup of honey, whip it until it turns thi"&amp;"ck, glossy and creamy.
• Then add two cups of Vanda coffee.")</f>
        <v>• Today I'm using Vadan Ashwagandha coffee plus blended with KSM 66, Ashwagandha, L-theanine, turmeric, lion's mane and chaga for a smoother coffee ritual.
• I'm sure that you're gonna love this recipe.
• First one cup of honey, whip it until it turns thick, glossy and creamy.
• Then add two cups of Vanda coffee.</v>
      </c>
      <c r="AU282" s="55" t="str">
        <f>IFERROR(__xludf.DUMMYFUNCTION("""COMPUTED_VALUE"""),"Take that first sip creamy smoothie coffee, that cozy cafe feeling with calm energy clarity focus and a moment that feels slower.")</f>
        <v>Take that first sip creamy smoothie coffee, that cozy cafe feeling with calm energy clarity focus and a moment that feels slower.</v>
      </c>
      <c r="AV282" s="55" t="str">
        <f>IFERROR(__xludf.DUMMYFUNCTION("""COMPUTED_VALUE"""),"coffee but make it feel a little more intentional. Today I'm using Vadan Ashwagandha coffee plus blended with KSM 66, Ashwagandha, L-theanine, turmeric, lion's mane and chaga for a smoother coffee ritual. I'm sure that you're gonna love this recipe. First"&amp;" one cup of honey, whip it until it turns thick, glossy and creamy. Then add two cups of Vanda coffee. Slowly pour in hot water until you get that perfect silky consistency. Store it in the fridge and enjoy it for a day. Now my favorite way to drink it. I"&amp;"ce, milk of choice and two spoonfuls of this coffee cream. Stir! Take that first sip creamy smoothie coffee, that cozy cafe feeling with calm energy clarity focus and a moment that feels slower.")</f>
        <v>coffee but make it feel a little more intentional. Today I'm using Vadan Ashwagandha coffee plus blended with KSM 66, Ashwagandha, L-theanine, turmeric, lion's mane and chaga for a smoother coffee ritual. I'm sure that you're gonna love this recipe. First one cup of honey, whip it until it turns thick, glossy and creamy. Then add two cups of Vanda coffee. Slowly pour in hot water until you get that perfect silky consistency. Store it in the fridge and enjoy it for a day. Now my favorite way to drink it. Ice, milk of choice and two spoonfuls of this coffee cream. Stir! Take that first sip creamy smoothie coffee, that cozy cafe feeling with calm energy clarity focus and a moment that feels slower.</v>
      </c>
      <c r="AW282" s="35"/>
      <c r="AX282" s="35"/>
      <c r="AY282" s="35"/>
      <c r="AZ282" s="35"/>
      <c r="BA282" s="35"/>
      <c r="BB282" s="35"/>
      <c r="BC282" s="35"/>
      <c r="BD282" s="35"/>
      <c r="BE282" s="35"/>
      <c r="BF282" s="35"/>
      <c r="BG282" s="35"/>
    </row>
    <row r="283" ht="15.75" customHeight="1">
      <c r="A283" s="55" t="str">
        <f>IFERROR(__xludf.DUMMYFUNCTION("""COMPUTED_VALUE"""),"Instagram")</f>
        <v>Instagram</v>
      </c>
      <c r="B283" s="56">
        <f>IFERROR(__xludf.DUMMYFUNCTION("""COMPUTED_VALUE"""),46196.0)</f>
        <v>46196</v>
      </c>
      <c r="C283" s="55" t="str">
        <f>IFERROR(__xludf.DUMMYFUNCTION("""COMPUTED_VALUE"""),"June")</f>
        <v>June</v>
      </c>
      <c r="D283" s="58" t="str">
        <f>IFERROR(__xludf.DUMMYFUNCTION("""COMPUTED_VALUE"""),"https://www.instagram.com/reel/DZ5YDZAoxTB/")</f>
        <v>https://www.instagram.com/reel/DZ5YDZAoxTB/</v>
      </c>
      <c r="E283" s="55" t="str">
        <f>IFERROR(__xludf.DUMMYFUNCTION("""COMPUTED_VALUE"""),"@na")</f>
        <v>@na</v>
      </c>
      <c r="F283" s="55" t="str">
        <f>IFERROR(__xludf.DUMMYFUNCTION("""COMPUTED_VALUE"""),"NA")</f>
        <v>NA</v>
      </c>
      <c r="G283" s="55" t="str">
        <f>IFERROR(__xludf.DUMMYFUNCTION("""COMPUTED_VALUE"""),"Over 40/ High Performer")</f>
        <v>Over 40/ High Performer</v>
      </c>
      <c r="H283" s="55">
        <f>IFERROR(__xludf.DUMMYFUNCTION("""COMPUTED_VALUE"""),21.0)</f>
        <v>21</v>
      </c>
      <c r="I283" s="55">
        <f>IFERROR(__xludf.DUMMYFUNCTION("""COMPUTED_VALUE"""),22.0)</f>
        <v>22</v>
      </c>
      <c r="J283" s="55" t="str">
        <f>IFERROR(__xludf.DUMMYFUNCTION("""COMPUTED_VALUE"""),"Yes – Recommend")</f>
        <v>Yes – Recommend</v>
      </c>
      <c r="K283" s="55" t="str">
        <f>IFERROR(__xludf.DUMMYFUNCTION("""COMPUTED_VALUE"""),"Review before running ads")</f>
        <v>Review before running ads</v>
      </c>
      <c r="L283" s="55" t="str">
        <f>IFERROR(__xludf.DUMMYFUNCTION("""COMPUTED_VALUE"""),"Score 23.1 ≥ 20 threshold")</f>
        <v>Score 23.1 ≥ 20 threshold</v>
      </c>
      <c r="M283" s="59" t="str">
        <f>IFERROR(__xludf.DUMMYFUNCTION("""COMPUTED_VALUE"""),"No Ad Data")</f>
        <v>No Ad Data</v>
      </c>
      <c r="N283" s="55"/>
      <c r="O283" s="55"/>
      <c r="P283" s="59">
        <f>IFERROR(__xludf.DUMMYFUNCTION("""COMPUTED_VALUE"""),158.0)</f>
        <v>158</v>
      </c>
      <c r="Q283" s="59">
        <f>IFERROR(__xludf.DUMMYFUNCTION("""COMPUTED_VALUE"""),8.0)</f>
        <v>8</v>
      </c>
      <c r="R283" s="59">
        <f>IFERROR(__xludf.DUMMYFUNCTION("""COMPUTED_VALUE"""),0.0)</f>
        <v>0</v>
      </c>
      <c r="S283" s="55"/>
      <c r="T283" s="68">
        <f>IFERROR(__xludf.DUMMYFUNCTION("""COMPUTED_VALUE"""),0.0)</f>
        <v>0</v>
      </c>
      <c r="U283" s="55"/>
      <c r="V283" s="62">
        <f>IFERROR(__xludf.DUMMYFUNCTION("""COMPUTED_VALUE"""),0.0506)</f>
        <v>0.0506</v>
      </c>
      <c r="W283" s="63">
        <f>IFERROR(__xludf.DUMMYFUNCTION("""COMPUTED_VALUE"""),117.58)</f>
        <v>117.58</v>
      </c>
      <c r="X283" s="59">
        <f>IFERROR(__xludf.DUMMYFUNCTION("""COMPUTED_VALUE"""),158.0)</f>
        <v>158</v>
      </c>
      <c r="Y283" s="59">
        <f>IFERROR(__xludf.DUMMYFUNCTION("""COMPUTED_VALUE"""),8.0)</f>
        <v>8</v>
      </c>
      <c r="Z283" s="59">
        <f>IFERROR(__xludf.DUMMYFUNCTION("""COMPUTED_VALUE"""),0.0)</f>
        <v>0</v>
      </c>
      <c r="AA283" s="59">
        <f>IFERROR(__xludf.DUMMYFUNCTION("""COMPUTED_VALUE"""),0.0)</f>
        <v>0</v>
      </c>
      <c r="AB283" s="64">
        <f>IFERROR(__xludf.DUMMYFUNCTION("""COMPUTED_VALUE"""),0.0)</f>
        <v>0</v>
      </c>
      <c r="AC283" s="62">
        <f>IFERROR(__xludf.DUMMYFUNCTION("""COMPUTED_VALUE"""),0.0506)</f>
        <v>0.0506</v>
      </c>
      <c r="AD283" s="62">
        <f>IFERROR(__xludf.DUMMYFUNCTION("""COMPUTED_VALUE"""),0.0)</f>
        <v>0</v>
      </c>
      <c r="AE283" s="62">
        <f>IFERROR(__xludf.DUMMYFUNCTION("""COMPUTED_VALUE"""),0.0)</f>
        <v>0</v>
      </c>
      <c r="AF283" s="55"/>
      <c r="AG283" s="55"/>
      <c r="AH283" s="55"/>
      <c r="AI283" s="55"/>
      <c r="AJ283" s="55"/>
      <c r="AK283" s="55"/>
      <c r="AL283" s="55"/>
      <c r="AM283" s="55" t="str">
        <f>IFERROR(__xludf.DUMMYFUNCTION("""COMPUTED_VALUE"""),"Q9jTBBVq5sKA7gkz3xmxH0jDCWx_HUmQ1Ur05_Z0M6eFiKXMvReRaCpDSL2-u8RD-64")</f>
        <v>Q9jTBBVq5sKA7gkz3xmxH0jDCWx_HUmQ1Ur05_Z0M6eFiKXMvReRaCpDSL2-u8RD-64</v>
      </c>
      <c r="AN283" s="55"/>
      <c r="AO283" s="55" t="str">
        <f>IFERROR(__xludf.DUMMYFUNCTION("""COMPUTED_VALUE"""),"NA")</f>
        <v>NA</v>
      </c>
      <c r="AP283" s="55" t="str">
        <f>IFERROR(__xludf.DUMMYFUNCTION("""COMPUTED_VALUE"""),"NA")</f>
        <v>NA</v>
      </c>
      <c r="AQ283" s="55" t="str">
        <f>IFERROR(__xludf.DUMMYFUNCTION("""COMPUTED_VALUE"""),"NA")</f>
        <v>NA</v>
      </c>
      <c r="AR283" s="55" t="str">
        <f>IFERROR(__xludf.DUMMYFUNCTION("""COMPUTED_VALUE"""),"I told myself I'd never drink ashwagandha coffee.")</f>
        <v>I told myself I'd never drink ashwagandha coffee.</v>
      </c>
      <c r="AS283" s="55" t="str">
        <f>IFERROR(__xludf.DUMMYFUNCTION("""COMPUTED_VALUE"""),"General / Lifestyle")</f>
        <v>General / Lifestyle</v>
      </c>
      <c r="AT283" s="55" t="str">
        <f>IFERROR(__xludf.DUMMYFUNCTION("""COMPUTED_VALUE"""),"• The taste surprised me.
• The calm hit instantly.
• I didn't expect that from a coffee.
• I didn't think it was for me.")</f>
        <v>• The taste surprised me.
• The calm hit instantly.
• I didn't expect that from a coffee.
• I didn't think it was for me.</v>
      </c>
      <c r="AU283" s="55" t="str">
        <f>IFERROR(__xludf.DUMMYFUNCTION("""COMPUTED_VALUE"""),"One sip changed everything.")</f>
        <v>One sip changed everything.</v>
      </c>
      <c r="AV283" s="55" t="str">
        <f>IFERROR(__xludf.DUMMYFUNCTION("""COMPUTED_VALUE"""),"I told myself I'd never drink ashwagandha coffee. I didn't think it was for me. It sounded like another trend I'd probably skip. But I decided to try it. Just one sip. And that's when everything changed. The taste surprised me. The calm hit instantly. And"&amp;" the feeling was completely different. I didn't expect that from a coffee. One sip changed everything.")</f>
        <v>I told myself I'd never drink ashwagandha coffee. I didn't think it was for me. It sounded like another trend I'd probably skip. But I decided to try it. Just one sip. And that's when everything changed. The taste surprised me. The calm hit instantly. And the feeling was completely different. I didn't expect that from a coffee. One sip changed everything.</v>
      </c>
      <c r="AW283" s="35"/>
      <c r="AX283" s="35"/>
      <c r="AY283" s="35"/>
      <c r="AZ283" s="35"/>
      <c r="BA283" s="35"/>
      <c r="BB283" s="35"/>
      <c r="BC283" s="35"/>
      <c r="BD283" s="35"/>
      <c r="BE283" s="35"/>
      <c r="BF283" s="35"/>
      <c r="BG283" s="35"/>
    </row>
    <row r="284" ht="15.75" customHeight="1">
      <c r="A284" s="55" t="str">
        <f>IFERROR(__xludf.DUMMYFUNCTION("""COMPUTED_VALUE"""),"Instagram")</f>
        <v>Instagram</v>
      </c>
      <c r="B284" s="56">
        <f>IFERROR(__xludf.DUMMYFUNCTION("""COMPUTED_VALUE"""),46192.0)</f>
        <v>46192</v>
      </c>
      <c r="C284" s="55" t="str">
        <f>IFERROR(__xludf.DUMMYFUNCTION("""COMPUTED_VALUE"""),"June")</f>
        <v>June</v>
      </c>
      <c r="D284" s="58" t="str">
        <f>IFERROR(__xludf.DUMMYFUNCTION("""COMPUTED_VALUE"""),"https://www.instagram.com/reel/DZuOk3upr3Q/")</f>
        <v>https://www.instagram.com/reel/DZuOk3upr3Q/</v>
      </c>
      <c r="E284" s="55" t="str">
        <f>IFERROR(__xludf.DUMMYFUNCTION("""COMPUTED_VALUE"""),"@na")</f>
        <v>@na</v>
      </c>
      <c r="F284" s="55" t="str">
        <f>IFERROR(__xludf.DUMMYFUNCTION("""COMPUTED_VALUE"""),"NA")</f>
        <v>NA</v>
      </c>
      <c r="G284" s="55" t="str">
        <f>IFERROR(__xludf.DUMMYFUNCTION("""COMPUTED_VALUE"""),"Cortisol")</f>
        <v>Cortisol</v>
      </c>
      <c r="H284" s="55">
        <f>IFERROR(__xludf.DUMMYFUNCTION("""COMPUTED_VALUE"""),40.0)</f>
        <v>40</v>
      </c>
      <c r="I284" s="55">
        <f>IFERROR(__xludf.DUMMYFUNCTION("""COMPUTED_VALUE"""),23.0)</f>
        <v>23</v>
      </c>
      <c r="J284" s="55" t="str">
        <f>IFERROR(__xludf.DUMMYFUNCTION("""COMPUTED_VALUE"""),"Yes – Recommend")</f>
        <v>Yes – Recommend</v>
      </c>
      <c r="K284" s="55" t="str">
        <f>IFERROR(__xludf.DUMMYFUNCTION("""COMPUTED_VALUE"""),"Review before running ads")</f>
        <v>Review before running ads</v>
      </c>
      <c r="L284" s="55" t="str">
        <f>IFERROR(__xludf.DUMMYFUNCTION("""COMPUTED_VALUE"""),"Score 24.0 ≥ 20 threshold")</f>
        <v>Score 24.0 ≥ 20 threshold</v>
      </c>
      <c r="M284" s="59" t="str">
        <f>IFERROR(__xludf.DUMMYFUNCTION("""COMPUTED_VALUE"""),"No Ad Data")</f>
        <v>No Ad Data</v>
      </c>
      <c r="N284" s="55"/>
      <c r="O284" s="55"/>
      <c r="P284" s="59">
        <f>IFERROR(__xludf.DUMMYFUNCTION("""COMPUTED_VALUE"""),147.0)</f>
        <v>147</v>
      </c>
      <c r="Q284" s="59">
        <f>IFERROR(__xludf.DUMMYFUNCTION("""COMPUTED_VALUE"""),7.0)</f>
        <v>7</v>
      </c>
      <c r="R284" s="59">
        <f>IFERROR(__xludf.DUMMYFUNCTION("""COMPUTED_VALUE"""),1.0)</f>
        <v>1</v>
      </c>
      <c r="S284" s="55"/>
      <c r="T284" s="68">
        <f>IFERROR(__xludf.DUMMYFUNCTION("""COMPUTED_VALUE"""),0.0)</f>
        <v>0</v>
      </c>
      <c r="U284" s="55"/>
      <c r="V284" s="62">
        <f>IFERROR(__xludf.DUMMYFUNCTION("""COMPUTED_VALUE"""),0.0544)</f>
        <v>0.0544</v>
      </c>
      <c r="W284" s="63">
        <f>IFERROR(__xludf.DUMMYFUNCTION("""COMPUTED_VALUE"""),117.58)</f>
        <v>117.58</v>
      </c>
      <c r="X284" s="59">
        <f>IFERROR(__xludf.DUMMYFUNCTION("""COMPUTED_VALUE"""),147.0)</f>
        <v>147</v>
      </c>
      <c r="Y284" s="59">
        <f>IFERROR(__xludf.DUMMYFUNCTION("""COMPUTED_VALUE"""),7.0)</f>
        <v>7</v>
      </c>
      <c r="Z284" s="59">
        <f>IFERROR(__xludf.DUMMYFUNCTION("""COMPUTED_VALUE"""),1.0)</f>
        <v>1</v>
      </c>
      <c r="AA284" s="59">
        <f>IFERROR(__xludf.DUMMYFUNCTION("""COMPUTED_VALUE"""),0.0)</f>
        <v>0</v>
      </c>
      <c r="AB284" s="64">
        <f>IFERROR(__xludf.DUMMYFUNCTION("""COMPUTED_VALUE"""),0.0)</f>
        <v>0</v>
      </c>
      <c r="AC284" s="62">
        <f>IFERROR(__xludf.DUMMYFUNCTION("""COMPUTED_VALUE"""),0.0544)</f>
        <v>0.0544</v>
      </c>
      <c r="AD284" s="62">
        <f>IFERROR(__xludf.DUMMYFUNCTION("""COMPUTED_VALUE"""),0.0)</f>
        <v>0</v>
      </c>
      <c r="AE284" s="62">
        <f>IFERROR(__xludf.DUMMYFUNCTION("""COMPUTED_VALUE"""),0.0)</f>
        <v>0</v>
      </c>
      <c r="AF284" s="55"/>
      <c r="AG284" s="55"/>
      <c r="AH284" s="55"/>
      <c r="AI284" s="55"/>
      <c r="AJ284" s="55"/>
      <c r="AK284" s="55"/>
      <c r="AL284" s="55"/>
      <c r="AM284" s="55" t="str">
        <f>IFERROR(__xludf.DUMMYFUNCTION("""COMPUTED_VALUE"""),"No Code")</f>
        <v>No Code</v>
      </c>
      <c r="AN284" s="55"/>
      <c r="AO284" s="55" t="str">
        <f>IFERROR(__xludf.DUMMYFUNCTION("""COMPUTED_VALUE"""),"NA")</f>
        <v>NA</v>
      </c>
      <c r="AP284" s="55" t="str">
        <f>IFERROR(__xludf.DUMMYFUNCTION("""COMPUTED_VALUE"""),"NA")</f>
        <v>NA</v>
      </c>
      <c r="AQ284" s="55" t="str">
        <f>IFERROR(__xludf.DUMMYFUNCTION("""COMPUTED_VALUE"""),"NA")</f>
        <v>NA</v>
      </c>
      <c r="AR284" s="55" t="str">
        <f>IFERROR(__xludf.DUMMYFUNCTION("""COMPUTED_VALUE"""),"Shopping with these two is always an adventure.")</f>
        <v>Shopping with these two is always an adventure.</v>
      </c>
      <c r="AS284" s="55" t="str">
        <f>IFERROR(__xludf.DUMMYFUNCTION("""COMPUTED_VALUE"""),"In-Store / Target Discovery")</f>
        <v>In-Store / Target Discovery</v>
      </c>
      <c r="AT284" s="55" t="str">
        <f>IFERROR(__xludf.DUMMYFUNCTION("""COMPUTED_VALUE"""),"• L-theanine, turmeric, lion's mane, chaga.
• But I was on a mission, hunting for something specific in the coffee aisle.
• All in one scoop of coffee.
• I take all of these separately every morning.")</f>
        <v>• L-theanine, turmeric, lion's mane, chaga.
• But I was on a mission, hunting for something specific in the coffee aisle.
• All in one scoop of coffee.
• I take all of these separately every morning.</v>
      </c>
      <c r="AU284" s="55" t="str">
        <f>IFERROR(__xludf.DUMMYFUNCTION("""COMPUTED_VALUE"""),"Find it at Target.")</f>
        <v>Find it at Target.</v>
      </c>
      <c r="AV284" s="55" t="str">
        <f>IFERROR(__xludf.DUMMYFUNCTION("""COMPUTED_VALUE"""),"Shopping with these two is always an adventure. But I was on a mission, hunting for something specific in the coffee aisle. Vadam Ashwagandha coffee. And my jaw dropped. KSM-66 Ashwagandha. The clinical grade. L-theanine, turmeric, lion's mane, chaga. All"&amp;" in one scoop of coffee. I take all of these separately every morning. So when I saw them together in a coffee, yeah, I grabbed a few. Look at this. It actually tastes like real coffee. Smooth, earthy, no weird aftertaste. And the best part? Calm energy. "&amp;"No jitters. Find it at Target.")</f>
        <v>Shopping with these two is always an adventure. But I was on a mission, hunting for something specific in the coffee aisle. Vadam Ashwagandha coffee. And my jaw dropped. KSM-66 Ashwagandha. The clinical grade. L-theanine, turmeric, lion's mane, chaga. All in one scoop of coffee. I take all of these separately every morning. So when I saw them together in a coffee, yeah, I grabbed a few. Look at this. It actually tastes like real coffee. Smooth, earthy, no weird aftertaste. And the best part? Calm energy. No jitters. Find it at Target.</v>
      </c>
      <c r="AW284" s="35"/>
      <c r="AX284" s="35"/>
      <c r="AY284" s="35"/>
      <c r="AZ284" s="35"/>
      <c r="BA284" s="35"/>
      <c r="BB284" s="35"/>
      <c r="BC284" s="35"/>
      <c r="BD284" s="35"/>
      <c r="BE284" s="35"/>
      <c r="BF284" s="35"/>
      <c r="BG284" s="35"/>
    </row>
    <row r="285" ht="15.75" customHeight="1">
      <c r="A285" s="55" t="str">
        <f>IFERROR(__xludf.DUMMYFUNCTION("""COMPUTED_VALUE"""),"Tiktok")</f>
        <v>Tiktok</v>
      </c>
      <c r="B285" s="56">
        <f>IFERROR(__xludf.DUMMYFUNCTION("""COMPUTED_VALUE"""),46198.0)</f>
        <v>46198</v>
      </c>
      <c r="C285" s="55" t="str">
        <f>IFERROR(__xludf.DUMMYFUNCTION("""COMPUTED_VALUE"""),"June")</f>
        <v>June</v>
      </c>
      <c r="D285" s="58" t="str">
        <f>IFERROR(__xludf.DUMMYFUNCTION("""COMPUTED_VALUE"""),"https://www.tiktok.com/@movewithjanelle/video/7655317706408774926")</f>
        <v>https://www.tiktok.com/@movewithjanelle/video/7655317706408774926</v>
      </c>
      <c r="E285" s="55" t="str">
        <f>IFERROR(__xludf.DUMMYFUNCTION("""COMPUTED_VALUE"""),"@movewithjanelle")</f>
        <v>@movewithjanelle</v>
      </c>
      <c r="F285" s="55" t="str">
        <f>IFERROR(__xludf.DUMMYFUNCTION("""COMPUTED_VALUE"""),"Janelle Campbell")</f>
        <v>Janelle Campbell</v>
      </c>
      <c r="G285" s="55" t="str">
        <f>IFERROR(__xludf.DUMMYFUNCTION("""COMPUTED_VALUE"""),"Over 40/ High Performer")</f>
        <v>Over 40/ High Performer</v>
      </c>
      <c r="H285" s="55">
        <f>IFERROR(__xludf.DUMMYFUNCTION("""COMPUTED_VALUE"""),51.0)</f>
        <v>51</v>
      </c>
      <c r="I285" s="55">
        <f>IFERROR(__xludf.DUMMYFUNCTION("""COMPUTED_VALUE"""),29.2)</f>
        <v>29.2</v>
      </c>
      <c r="J285" s="55" t="str">
        <f>IFERROR(__xludf.DUMMYFUNCTION("""COMPUTED_VALUE"""),"Yes – Recommend")</f>
        <v>Yes – Recommend</v>
      </c>
      <c r="K285" s="55" t="str">
        <f>IFERROR(__xludf.DUMMYFUNCTION("""COMPUTED_VALUE"""),"Review before running ads")</f>
        <v>Review before running ads</v>
      </c>
      <c r="L285" s="55" t="str">
        <f>IFERROR(__xludf.DUMMYFUNCTION("""COMPUTED_VALUE"""),"Score 30.2 ≥ 30")</f>
        <v>Score 30.2 ≥ 30</v>
      </c>
      <c r="M285" s="59" t="str">
        <f>IFERROR(__xludf.DUMMYFUNCTION("""COMPUTED_VALUE"""),"No Ad Data")</f>
        <v>No Ad Data</v>
      </c>
      <c r="N285" s="55"/>
      <c r="O285" s="55"/>
      <c r="P285" s="59">
        <f>IFERROR(__xludf.DUMMYFUNCTION("""COMPUTED_VALUE"""),137.0)</f>
        <v>137</v>
      </c>
      <c r="Q285" s="59">
        <f>IFERROR(__xludf.DUMMYFUNCTION("""COMPUTED_VALUE"""),8.0)</f>
        <v>8</v>
      </c>
      <c r="R285" s="59">
        <f>IFERROR(__xludf.DUMMYFUNCTION("""COMPUTED_VALUE"""),2.0)</f>
        <v>2</v>
      </c>
      <c r="S285" s="62">
        <f>IFERROR(__xludf.DUMMYFUNCTION("""COMPUTED_VALUE"""),59.5)</f>
        <v>59.5</v>
      </c>
      <c r="T285" s="62">
        <f>IFERROR(__xludf.DUMMYFUNCTION("""COMPUTED_VALUE"""),9.9)</f>
        <v>9.9</v>
      </c>
      <c r="U285" s="64">
        <f>IFERROR(__xludf.DUMMYFUNCTION("""COMPUTED_VALUE"""),4.0)</f>
        <v>4</v>
      </c>
      <c r="V285" s="62">
        <f>IFERROR(__xludf.DUMMYFUNCTION("""COMPUTED_VALUE"""),7.2)</f>
        <v>7.2</v>
      </c>
      <c r="W285" s="63">
        <f>IFERROR(__xludf.DUMMYFUNCTION("""COMPUTED_VALUE"""),117.58)</f>
        <v>117.58</v>
      </c>
      <c r="X285" s="59">
        <f>IFERROR(__xludf.DUMMYFUNCTION("""COMPUTED_VALUE"""),137.0)</f>
        <v>137</v>
      </c>
      <c r="Y285" s="59">
        <f>IFERROR(__xludf.DUMMYFUNCTION("""COMPUTED_VALUE"""),8.0)</f>
        <v>8</v>
      </c>
      <c r="Z285" s="59">
        <f>IFERROR(__xludf.DUMMYFUNCTION("""COMPUTED_VALUE"""),2.0)</f>
        <v>2</v>
      </c>
      <c r="AA285" s="59">
        <f>IFERROR(__xludf.DUMMYFUNCTION("""COMPUTED_VALUE"""),0.0)</f>
        <v>0</v>
      </c>
      <c r="AB285" s="64">
        <f>IFERROR(__xludf.DUMMYFUNCTION("""COMPUTED_VALUE"""),4.0)</f>
        <v>4</v>
      </c>
      <c r="AC285" s="62">
        <f>IFERROR(__xludf.DUMMYFUNCTION("""COMPUTED_VALUE"""),7.2)</f>
        <v>7.2</v>
      </c>
      <c r="AD285" s="62">
        <f>IFERROR(__xludf.DUMMYFUNCTION("""COMPUTED_VALUE"""),59.5)</f>
        <v>59.5</v>
      </c>
      <c r="AE285" s="62">
        <f>IFERROR(__xludf.DUMMYFUNCTION("""COMPUTED_VALUE"""),9.9)</f>
        <v>9.9</v>
      </c>
      <c r="AF285" s="55"/>
      <c r="AG285" s="55"/>
      <c r="AH285" s="55"/>
      <c r="AI285" s="55"/>
      <c r="AJ285" s="55"/>
      <c r="AK285" s="55"/>
      <c r="AL285" s="55"/>
      <c r="AM285" s="55" t="str">
        <f>IFERROR(__xludf.DUMMYFUNCTION("""COMPUTED_VALUE"""),"#ctM254HY5c4WV7SXgK4iYO1Bz6YsrgmY0VwgyVigRwMSzMtWb3e9grzyPVHM4BM=")</f>
        <v>#ctM254HY5c4WV7SXgK4iYO1Bz6YsrgmY0VwgyVigRwMSzMtWb3e9grzyPVHM4BM=</v>
      </c>
      <c r="AN285" s="55"/>
      <c r="AO285" s="58" t="str">
        <f>IFERROR(__xludf.DUMMYFUNCTION("""COMPUTED_VALUE"""),"https://us.brand.joinbrands.com/job/691429")</f>
        <v>https://us.brand.joinbrands.com/job/691429</v>
      </c>
      <c r="AP285" s="55" t="str">
        <f>IFERROR(__xludf.DUMMYFUNCTION("""COMPUTED_VALUE"""),"NA")</f>
        <v>NA</v>
      </c>
      <c r="AQ285" s="55" t="str">
        <f>IFERROR(__xludf.DUMMYFUNCTION("""COMPUTED_VALUE"""),"Found my new morning coffee at @target â˜•âœ¨ VAHDAMÂ® Ashwagandha Coffee tastes like regular coffee with added wellness benefits. Available in stores &amp; on Target.com! ðŸ¤ @vahdamusa @target #VAHDAM...")</f>
        <v>Found my new morning coffee at @target â˜•âœ¨ VAHDAMÂ® Ashwagandha Coffee tastes like regular coffee with added wellness benefits. Available in stores &amp; on Target.com! ðŸ¤_x008d_ @vahdamusa @target #VAHDAM...</v>
      </c>
      <c r="AR285" s="55" t="str">
        <f>IFERROR(__xludf.DUMMYFUNCTION("""COMPUTED_VALUE"""),"at the point where if something makes my morning routine harder, I'm not doing it.")</f>
        <v>at the point where if something makes my morning routine harder, I'm not doing it.</v>
      </c>
      <c r="AS285" s="55" t="str">
        <f>IFERROR(__xludf.DUMMYFUNCTION("""COMPUTED_VALUE"""),"General / Lifestyle")</f>
        <v>General / Lifestyle</v>
      </c>
      <c r="AT285" s="55" t="str">
        <f>IFERROR(__xludf.DUMMYFUNCTION("""COMPUTED_VALUE"""),"• Instead of regular coffee, this is a coffee upgraded with KSM 66 ashwagandha, L-theanine, turmeric, and functional mushrooms all in one cup.
• Lately, I've been looking for simple ways to support my energy and stress levels without adding more steps to "&amp;"my morning routine.
• I was so excited when I found Vadam Ashwagandha Coffee at Target.")</f>
        <v>• Instead of regular coffee, this is a coffee upgraded with KSM 66 ashwagandha, L-theanine, turmeric, and functional mushrooms all in one cup.
• Lately, I've been looking for simple ways to support my energy and stress levels without adding more steps to my morning routine.
• I was so excited when I found Vadam Ashwagandha Coffee at Target.</v>
      </c>
      <c r="AU285" s="55" t="str">
        <f>IFERROR(__xludf.DUMMYFUNCTION("""COMPUTED_VALUE"""),"So swapping my regular coffee for something that does more just made sense and truly the biggest surprise was that it actually tastes like delicious regular coffee i've been loving it as a simple well...")</f>
        <v>So swapping my regular coffee for something that does more just made sense and truly the biggest surprise was that it actually tastes like delicious regular coffee i've been loving it as a simple well...</v>
      </c>
      <c r="AV285" s="55" t="str">
        <f>IFERROR(__xludf.DUMMYFUNCTION("""COMPUTED_VALUE"""),"at the point where if something makes my morning routine harder, I'm not doing it. I was so excited when I found Vadam Ashwagandha Coffee at Target. Instead of regular coffee, this is a coffee upgraded with KSM 66 ashwagandha, L-theanine, turmeric, and fu"&amp;"nctional mushrooms all in one cup. Lately, I've been looking for simple ways to support my energy and stress levels without adding more steps to my morning routine. So swapping my regular coffee for something that does more just made sense and truly the b"&amp;"iggest surprise was that it actually tastes like delicious regular coffee i've been loving it as a simple wellness upgrade because i'm already drinking coffee every morning anyways so if you're looking for a smarter coffee option you can find vodham ashwa"&amp;"gandha coffee at target stores nationwide or on target.com and if you try it don't forget to leave a review on target.com")</f>
        <v>at the point where if something makes my morning routine harder, I'm not doing it. I was so excited when I found Vadam Ashwagandha Coffee at Target. Instead of regular coffee, this is a coffee upgraded with KSM 66 ashwagandha, L-theanine, turmeric, and functional mushrooms all in one cup. Lately, I've been looking for simple ways to support my energy and stress levels without adding more steps to my morning routine. So swapping my regular coffee for something that does more just made sense and truly the biggest surprise was that it actually tastes like delicious regular coffee i've been loving it as a simple wellness upgrade because i'm already drinking coffee every morning anyways so if you're looking for a smarter coffee option you can find vodham ashwagandha coffee at target stores nationwide or on target.com and if you try it don't forget to leave a review on target.com</v>
      </c>
      <c r="AW285" s="35"/>
      <c r="AX285" s="35"/>
      <c r="AY285" s="35"/>
      <c r="AZ285" s="35"/>
      <c r="BA285" s="35"/>
      <c r="BB285" s="35"/>
      <c r="BC285" s="35"/>
      <c r="BD285" s="35"/>
      <c r="BE285" s="35"/>
      <c r="BF285" s="35"/>
      <c r="BG285" s="35"/>
    </row>
    <row r="286" ht="15.75" customHeight="1">
      <c r="A286" s="55" t="str">
        <f>IFERROR(__xludf.DUMMYFUNCTION("""COMPUTED_VALUE"""),"Tiktok")</f>
        <v>Tiktok</v>
      </c>
      <c r="B286" s="56">
        <f>IFERROR(__xludf.DUMMYFUNCTION("""COMPUTED_VALUE"""),46195.0)</f>
        <v>46195</v>
      </c>
      <c r="C286" s="55" t="str">
        <f>IFERROR(__xludf.DUMMYFUNCTION("""COMPUTED_VALUE"""),"June")</f>
        <v>June</v>
      </c>
      <c r="D286" s="58" t="str">
        <f>IFERROR(__xludf.DUMMYFUNCTION("""COMPUTED_VALUE"""),"https://www.tiktok.com/@its.noelle.not.ni/video/7654238633574157598")</f>
        <v>https://www.tiktok.com/@its.noelle.not.ni/video/7654238633574157598</v>
      </c>
      <c r="E286" s="55" t="str">
        <f>IFERROR(__xludf.DUMMYFUNCTION("""COMPUTED_VALUE"""),"@its.noelle.not.ni")</f>
        <v>@its.noelle.not.ni</v>
      </c>
      <c r="F286" s="55" t="str">
        <f>IFERROR(__xludf.DUMMYFUNCTION("""COMPUTED_VALUE"""),"Noelle Giannini")</f>
        <v>Noelle Giannini</v>
      </c>
      <c r="G286" s="55" t="str">
        <f>IFERROR(__xludf.DUMMYFUNCTION("""COMPUTED_VALUE"""),"Over 40/ High Performer")</f>
        <v>Over 40/ High Performer</v>
      </c>
      <c r="H286" s="55">
        <f>IFERROR(__xludf.DUMMYFUNCTION("""COMPUTED_VALUE"""),65.0)</f>
        <v>65</v>
      </c>
      <c r="I286" s="55">
        <f>IFERROR(__xludf.DUMMYFUNCTION("""COMPUTED_VALUE"""),33.6)</f>
        <v>33.6</v>
      </c>
      <c r="J286" s="55" t="str">
        <f>IFERROR(__xludf.DUMMYFUNCTION("""COMPUTED_VALUE"""),"Yes – Recommend")</f>
        <v>Yes – Recommend</v>
      </c>
      <c r="K286" s="55" t="str">
        <f>IFERROR(__xludf.DUMMYFUNCTION("""COMPUTED_VALUE"""),"Review before running ads")</f>
        <v>Review before running ads</v>
      </c>
      <c r="L286" s="55" t="str">
        <f>IFERROR(__xludf.DUMMYFUNCTION("""COMPUTED_VALUE"""),"Score 32.8 ≥ 30; 6-sec 26.0% ≥ 25%")</f>
        <v>Score 32.8 ≥ 30; 6-sec 26.0% ≥ 25%</v>
      </c>
      <c r="M286" s="59" t="str">
        <f>IFERROR(__xludf.DUMMYFUNCTION("""COMPUTED_VALUE"""),"No Ad Data")</f>
        <v>No Ad Data</v>
      </c>
      <c r="N286" s="55"/>
      <c r="O286" s="55"/>
      <c r="P286" s="59">
        <f>IFERROR(__xludf.DUMMYFUNCTION("""COMPUTED_VALUE"""),131.0)</f>
        <v>131</v>
      </c>
      <c r="Q286" s="59">
        <f>IFERROR(__xludf.DUMMYFUNCTION("""COMPUTED_VALUE"""),5.0)</f>
        <v>5</v>
      </c>
      <c r="R286" s="59">
        <f>IFERROR(__xludf.DUMMYFUNCTION("""COMPUTED_VALUE"""),0.0)</f>
        <v>0</v>
      </c>
      <c r="S286" s="62">
        <f>IFERROR(__xludf.DUMMYFUNCTION("""COMPUTED_VALUE"""),52.8)</f>
        <v>52.8</v>
      </c>
      <c r="T286" s="62">
        <f>IFERROR(__xludf.DUMMYFUNCTION("""COMPUTED_VALUE"""),26.0)</f>
        <v>26</v>
      </c>
      <c r="U286" s="64">
        <f>IFERROR(__xludf.DUMMYFUNCTION("""COMPUTED_VALUE"""),6.0)</f>
        <v>6</v>
      </c>
      <c r="V286" s="62">
        <f>IFERROR(__xludf.DUMMYFUNCTION("""COMPUTED_VALUE"""),3.8)</f>
        <v>3.8</v>
      </c>
      <c r="W286" s="63">
        <f>IFERROR(__xludf.DUMMYFUNCTION("""COMPUTED_VALUE"""),117.58)</f>
        <v>117.58</v>
      </c>
      <c r="X286" s="59">
        <f>IFERROR(__xludf.DUMMYFUNCTION("""COMPUTED_VALUE"""),131.0)</f>
        <v>131</v>
      </c>
      <c r="Y286" s="59">
        <f>IFERROR(__xludf.DUMMYFUNCTION("""COMPUTED_VALUE"""),5.0)</f>
        <v>5</v>
      </c>
      <c r="Z286" s="59">
        <f>IFERROR(__xludf.DUMMYFUNCTION("""COMPUTED_VALUE"""),0.0)</f>
        <v>0</v>
      </c>
      <c r="AA286" s="59">
        <f>IFERROR(__xludf.DUMMYFUNCTION("""COMPUTED_VALUE"""),0.0)</f>
        <v>0</v>
      </c>
      <c r="AB286" s="64">
        <f>IFERROR(__xludf.DUMMYFUNCTION("""COMPUTED_VALUE"""),6.0)</f>
        <v>6</v>
      </c>
      <c r="AC286" s="62">
        <f>IFERROR(__xludf.DUMMYFUNCTION("""COMPUTED_VALUE"""),3.8)</f>
        <v>3.8</v>
      </c>
      <c r="AD286" s="62">
        <f>IFERROR(__xludf.DUMMYFUNCTION("""COMPUTED_VALUE"""),52.8)</f>
        <v>52.8</v>
      </c>
      <c r="AE286" s="62">
        <f>IFERROR(__xludf.DUMMYFUNCTION("""COMPUTED_VALUE"""),26.0)</f>
        <v>26</v>
      </c>
      <c r="AF286" s="55"/>
      <c r="AG286" s="55"/>
      <c r="AH286" s="55"/>
      <c r="AI286" s="55"/>
      <c r="AJ286" s="55"/>
      <c r="AK286" s="55"/>
      <c r="AL286" s="55"/>
      <c r="AM286" s="55" t="str">
        <f>IFERROR(__xludf.DUMMYFUNCTION("""COMPUTED_VALUE"""),"#JSnFNTXYyOiKpuy1Ywo+DE01gsTEG5Sh7qsGNDd7M8NkzPdFuVdFv81ILYG4LyA=")</f>
        <v>#JSnFNTXYyOiKpuy1Ywo+DE01gsTEG5Sh7qsGNDd7M8NkzPdFuVdFv81ILYG4LyA=</v>
      </c>
      <c r="AN286" s="55"/>
      <c r="AO286" s="58" t="str">
        <f>IFERROR(__xludf.DUMMYFUNCTION("""COMPUTED_VALUE"""),"https://us.brand.joinbrands.com/job/690539")</f>
        <v>https://us.brand.joinbrands.com/job/690539</v>
      </c>
      <c r="AP286" s="55" t="str">
        <f>IFERROR(__xludf.DUMMYFUNCTION("""COMPUTED_VALUE"""),"Blurry - some filter")</f>
        <v>Blurry - some filter</v>
      </c>
      <c r="AQ286" s="55" t="str">
        <f>IFERROR(__xludf.DUMMYFUNCTION("""COMPUTED_VALUE"""),"Try Vahdam Ashwagandha Coffee! It has so many benefits and tastes amazing! @VAHDAM USA @target #health#coffee#mushroomcoffee #over40 #mom")</f>
        <v>Try Vahdam Ashwagandha Coffee! It has so many benefits and tastes amazing! @VAHDAM USA @target #health#coffee#mushroomcoffee #over40 #mom</v>
      </c>
      <c r="AR286" s="55" t="str">
        <f>IFERROR(__xludf.DUMMYFUNCTION("""COMPUTED_VALUE"""),"do you want to go for a cup of coffee?")</f>
        <v>do you want to go for a cup of coffee?</v>
      </c>
      <c r="AS286" s="55" t="str">
        <f>IFERROR(__xludf.DUMMYFUNCTION("""COMPUTED_VALUE"""),"Curiosity / Question")</f>
        <v>Curiosity / Question</v>
      </c>
      <c r="AT286" s="55" t="str">
        <f>IFERROR(__xludf.DUMMYFUNCTION("""COMPUTED_VALUE"""),"• I know a really good spot.
• And here it is, guys.
• It helps with mood balance.")</f>
        <v>• I know a really good spot.
• And here it is, guys.
• It helps with mood balance.</v>
      </c>
      <c r="AU286" s="55" t="str">
        <f>IFERROR(__xludf.DUMMYFUNCTION("""COMPUTED_VALUE"""),"helps to lower your stress if you're pushing 40 getting past 40 perimenopause menopause walking into rooms forgetting why you're there meetings briefings can't remember your thoughts absolutely try th...")</f>
        <v>helps to lower your stress if you're pushing 40 getting past 40 perimenopause menopause walking into rooms forgetting why you're there meetings briefings can't remember your thoughts absolutely try th...</v>
      </c>
      <c r="AV286" s="55" t="str">
        <f>IFERROR(__xludf.DUMMYFUNCTION("""COMPUTED_VALUE"""),"Hey, do you want to go for a cup of coffee? I know a really good spot. And here it is, guys. Ashwagandha coffee. It helps with mood balance. It helps to lower cortisol. helps to lower your stress if you're pushing 40 getting past 40 perimenopause menopaus"&amp;"e walking into rooms forgetting why you're there meetings briefings can't remember your thoughts absolutely try this coffee it tastes amazing and it helps so much you can just get rid of all these supplements and just drink coffee instead it adds so much "&amp;"to your morning and it makes it so much easier just on a daily basis you flip it over it has how you can make it hot make it iced You can do both, save one for later.")</f>
        <v>Hey, do you want to go for a cup of coffee? I know a really good spot. And here it is, guys. Ashwagandha coffee. It helps with mood balance. It helps to lower cortisol. helps to lower your stress if you're pushing 40 getting past 40 perimenopause menopause walking into rooms forgetting why you're there meetings briefings can't remember your thoughts absolutely try this coffee it tastes amazing and it helps so much you can just get rid of all these supplements and just drink coffee instead it adds so much to your morning and it makes it so much easier just on a daily basis you flip it over it has how you can make it hot make it iced You can do both, save one for later.</v>
      </c>
      <c r="AW286" s="35"/>
      <c r="AX286" s="35"/>
      <c r="AY286" s="35"/>
      <c r="AZ286" s="35"/>
      <c r="BA286" s="35"/>
      <c r="BB286" s="35"/>
      <c r="BC286" s="35"/>
      <c r="BD286" s="35"/>
      <c r="BE286" s="35"/>
      <c r="BF286" s="35"/>
      <c r="BG286" s="35"/>
    </row>
    <row r="287" ht="15.75" customHeight="1">
      <c r="A287" s="55" t="str">
        <f>IFERROR(__xludf.DUMMYFUNCTION("""COMPUTED_VALUE"""),"Tiktok")</f>
        <v>Tiktok</v>
      </c>
      <c r="B287" s="56">
        <f>IFERROR(__xludf.DUMMYFUNCTION("""COMPUTED_VALUE"""),46203.0)</f>
        <v>46203</v>
      </c>
      <c r="C287" s="55" t="str">
        <f>IFERROR(__xludf.DUMMYFUNCTION("""COMPUTED_VALUE"""),"June")</f>
        <v>June</v>
      </c>
      <c r="D287" s="58" t="str">
        <f>IFERROR(__xludf.DUMMYFUNCTION("""COMPUTED_VALUE"""),"https://www.tiktok.com/@sonyasharessucess/video/7656769189255941406")</f>
        <v>https://www.tiktok.com/@sonyasharessucess/video/7656769189255941406</v>
      </c>
      <c r="E287" s="55" t="str">
        <f>IFERROR(__xludf.DUMMYFUNCTION("""COMPUTED_VALUE"""),"@sonyasharessucess")</f>
        <v>@sonyasharessucess</v>
      </c>
      <c r="F287" s="55"/>
      <c r="G287" s="55" t="str">
        <f>IFERROR(__xludf.DUMMYFUNCTION("""COMPUTED_VALUE"""),"Over 40/ High Performer")</f>
        <v>Over 40/ High Performer</v>
      </c>
      <c r="H287" s="55"/>
      <c r="I287" s="55">
        <f>IFERROR(__xludf.DUMMYFUNCTION("""COMPUTED_VALUE"""),36.3)</f>
        <v>36.3</v>
      </c>
      <c r="J287" s="55" t="str">
        <f>IFERROR(__xludf.DUMMYFUNCTION("""COMPUTED_VALUE"""),"Yes – Recommend")</f>
        <v>Yes – Recommend</v>
      </c>
      <c r="K287" s="55" t="str">
        <f>IFERROR(__xludf.DUMMYFUNCTION("""COMPUTED_VALUE"""),"Review before running ads")</f>
        <v>Review before running ads</v>
      </c>
      <c r="L287" s="55" t="str">
        <f>IFERROR(__xludf.DUMMYFUNCTION("""COMPUTED_VALUE"""),"Score 38.3 ≥ 30; 6-sec 32.5% ≥ 25%")</f>
        <v>Score 38.3 ≥ 30; 6-sec 32.5% ≥ 25%</v>
      </c>
      <c r="M287" s="59" t="str">
        <f>IFERROR(__xludf.DUMMYFUNCTION("""COMPUTED_VALUE"""),"No Ad Data")</f>
        <v>No Ad Data</v>
      </c>
      <c r="N287" s="55"/>
      <c r="O287" s="55"/>
      <c r="P287" s="59">
        <f>IFERROR(__xludf.DUMMYFUNCTION("""COMPUTED_VALUE"""),128.0)</f>
        <v>128</v>
      </c>
      <c r="Q287" s="59">
        <f>IFERROR(__xludf.DUMMYFUNCTION("""COMPUTED_VALUE"""),3.0)</f>
        <v>3</v>
      </c>
      <c r="R287" s="59">
        <f>IFERROR(__xludf.DUMMYFUNCTION("""COMPUTED_VALUE"""),0.0)</f>
        <v>0</v>
      </c>
      <c r="S287" s="62">
        <f>IFERROR(__xludf.DUMMYFUNCTION("""COMPUTED_VALUE"""),72.8)</f>
        <v>72.8</v>
      </c>
      <c r="T287" s="62">
        <f>IFERROR(__xludf.DUMMYFUNCTION("""COMPUTED_VALUE"""),32.5)</f>
        <v>32.5</v>
      </c>
      <c r="U287" s="64">
        <f>IFERROR(__xludf.DUMMYFUNCTION("""COMPUTED_VALUE"""),7.0)</f>
        <v>7</v>
      </c>
      <c r="V287" s="62">
        <f>IFERROR(__xludf.DUMMYFUNCTION("""COMPUTED_VALUE"""),3.1)</f>
        <v>3.1</v>
      </c>
      <c r="W287" s="63">
        <f>IFERROR(__xludf.DUMMYFUNCTION("""COMPUTED_VALUE"""),117.58)</f>
        <v>117.58</v>
      </c>
      <c r="X287" s="59">
        <f>IFERROR(__xludf.DUMMYFUNCTION("""COMPUTED_VALUE"""),128.0)</f>
        <v>128</v>
      </c>
      <c r="Y287" s="59">
        <f>IFERROR(__xludf.DUMMYFUNCTION("""COMPUTED_VALUE"""),3.0)</f>
        <v>3</v>
      </c>
      <c r="Z287" s="59">
        <f>IFERROR(__xludf.DUMMYFUNCTION("""COMPUTED_VALUE"""),0.0)</f>
        <v>0</v>
      </c>
      <c r="AA287" s="59">
        <f>IFERROR(__xludf.DUMMYFUNCTION("""COMPUTED_VALUE"""),1.0)</f>
        <v>1</v>
      </c>
      <c r="AB287" s="64">
        <f>IFERROR(__xludf.DUMMYFUNCTION("""COMPUTED_VALUE"""),7.0)</f>
        <v>7</v>
      </c>
      <c r="AC287" s="62">
        <f>IFERROR(__xludf.DUMMYFUNCTION("""COMPUTED_VALUE"""),3.1)</f>
        <v>3.1</v>
      </c>
      <c r="AD287" s="62">
        <f>IFERROR(__xludf.DUMMYFUNCTION("""COMPUTED_VALUE"""),72.8)</f>
        <v>72.8</v>
      </c>
      <c r="AE287" s="62">
        <f>IFERROR(__xludf.DUMMYFUNCTION("""COMPUTED_VALUE"""),32.5)</f>
        <v>32.5</v>
      </c>
      <c r="AF287" s="55"/>
      <c r="AG287" s="55"/>
      <c r="AH287" s="55"/>
      <c r="AI287" s="55"/>
      <c r="AJ287" s="55"/>
      <c r="AK287" s="55"/>
      <c r="AL287" s="55"/>
      <c r="AM287" s="55" t="str">
        <f>IFERROR(__xludf.DUMMYFUNCTION("""COMPUTED_VALUE"""),"#tQUJtAZIQf+3mVWiMfUbG7W3fLMlvJTpmjzTqxcbnBOLJ8sQfw8BfkDm9ROmWi0=")</f>
        <v>#tQUJtAZIQf+3mVWiMfUbG7W3fLMlvJTpmjzTqxcbnBOLJ8sQfw8BfkDm9ROmWi0=</v>
      </c>
      <c r="AN287" s="55"/>
      <c r="AO287" s="55"/>
      <c r="AP287" s="55"/>
      <c r="AQ287" s="55" t="str">
        <f>IFERROR(__xludf.DUMMYFUNCTION("""COMPUTED_VALUE"""),"Calm energy &amp; lasting focus.. thanks to @VAHDAM USA now available @target #coffeeupgrade #betterenergy #betterfocus #morningroutine #coffeeroutine")</f>
        <v>Calm energy &amp; lasting focus.. thanks to @VAHDAM USA now available @target #coffeeupgrade #betterenergy #betterfocus #morningroutine #coffeeroutine</v>
      </c>
      <c r="AR287" s="55" t="str">
        <f>IFERROR(__xludf.DUMMYFUNCTION("""COMPUTED_VALUE"""),"Can we talk about how coffee after 40 hits differently? I still want my morning coffee, but I don't want the jitters, the crash, or feeling even more stressed than I already am.")</f>
        <v>Can we talk about how coffee after 40 hits differently? I still want my morning coffee, but I don't want the jitters, the crash, or feeling even more stressed than I already am.</v>
      </c>
      <c r="AS287" s="55" t="str">
        <f>IFERROR(__xludf.DUMMYFUNCTION("""COMPUTED_VALUE"""),"Age/Life Stage")</f>
        <v>Age/Life Stage</v>
      </c>
      <c r="AT287" s="55" t="str">
        <f>IFERROR(__xludf.DUMMYFUNCTION("""COMPUTED_VALUE"""),"• Product introduced immediately in the opening
• Benefits covered: stress, jitter, crash, wellness
• CTA: ""It's also available online at target.com.""")</f>
        <v>• Product introduced immediately in the opening
• Benefits covered: stress, jitter, crash, wellness
• CTA: "It's also available online at target.com."</v>
      </c>
      <c r="AU287" s="55" t="str">
        <f>IFERROR(__xludf.DUMMYFUNCTION("""COMPUTED_VALUE"""),"It's also available online at target.com.")</f>
        <v>It's also available online at target.com.</v>
      </c>
      <c r="AV287" s="55" t="str">
        <f>IFERROR(__xludf.DUMMYFUNCTION("""COMPUTED_VALUE"""),"Can we talk about how coffee after 40 hits differently? I still want my morning coffee, but I don't want the jitters, the crash, or feeling even more stressed than I already am. That's why I've been loving this ashwagandha coffee from Vahdam. It's coffee "&amp;"upgraded with ingredients like ashwagandha, l-theanine, lions mane, chaga, and turmeric. Things I'm already taking separately to support stress management, balance, and overall wellness. What I love is it doesn't feel like another supplement I have to rem"&amp;"ember to take. It simply replace my morning coffee. I found it at target. It's also available online at target.com.")</f>
        <v>Can we talk about how coffee after 40 hits differently? I still want my morning coffee, but I don't want the jitters, the crash, or feeling even more stressed than I already am. That's why I've been loving this ashwagandha coffee from Vahdam. It's coffee upgraded with ingredients like ashwagandha, l-theanine, lions mane, chaga, and turmeric. Things I'm already taking separately to support stress management, balance, and overall wellness. What I love is it doesn't feel like another supplement I have to remember to take. It simply replace my morning coffee. I found it at target. It's also available online at target.com.</v>
      </c>
      <c r="AW287" s="35"/>
      <c r="AX287" s="35"/>
      <c r="AY287" s="35"/>
      <c r="AZ287" s="35"/>
      <c r="BA287" s="35"/>
      <c r="BB287" s="35"/>
      <c r="BC287" s="35"/>
      <c r="BD287" s="35"/>
      <c r="BE287" s="35"/>
      <c r="BF287" s="35"/>
      <c r="BG287" s="35"/>
    </row>
    <row r="288" ht="15.75" customHeight="1">
      <c r="A288" s="55" t="str">
        <f>IFERROR(__xludf.DUMMYFUNCTION("""COMPUTED_VALUE"""),"Instagram")</f>
        <v>Instagram</v>
      </c>
      <c r="B288" s="56">
        <f>IFERROR(__xludf.DUMMYFUNCTION("""COMPUTED_VALUE"""),46191.0)</f>
        <v>46191</v>
      </c>
      <c r="C288" s="55" t="str">
        <f>IFERROR(__xludf.DUMMYFUNCTION("""COMPUTED_VALUE"""),"June")</f>
        <v>June</v>
      </c>
      <c r="D288" s="58" t="str">
        <f>IFERROR(__xludf.DUMMYFUNCTION("""COMPUTED_VALUE"""),"https://www.instagram.com/reel/DZsPx4uxofU/")</f>
        <v>https://www.instagram.com/reel/DZsPx4uxofU/</v>
      </c>
      <c r="E288" s="55" t="str">
        <f>IFERROR(__xludf.DUMMYFUNCTION("""COMPUTED_VALUE"""),"@na")</f>
        <v>@na</v>
      </c>
      <c r="F288" s="55" t="str">
        <f>IFERROR(__xludf.DUMMYFUNCTION("""COMPUTED_VALUE"""),"NA")</f>
        <v>NA</v>
      </c>
      <c r="G288" s="55" t="str">
        <f>IFERROR(__xludf.DUMMYFUNCTION("""COMPUTED_VALUE"""),"Over 40/ High Performer")</f>
        <v>Over 40/ High Performer</v>
      </c>
      <c r="H288" s="55">
        <f>IFERROR(__xludf.DUMMYFUNCTION("""COMPUTED_VALUE"""),59.0)</f>
        <v>59</v>
      </c>
      <c r="I288" s="55">
        <f>IFERROR(__xludf.DUMMYFUNCTION("""COMPUTED_VALUE"""),22.3)</f>
        <v>22.3</v>
      </c>
      <c r="J288" s="55" t="str">
        <f>IFERROR(__xludf.DUMMYFUNCTION("""COMPUTED_VALUE"""),"Yes – Recommend")</f>
        <v>Yes – Recommend</v>
      </c>
      <c r="K288" s="55" t="str">
        <f>IFERROR(__xludf.DUMMYFUNCTION("""COMPUTED_VALUE"""),"Review before running ads")</f>
        <v>Review before running ads</v>
      </c>
      <c r="L288" s="55" t="str">
        <f>IFERROR(__xludf.DUMMYFUNCTION("""COMPUTED_VALUE"""),"Score 23.1 ≥ 20 threshold")</f>
        <v>Score 23.1 ≥ 20 threshold</v>
      </c>
      <c r="M288" s="59" t="str">
        <f>IFERROR(__xludf.DUMMYFUNCTION("""COMPUTED_VALUE"""),"No Ad Data")</f>
        <v>No Ad Data</v>
      </c>
      <c r="N288" s="55"/>
      <c r="O288" s="55"/>
      <c r="P288" s="59">
        <f>IFERROR(__xludf.DUMMYFUNCTION("""COMPUTED_VALUE"""),128.0)</f>
        <v>128</v>
      </c>
      <c r="Q288" s="59">
        <f>IFERROR(__xludf.DUMMYFUNCTION("""COMPUTED_VALUE"""),4.0)</f>
        <v>4</v>
      </c>
      <c r="R288" s="59">
        <f>IFERROR(__xludf.DUMMYFUNCTION("""COMPUTED_VALUE"""),3.0)</f>
        <v>3</v>
      </c>
      <c r="S288" s="55"/>
      <c r="T288" s="68">
        <f>IFERROR(__xludf.DUMMYFUNCTION("""COMPUTED_VALUE"""),0.0)</f>
        <v>0</v>
      </c>
      <c r="U288" s="55"/>
      <c r="V288" s="62">
        <f>IFERROR(__xludf.DUMMYFUNCTION("""COMPUTED_VALUE"""),0.054)</f>
        <v>0.054</v>
      </c>
      <c r="W288" s="63">
        <f>IFERROR(__xludf.DUMMYFUNCTION("""COMPUTED_VALUE"""),117.58)</f>
        <v>117.58</v>
      </c>
      <c r="X288" s="59">
        <f>IFERROR(__xludf.DUMMYFUNCTION("""COMPUTED_VALUE"""),128.0)</f>
        <v>128</v>
      </c>
      <c r="Y288" s="59">
        <f>IFERROR(__xludf.DUMMYFUNCTION("""COMPUTED_VALUE"""),4.0)</f>
        <v>4</v>
      </c>
      <c r="Z288" s="59">
        <f>IFERROR(__xludf.DUMMYFUNCTION("""COMPUTED_VALUE"""),3.0)</f>
        <v>3</v>
      </c>
      <c r="AA288" s="59">
        <f>IFERROR(__xludf.DUMMYFUNCTION("""COMPUTED_VALUE"""),0.0)</f>
        <v>0</v>
      </c>
      <c r="AB288" s="64">
        <f>IFERROR(__xludf.DUMMYFUNCTION("""COMPUTED_VALUE"""),0.0)</f>
        <v>0</v>
      </c>
      <c r="AC288" s="62">
        <f>IFERROR(__xludf.DUMMYFUNCTION("""COMPUTED_VALUE"""),0.054)</f>
        <v>0.054</v>
      </c>
      <c r="AD288" s="62">
        <f>IFERROR(__xludf.DUMMYFUNCTION("""COMPUTED_VALUE"""),0.0)</f>
        <v>0</v>
      </c>
      <c r="AE288" s="62">
        <f>IFERROR(__xludf.DUMMYFUNCTION("""COMPUTED_VALUE"""),0.0)</f>
        <v>0</v>
      </c>
      <c r="AF288" s="55"/>
      <c r="AG288" s="55"/>
      <c r="AH288" s="55"/>
      <c r="AI288" s="55"/>
      <c r="AJ288" s="55"/>
      <c r="AK288" s="55"/>
      <c r="AL288" s="55"/>
      <c r="AM288" s="55" t="str">
        <f>IFERROR(__xludf.DUMMYFUNCTION("""COMPUTED_VALUE"""),"Q9jTBBV7-LqBNCnNmmBio8O6zMR1TNXuykhnswomZeWCBSx5EfRTGraDnPWet0uqgFE")</f>
        <v>Q9jTBBV7-LqBNCnNmmBio8O6zMR1TNXuykhnswomZeWCBSx5EfRTGraDnPWet0uqgFE</v>
      </c>
      <c r="AN288" s="55"/>
      <c r="AO288" s="55" t="str">
        <f>IFERROR(__xludf.DUMMYFUNCTION("""COMPUTED_VALUE"""),"NA")</f>
        <v>NA</v>
      </c>
      <c r="AP288" s="55" t="str">
        <f>IFERROR(__xludf.DUMMYFUNCTION("""COMPUTED_VALUE"""),"NA")</f>
        <v>NA</v>
      </c>
      <c r="AQ288" s="55" t="str">
        <f>IFERROR(__xludf.DUMMYFUNCTION("""COMPUTED_VALUE"""),"NA")</f>
        <v>NA</v>
      </c>
      <c r="AR288" s="55" t="str">
        <f>IFERROR(__xludf.DUMMYFUNCTION("""COMPUTED_VALUE"""),"I realized that my supplement drawer is starting to look a little ridiculous.")</f>
        <v>I realized that my supplement drawer is starting to look a little ridiculous.</v>
      </c>
      <c r="AS288" s="55" t="str">
        <f>IFERROR(__xludf.DUMMYFUNCTION("""COMPUTED_VALUE"""),"General / Lifestyle")</f>
        <v>General / Lifestyle</v>
      </c>
      <c r="AT288" s="55" t="str">
        <f>IFERROR(__xludf.DUMMYFUNCTION("""COMPUTED_VALUE"""),"• It has KSM-66, ashwagandha, plus turmeric, L-theanine, lion's mane, and shaga all in the coffee I'm already drinking every morning.
• Then I found Vadam Ashwagandha Coffee at Target and it all started to make sense.
• VADAM ashwagandha coffee at Target "&amp;"and it all started to make sense.
• I didn't need another supplement to remember.")</f>
        <v>• It has KSM-66, ashwagandha, plus turmeric, L-theanine, lion's mane, and shaga all in the coffee I'm already drinking every morning.
• Then I found Vadam Ashwagandha Coffee at Target and it all started to make sense.
• VADAM ashwagandha coffee at Target and it all started to make sense.
• I didn't need another supplement to remember.</v>
      </c>
      <c r="AU288" s="55" t="str">
        <f>IFERROR(__xludf.DUMMYFUNCTION("""COMPUTED_VALUE"""),"If you're trying to simplify your wellness routine, then you can find Vedam Ashwagandha coffee at all targets nationwide, or even better yet, just go to target.com.")</f>
        <v>If you're trying to simplify your wellness routine, then you can find Vedam Ashwagandha coffee at all targets nationwide, or even better yet, just go to target.com.</v>
      </c>
      <c r="AV288" s="55" t="str">
        <f>IFERROR(__xludf.DUMMYFUNCTION("""COMPUTED_VALUE"""),"I realized that my supplement drawer is starting to look a little ridiculous. I had magnesium, vitamins, even gummies. All these different things I was trying to remember to take every single day. It was just becoming way too much to keep up with. Then I "&amp;"found Vadam Ashwagandha Coffee at Target and it all started to make sense. VADAM ashwagandha coffee at Target and it all started to make sense. It has KSM-66, ashwagandha, plus turmeric, L-theanine, lion's mane, and shaga all in the coffee I'm already dri"&amp;"nking every morning. I didn't need another supplement to remember. I just needed my coffee to work a little harder for me. And the best part is it actually tastes like real coffee. If you're trying to simplify your wellness routine, then you can find Veda"&amp;"m Ashwagandha coffee at all targets nationwide, or even better yet, just go to target.com.")</f>
        <v>I realized that my supplement drawer is starting to look a little ridiculous. I had magnesium, vitamins, even gummies. All these different things I was trying to remember to take every single day. It was just becoming way too much to keep up with. Then I found Vadam Ashwagandha Coffee at Target and it all started to make sense. VADAM ashwagandha coffee at Target and it all started to make sense. It has KSM-66, ashwagandha, plus turmeric, L-theanine, lion's mane, and shaga all in the coffee I'm already drinking every morning. I didn't need another supplement to remember. I just needed my coffee to work a little harder for me. And the best part is it actually tastes like real coffee. If you're trying to simplify your wellness routine, then you can find Vedam Ashwagandha coffee at all targets nationwide, or even better yet, just go to target.com.</v>
      </c>
      <c r="AW288" s="35"/>
      <c r="AX288" s="35"/>
      <c r="AY288" s="35"/>
      <c r="AZ288" s="35"/>
      <c r="BA288" s="35"/>
      <c r="BB288" s="35"/>
      <c r="BC288" s="35"/>
      <c r="BD288" s="35"/>
      <c r="BE288" s="35"/>
      <c r="BF288" s="35"/>
      <c r="BG288" s="35"/>
    </row>
    <row r="289" ht="15.75" customHeight="1">
      <c r="A289" s="55" t="str">
        <f>IFERROR(__xludf.DUMMYFUNCTION("""COMPUTED_VALUE"""),"Tiktok")</f>
        <v>Tiktok</v>
      </c>
      <c r="B289" s="56">
        <f>IFERROR(__xludf.DUMMYFUNCTION("""COMPUTED_VALUE"""),46190.0)</f>
        <v>46190</v>
      </c>
      <c r="C289" s="55" t="str">
        <f>IFERROR(__xludf.DUMMYFUNCTION("""COMPUTED_VALUE"""),"June")</f>
        <v>June</v>
      </c>
      <c r="D289" s="58" t="str">
        <f>IFERROR(__xludf.DUMMYFUNCTION("""COMPUTED_VALUE"""),"https://www.tiktok.com/@cat_herder86/video/7652356323694120205")</f>
        <v>https://www.tiktok.com/@cat_herder86/video/7652356323694120205</v>
      </c>
      <c r="E289" s="55" t="str">
        <f>IFERROR(__xludf.DUMMYFUNCTION("""COMPUTED_VALUE"""),"@cat_herder86")</f>
        <v>@cat_herder86</v>
      </c>
      <c r="F289" s="55" t="str">
        <f>IFERROR(__xludf.DUMMYFUNCTION("""COMPUTED_VALUE"""),"NA")</f>
        <v>NA</v>
      </c>
      <c r="G289" s="55" t="str">
        <f>IFERROR(__xludf.DUMMYFUNCTION("""COMPUTED_VALUE"""),"Gummies vs Coffee")</f>
        <v>Gummies vs Coffee</v>
      </c>
      <c r="H289" s="55">
        <f>IFERROR(__xludf.DUMMYFUNCTION("""COMPUTED_VALUE"""),80.0)</f>
        <v>80</v>
      </c>
      <c r="I289" s="55">
        <f>IFERROR(__xludf.DUMMYFUNCTION("""COMPUTED_VALUE"""),33.5)</f>
        <v>33.5</v>
      </c>
      <c r="J289" s="55" t="str">
        <f>IFERROR(__xludf.DUMMYFUNCTION("""COMPUTED_VALUE"""),"Yes – Recommend")</f>
        <v>Yes – Recommend</v>
      </c>
      <c r="K289" s="55" t="str">
        <f>IFERROR(__xludf.DUMMYFUNCTION("""COMPUTED_VALUE"""),"Review before running ads")</f>
        <v>Review before running ads</v>
      </c>
      <c r="L289" s="55" t="str">
        <f>IFERROR(__xludf.DUMMYFUNCTION("""COMPUTED_VALUE"""),"Score 32.5 ≥ 30")</f>
        <v>Score 32.5 ≥ 30</v>
      </c>
      <c r="M289" s="59" t="str">
        <f>IFERROR(__xludf.DUMMYFUNCTION("""COMPUTED_VALUE"""),"No Ad Data")</f>
        <v>No Ad Data</v>
      </c>
      <c r="N289" s="55"/>
      <c r="O289" s="55"/>
      <c r="P289" s="59">
        <f>IFERROR(__xludf.DUMMYFUNCTION("""COMPUTED_VALUE"""),126.0)</f>
        <v>126</v>
      </c>
      <c r="Q289" s="59">
        <f>IFERROR(__xludf.DUMMYFUNCTION("""COMPUTED_VALUE"""),6.0)</f>
        <v>6</v>
      </c>
      <c r="R289" s="59">
        <f>IFERROR(__xludf.DUMMYFUNCTION("""COMPUTED_VALUE"""),0.0)</f>
        <v>0</v>
      </c>
      <c r="S289" s="62">
        <f>IFERROR(__xludf.DUMMYFUNCTION("""COMPUTED_VALUE"""),52.9)</f>
        <v>52.9</v>
      </c>
      <c r="T289" s="62">
        <f>IFERROR(__xludf.DUMMYFUNCTION("""COMPUTED_VALUE"""),24.2)</f>
        <v>24.2</v>
      </c>
      <c r="U289" s="64">
        <f>IFERROR(__xludf.DUMMYFUNCTION("""COMPUTED_VALUE"""),6.0)</f>
        <v>6</v>
      </c>
      <c r="V289" s="62">
        <f>IFERROR(__xludf.DUMMYFUNCTION("""COMPUTED_VALUE"""),4.7)</f>
        <v>4.7</v>
      </c>
      <c r="W289" s="63">
        <f>IFERROR(__xludf.DUMMYFUNCTION("""COMPUTED_VALUE"""),72.99)</f>
        <v>72.99</v>
      </c>
      <c r="X289" s="59">
        <f>IFERROR(__xludf.DUMMYFUNCTION("""COMPUTED_VALUE"""),126.0)</f>
        <v>126</v>
      </c>
      <c r="Y289" s="59">
        <f>IFERROR(__xludf.DUMMYFUNCTION("""COMPUTED_VALUE"""),6.0)</f>
        <v>6</v>
      </c>
      <c r="Z289" s="59">
        <f>IFERROR(__xludf.DUMMYFUNCTION("""COMPUTED_VALUE"""),0.0)</f>
        <v>0</v>
      </c>
      <c r="AA289" s="59">
        <f>IFERROR(__xludf.DUMMYFUNCTION("""COMPUTED_VALUE"""),0.0)</f>
        <v>0</v>
      </c>
      <c r="AB289" s="64">
        <f>IFERROR(__xludf.DUMMYFUNCTION("""COMPUTED_VALUE"""),6.0)</f>
        <v>6</v>
      </c>
      <c r="AC289" s="62">
        <f>IFERROR(__xludf.DUMMYFUNCTION("""COMPUTED_VALUE"""),4.7)</f>
        <v>4.7</v>
      </c>
      <c r="AD289" s="62">
        <f>IFERROR(__xludf.DUMMYFUNCTION("""COMPUTED_VALUE"""),52.9)</f>
        <v>52.9</v>
      </c>
      <c r="AE289" s="62">
        <f>IFERROR(__xludf.DUMMYFUNCTION("""COMPUTED_VALUE"""),24.2)</f>
        <v>24.2</v>
      </c>
      <c r="AF289" s="55"/>
      <c r="AG289" s="55"/>
      <c r="AH289" s="55"/>
      <c r="AI289" s="55"/>
      <c r="AJ289" s="55"/>
      <c r="AK289" s="55"/>
      <c r="AL289" s="55"/>
      <c r="AM289" s="55" t="str">
        <f>IFERROR(__xludf.DUMMYFUNCTION("""COMPUTED_VALUE"""),"#BJmizz2V0qaxmODgQWhplUSP3CI/Rh27vW/qMkKVIl3KdQwccA8MMCvXIo/r8os=")</f>
        <v>#BJmizz2V0qaxmODgQWhplUSP3CI/Rh27vW/qMkKVIl3KdQwccA8MMCvXIo/r8os=</v>
      </c>
      <c r="AN289" s="55"/>
      <c r="AO289" s="55" t="str">
        <f>IFERROR(__xludf.DUMMYFUNCTION("""COMPUTED_VALUE"""),"NA")</f>
        <v>NA</v>
      </c>
      <c r="AP289" s="55" t="str">
        <f>IFERROR(__xludf.DUMMYFUNCTION("""COMPUTED_VALUE"""),"Dont run ads - catherder")</f>
        <v>Dont run ads - catherder</v>
      </c>
      <c r="AQ289" s="55" t="str">
        <f>IFERROR(__xludf.DUMMYFUNCTION("""COMPUTED_VALUE"""),"Just over here trying to convince myself I'm a morning person. @VAHDAM USA coffee is doing most of the heavy lifting. Get yours at @target")</f>
        <v>Just over here trying to convince myself I'm a morning person. @VAHDAM USA coffee is doing most of the heavy lifting. Get yours at @target</v>
      </c>
      <c r="AR289" s="55" t="str">
        <f>IFERROR(__xludf.DUMMYFUNCTION("""COMPUTED_VALUE"""),"Every morning I wake up, I feel like every cell in my body is in a constant vibration.")</f>
        <v>Every morning I wake up, I feel like every cell in my body is in a constant vibration.</v>
      </c>
      <c r="AS289" s="55" t="str">
        <f>IFERROR(__xludf.DUMMYFUNCTION("""COMPUTED_VALUE"""),"General / Lifestyle")</f>
        <v>General / Lifestyle</v>
      </c>
      <c r="AT289" s="55" t="str">
        <f>IFERROR(__xludf.DUMMYFUNCTION("""COMPUTED_VALUE"""),"• It is a 100% Arabica premium instant coffee blend.
• That's when I found Vahdam's Ashwagandha Coffee.
• It has daily stress support.
• It provides a calm energy and clarity.")</f>
        <v>• It is a 100% Arabica premium instant coffee blend.
• That's when I found Vahdam's Ashwagandha Coffee.
• It has daily stress support.
• It provides a calm energy and clarity.</v>
      </c>
      <c r="AU289" s="55" t="str">
        <f>IFERROR(__xludf.DUMMYFUNCTION("""COMPUTED_VALUE"""),"Do what I did and get yours exclusively through target.")</f>
        <v>Do what I did and get yours exclusively through target.</v>
      </c>
      <c r="AV289" s="55" t="str">
        <f>IFERROR(__xludf.DUMMYFUNCTION("""COMPUTED_VALUE"""),"Every morning I wake up, I feel like every cell in my body is in a constant vibration. And I thought coffee would take care of that. Bag after bag, brand after brand. I could not find the right ground to finally calm down everything that was going on insi"&amp;"de. That's when I found Vahdam's Ashwagandha Coffee. It has daily stress support. It provides a calm energy and clarity. And it also balances your mood and sharpens your focus. It is a 100% Arabica premium instant coffee blend. It has 300 mg of ashwagandh"&amp;"a per scoop. Turmeric to support inflammatory response. 200 mg of thiamine for calm relaxation and a better sleep quality. Lastly, it has a two mushroom blend for better focus and cognition. Do what I did and get yours exclusively through target.")</f>
        <v>Every morning I wake up, I feel like every cell in my body is in a constant vibration. And I thought coffee would take care of that. Bag after bag, brand after brand. I could not find the right ground to finally calm down everything that was going on inside. That's when I found Vahdam's Ashwagandha Coffee. It has daily stress support. It provides a calm energy and clarity. And it also balances your mood and sharpens your focus. It is a 100% Arabica premium instant coffee blend. It has 300 mg of ashwagandha per scoop. Turmeric to support inflammatory response. 200 mg of thiamine for calm relaxation and a better sleep quality. Lastly, it has a two mushroom blend for better focus and cognition. Do what I did and get yours exclusively through target.</v>
      </c>
      <c r="AW289" s="35"/>
      <c r="AX289" s="35"/>
      <c r="AY289" s="35"/>
      <c r="AZ289" s="35"/>
      <c r="BA289" s="35"/>
      <c r="BB289" s="35"/>
      <c r="BC289" s="35"/>
      <c r="BD289" s="35"/>
      <c r="BE289" s="35"/>
      <c r="BF289" s="35"/>
      <c r="BG289" s="35"/>
    </row>
    <row r="290" ht="15.75" customHeight="1">
      <c r="A290" s="55" t="str">
        <f>IFERROR(__xludf.DUMMYFUNCTION("""COMPUTED_VALUE"""),"Instagram")</f>
        <v>Instagram</v>
      </c>
      <c r="B290" s="56">
        <f>IFERROR(__xludf.DUMMYFUNCTION("""COMPUTED_VALUE"""),46203.0)</f>
        <v>46203</v>
      </c>
      <c r="C290" s="55" t="str">
        <f>IFERROR(__xludf.DUMMYFUNCTION("""COMPUTED_VALUE"""),"June")</f>
        <v>June</v>
      </c>
      <c r="D290" s="58" t="str">
        <f>IFERROR(__xludf.DUMMYFUNCTION("""COMPUTED_VALUE"""),"https://www.instagram.com/reel/DaLLjZEuH1V/")</f>
        <v>https://www.instagram.com/reel/DaLLjZEuH1V/</v>
      </c>
      <c r="E290" s="55" t="str">
        <f>IFERROR(__xludf.DUMMYFUNCTION("""COMPUTED_VALUE"""),"theluisacreatives_ugc")</f>
        <v>theluisacreatives_ugc</v>
      </c>
      <c r="F290" s="55"/>
      <c r="G290" s="55" t="str">
        <f>IFERROR(__xludf.DUMMYFUNCTION("""COMPUTED_VALUE"""),"Over 40/ High Performer")</f>
        <v>Over 40/ High Performer</v>
      </c>
      <c r="H290" s="55"/>
      <c r="I290" s="55">
        <f>IFERROR(__xludf.DUMMYFUNCTION("""COMPUTED_VALUE"""),28.7)</f>
        <v>28.7</v>
      </c>
      <c r="J290" s="55" t="str">
        <f>IFERROR(__xludf.DUMMYFUNCTION("""COMPUTED_VALUE"""),"Yes – Recommend")</f>
        <v>Yes – Recommend</v>
      </c>
      <c r="K290" s="55" t="str">
        <f>IFERROR(__xludf.DUMMYFUNCTION("""COMPUTED_VALUE"""),"Review before running ads")</f>
        <v>Review before running ads</v>
      </c>
      <c r="L290" s="55" t="str">
        <f>IFERROR(__xludf.DUMMYFUNCTION("""COMPUTED_VALUE"""),"Score 30.0 ≥ 20 threshold")</f>
        <v>Score 30.0 ≥ 20 threshold</v>
      </c>
      <c r="M290" s="59" t="str">
        <f>IFERROR(__xludf.DUMMYFUNCTION("""COMPUTED_VALUE"""),"No Ad Data")</f>
        <v>No Ad Data</v>
      </c>
      <c r="N290" s="55"/>
      <c r="O290" s="55"/>
      <c r="P290" s="59">
        <f>IFERROR(__xludf.DUMMYFUNCTION("""COMPUTED_VALUE"""),124.0)</f>
        <v>124</v>
      </c>
      <c r="Q290" s="59">
        <f>IFERROR(__xludf.DUMMYFUNCTION("""COMPUTED_VALUE"""),13.0)</f>
        <v>13</v>
      </c>
      <c r="R290" s="59">
        <f>IFERROR(__xludf.DUMMYFUNCTION("""COMPUTED_VALUE"""),8.0)</f>
        <v>8</v>
      </c>
      <c r="S290" s="55"/>
      <c r="T290" s="55"/>
      <c r="U290" s="55"/>
      <c r="V290" s="55"/>
      <c r="W290" s="63">
        <f>IFERROR(__xludf.DUMMYFUNCTION("""COMPUTED_VALUE"""),117.58)</f>
        <v>117.58</v>
      </c>
      <c r="X290" s="59">
        <f>IFERROR(__xludf.DUMMYFUNCTION("""COMPUTED_VALUE"""),124.0)</f>
        <v>124</v>
      </c>
      <c r="Y290" s="59">
        <f>IFERROR(__xludf.DUMMYFUNCTION("""COMPUTED_VALUE"""),13.0)</f>
        <v>13</v>
      </c>
      <c r="Z290" s="59">
        <f>IFERROR(__xludf.DUMMYFUNCTION("""COMPUTED_VALUE"""),8.0)</f>
        <v>8</v>
      </c>
      <c r="AA290" s="55"/>
      <c r="AB290" s="55"/>
      <c r="AC290" s="55"/>
      <c r="AD290" s="55"/>
      <c r="AE290" s="55"/>
      <c r="AF290" s="55"/>
      <c r="AG290" s="55"/>
      <c r="AH290" s="55"/>
      <c r="AI290" s="55"/>
      <c r="AJ290" s="55"/>
      <c r="AK290" s="55"/>
      <c r="AL290" s="55"/>
      <c r="AM290" s="55" t="str">
        <f>IFERROR(__xludf.DUMMYFUNCTION("""COMPUTED_VALUE"""),"Q9jTBBUK4OC6ig0RsSe7HfSZZAjgYVl5hdcTEJJGg_kC3VvK5O7NKtkLtwee6MANKqs")</f>
        <v>Q9jTBBUK4OC6ig0RsSe7HfSZZAjgYVl5hdcTEJJGg_kC3VvK5O7NKtkLtwee6MANKqs</v>
      </c>
      <c r="AN290" s="55"/>
      <c r="AO290" s="55"/>
      <c r="AP290" s="55"/>
      <c r="AQ290" s="55" t="str">
        <f>IFERROR(__xludf.DUMMYFUNCTION("""COMPUTED_VALUE"""),"Another supplement to add to your regimen? Nope, donâ€™t have time for that! But just exchanging regular coffee for Ashwaaghanda coffee? Now that makes sense! @vahdamusa coffee gives me that steady,...")</f>
        <v>Another supplement to add to your regimen? Nope, donâ€™t have time for that! But just exchanging regular coffee for Ashwaaghanda coffee? Now that makes sense! @vahdamusa coffee gives me that steady,...</v>
      </c>
      <c r="AR290" s="55" t="str">
        <f>IFERROR(__xludf.DUMMYFUNCTION("""COMPUTED_VALUE"""),"I almost put this coffee back on the shelf at Target until I saw the ingredients.")</f>
        <v>I almost put this coffee back on the shelf at Target until I saw the ingredients.</v>
      </c>
      <c r="AS290" s="55" t="str">
        <f>IFERROR(__xludf.DUMMYFUNCTION("""COMPUTED_VALUE"""),"Discovery/In-Store")</f>
        <v>Discovery/In-Store</v>
      </c>
      <c r="AT290" s="55" t="str">
        <f>IFERROR(__xludf.DUMMYFUNCTION("""COMPUTED_VALUE"""),"• Product introduced immediately in the opening
• Benefits and product features discussed
• CTA: ""So if you're looking for an easy way to upgrade your morning routine without add...""")</f>
        <v>• Product introduced immediately in the opening
• Benefits and product features discussed
• CTA: "So if you're looking for an easy way to upgrade your morning routine without add..."</v>
      </c>
      <c r="AU290" s="55" t="str">
        <f>IFERROR(__xludf.DUMMYFUNCTION("""COMPUTED_VALUE"""),"So if you're looking for an easy way to upgrade your morning routine without adding another supplement, look for this Vodam coffee at your local Target or at Target.com.")</f>
        <v>So if you're looking for an easy way to upgrade your morning routine without adding another supplement, look for this Vodam coffee at your local Target or at Target.com.</v>
      </c>
      <c r="AV290" s="55" t="str">
        <f>IFERROR(__xludf.DUMMYFUNCTION("""COMPUTED_VALUE"""),"I almost put this coffee back on the shelf at Target until I saw the ingredients. At this stage of my life, I'm just looking for simple ways to support my body. And if I can get all those ingredients in something that I'm already drinking every single day"&amp;", that's definitely a win for me. So when I found Vandam ashwagandha coffee at Target, I figured it's worth a try. At first, you can totally taste the turmeric. So the flavor is not exactly like my regular coffee, but once you look at the ingredients, it "&amp;"totally makes sense. And honestly, the trade-off is worth it. So if you're looking for an easy way to upgrade your morning routine without adding another supplement, look for this Vodam coffee at your local Target or at Target.com.")</f>
        <v>I almost put this coffee back on the shelf at Target until I saw the ingredients. At this stage of my life, I'm just looking for simple ways to support my body. And if I can get all those ingredients in something that I'm already drinking every single day, that's definitely a win for me. So when I found Vandam ashwagandha coffee at Target, I figured it's worth a try. At first, you can totally taste the turmeric. So the flavor is not exactly like my regular coffee, but once you look at the ingredients, it totally makes sense. And honestly, the trade-off is worth it. So if you're looking for an easy way to upgrade your morning routine without adding another supplement, look for this Vodam coffee at your local Target or at Target.com.</v>
      </c>
      <c r="AW290" s="35"/>
      <c r="AX290" s="35"/>
      <c r="AY290" s="35"/>
      <c r="AZ290" s="35"/>
      <c r="BA290" s="35"/>
      <c r="BB290" s="35"/>
      <c r="BC290" s="35"/>
      <c r="BD290" s="35"/>
      <c r="BE290" s="35"/>
      <c r="BF290" s="35"/>
      <c r="BG290" s="35"/>
    </row>
    <row r="291" ht="15.75" customHeight="1">
      <c r="A291" s="55" t="str">
        <f>IFERROR(__xludf.DUMMYFUNCTION("""COMPUTED_VALUE"""),"Instagram")</f>
        <v>Instagram</v>
      </c>
      <c r="B291" s="56">
        <f>IFERROR(__xludf.DUMMYFUNCTION("""COMPUTED_VALUE"""),46184.0)</f>
        <v>46184</v>
      </c>
      <c r="C291" s="55" t="str">
        <f>IFERROR(__xludf.DUMMYFUNCTION("""COMPUTED_VALUE"""),"June")</f>
        <v>June</v>
      </c>
      <c r="D291" s="58" t="str">
        <f>IFERROR(__xludf.DUMMYFUNCTION("""COMPUTED_VALUE"""),"https://www.instagram.com/reel/DZc_H-PuU9N/")</f>
        <v>https://www.instagram.com/reel/DZc_H-PuU9N/</v>
      </c>
      <c r="E291" s="55" t="str">
        <f>IFERROR(__xludf.DUMMYFUNCTION("""COMPUTED_VALUE"""),"@na")</f>
        <v>@na</v>
      </c>
      <c r="F291" s="55" t="str">
        <f>IFERROR(__xludf.DUMMYFUNCTION("""COMPUTED_VALUE"""),"NA")</f>
        <v>NA</v>
      </c>
      <c r="G291" s="55" t="str">
        <f>IFERROR(__xludf.DUMMYFUNCTION("""COMPUTED_VALUE"""),"Target In-Store Discovery")</f>
        <v>Target In-Store Discovery</v>
      </c>
      <c r="H291" s="55">
        <f>IFERROR(__xludf.DUMMYFUNCTION("""COMPUTED_VALUE"""),58.0)</f>
        <v>58</v>
      </c>
      <c r="I291" s="55">
        <f>IFERROR(__xludf.DUMMYFUNCTION("""COMPUTED_VALUE"""),20.2)</f>
        <v>20.2</v>
      </c>
      <c r="J291" s="55" t="str">
        <f>IFERROR(__xludf.DUMMYFUNCTION("""COMPUTED_VALUE"""),"Yes – Recommend")</f>
        <v>Yes – Recommend</v>
      </c>
      <c r="K291" s="55" t="str">
        <f>IFERROR(__xludf.DUMMYFUNCTION("""COMPUTED_VALUE"""),"Review before running ads")</f>
        <v>Review before running ads</v>
      </c>
      <c r="L291" s="55" t="str">
        <f>IFERROR(__xludf.DUMMYFUNCTION("""COMPUTED_VALUE"""),"Score 21.2 ≥ 20 threshold")</f>
        <v>Score 21.2 ≥ 20 threshold</v>
      </c>
      <c r="M291" s="59" t="str">
        <f>IFERROR(__xludf.DUMMYFUNCTION("""COMPUTED_VALUE"""),"No Ad Data")</f>
        <v>No Ad Data</v>
      </c>
      <c r="N291" s="55"/>
      <c r="O291" s="55"/>
      <c r="P291" s="59">
        <f>IFERROR(__xludf.DUMMYFUNCTION("""COMPUTED_VALUE"""),119.0)</f>
        <v>119</v>
      </c>
      <c r="Q291" s="59">
        <f>IFERROR(__xludf.DUMMYFUNCTION("""COMPUTED_VALUE"""),6.0)</f>
        <v>6</v>
      </c>
      <c r="R291" s="59">
        <f>IFERROR(__xludf.DUMMYFUNCTION("""COMPUTED_VALUE"""),0.0)</f>
        <v>0</v>
      </c>
      <c r="S291" s="55"/>
      <c r="T291" s="68">
        <f>IFERROR(__xludf.DUMMYFUNCTION("""COMPUTED_VALUE"""),0.0)</f>
        <v>0</v>
      </c>
      <c r="U291" s="55"/>
      <c r="V291" s="62">
        <f>IFERROR(__xludf.DUMMYFUNCTION("""COMPUTED_VALUE"""),0.05042016807)</f>
        <v>0.05042016807</v>
      </c>
      <c r="W291" s="63">
        <f>IFERROR(__xludf.DUMMYFUNCTION("""COMPUTED_VALUE"""),67.58)</f>
        <v>67.58</v>
      </c>
      <c r="X291" s="59">
        <f>IFERROR(__xludf.DUMMYFUNCTION("""COMPUTED_VALUE"""),119.0)</f>
        <v>119</v>
      </c>
      <c r="Y291" s="59">
        <f>IFERROR(__xludf.DUMMYFUNCTION("""COMPUTED_VALUE"""),6.0)</f>
        <v>6</v>
      </c>
      <c r="Z291" s="59">
        <f>IFERROR(__xludf.DUMMYFUNCTION("""COMPUTED_VALUE"""),0.0)</f>
        <v>0</v>
      </c>
      <c r="AA291" s="59">
        <f>IFERROR(__xludf.DUMMYFUNCTION("""COMPUTED_VALUE"""),0.0)</f>
        <v>0</v>
      </c>
      <c r="AB291" s="64">
        <f>IFERROR(__xludf.DUMMYFUNCTION("""COMPUTED_VALUE"""),0.0)</f>
        <v>0</v>
      </c>
      <c r="AC291" s="62">
        <f>IFERROR(__xludf.DUMMYFUNCTION("""COMPUTED_VALUE"""),0.05042016807)</f>
        <v>0.05042016807</v>
      </c>
      <c r="AD291" s="62">
        <f>IFERROR(__xludf.DUMMYFUNCTION("""COMPUTED_VALUE"""),0.0)</f>
        <v>0</v>
      </c>
      <c r="AE291" s="62">
        <f>IFERROR(__xludf.DUMMYFUNCTION("""COMPUTED_VALUE"""),0.0)</f>
        <v>0</v>
      </c>
      <c r="AF291" s="55"/>
      <c r="AG291" s="55"/>
      <c r="AH291" s="55"/>
      <c r="AI291" s="55"/>
      <c r="AJ291" s="55"/>
      <c r="AK291" s="55"/>
      <c r="AL291" s="55"/>
      <c r="AM291" s="55" t="str">
        <f>IFERROR(__xludf.DUMMYFUNCTION("""COMPUTED_VALUE"""),"Q9jTBBVKLt5YAsfYKQt675UDcDlH-bmHyYSWuSqz36xkFbAhxe5VjRJgOCC-84rkLQs")</f>
        <v>Q9jTBBVKLt5YAsfYKQt675UDcDlH-bmHyYSWuSqz36xkFbAhxe5VjRJgOCC-84rkLQs</v>
      </c>
      <c r="AN291" s="55"/>
      <c r="AO291" s="55" t="str">
        <f>IFERROR(__xludf.DUMMYFUNCTION("""COMPUTED_VALUE"""),"NA")</f>
        <v>NA</v>
      </c>
      <c r="AP291" s="55" t="str">
        <f>IFERROR(__xludf.DUMMYFUNCTION("""COMPUTED_VALUE"""),"NA")</f>
        <v>NA</v>
      </c>
      <c r="AQ291" s="55" t="str">
        <f>IFERROR(__xludf.DUMMYFUNCTION("""COMPUTED_VALUE"""),"NA")</f>
        <v>NA</v>
      </c>
      <c r="AR291" s="55" t="str">
        <f>IFERROR(__xludf.DUMMYFUNCTION("""COMPUTED_VALUE"""),"Mushroom coffee had its moment.")</f>
        <v>Mushroom coffee had its moment.</v>
      </c>
      <c r="AS291" s="55" t="str">
        <f>IFERROR(__xludf.DUMMYFUNCTION("""COMPUTED_VALUE"""),"General / Lifestyle")</f>
        <v>General / Lifestyle</v>
      </c>
      <c r="AT291" s="55" t="str">
        <f>IFERROR(__xludf.DUMMYFUNCTION("""COMPUTED_VALUE"""),"• It is a 100% Arabica coffee with KSM 66 ashwagandha, the only coffee with KSM 66 ashwagandha, which is shown in clinical trials to reduce cortisol by 28%.
• This is ashwagandha coffee and this is actually the only coffee on target shelves that addresses"&amp;" cortisol.
• Plus it has 200 milligrams L-theanine, 100 milligrams curcuminoids from turmeric, lion's mane, chaga.
• Sure, mushrooms support focus, but they don't touch cortisol.")</f>
        <v>• It is a 100% Arabica coffee with KSM 66 ashwagandha, the only coffee with KSM 66 ashwagandha, which is shown in clinical trials to reduce cortisol by 28%.
• This is ashwagandha coffee and this is actually the only coffee on target shelves that addresses cortisol.
• Plus it has 200 milligrams L-theanine, 100 milligrams curcuminoids from turmeric, lion's mane, chaga.
• Sure, mushrooms support focus, but they don't touch cortisol.</v>
      </c>
      <c r="AU291" s="55" t="str">
        <f>IFERROR(__xludf.DUMMYFUNCTION("""COMPUTED_VALUE"""),"This was the number one selling functional coffee in the UK and now it has launched in Target stores, Nationwide and online.")</f>
        <v>This was the number one selling functional coffee in the UK and now it has launched in Target stores, Nationwide and online.</v>
      </c>
      <c r="AV291" s="55" t="str">
        <f>IFERROR(__xludf.DUMMYFUNCTION("""COMPUTED_VALUE"""),"Mushroom coffee had its moment. This is what's replacing it. It did something important. It proved people want more from their morning cup. Sure, mushrooms support focus, but they don't touch cortisol. And chronically elevated cortisol is the thing actual"&amp;"ly wrecking most people's morning. Waking up tired, brain fog, bloating, aches, pains, the list goes on. This is ashwagandha coffee and this is actually the only coffee on target shelves that addresses cortisol. It is a 100% Arabica coffee with KSM 66 ash"&amp;"wagandha, the only coffee with KSM 66 ashwagandha, which is shown in clinical trials to reduce cortisol by 28%. Two cups delivers your full daily recommended dose. Plus it has 200 milligrams L-theanine, 100 milligrams curcuminoids from turmeric, lion's ma"&amp;"ne, chaga. Mushroom coffee was the warm-up. Ashwagandha coffee is what's replacing it. This was the number one selling functional coffee in the UK and now it has launched in Target stores, Nationwide and online. So go do yourself a favor and buy this.")</f>
        <v>Mushroom coffee had its moment. This is what's replacing it. It did something important. It proved people want more from their morning cup. Sure, mushrooms support focus, but they don't touch cortisol. And chronically elevated cortisol is the thing actually wrecking most people's morning. Waking up tired, brain fog, bloating, aches, pains, the list goes on. This is ashwagandha coffee and this is actually the only coffee on target shelves that addresses cortisol. It is a 100% Arabica coffee with KSM 66 ashwagandha, the only coffee with KSM 66 ashwagandha, which is shown in clinical trials to reduce cortisol by 28%. Two cups delivers your full daily recommended dose. Plus it has 200 milligrams L-theanine, 100 milligrams curcuminoids from turmeric, lion's mane, chaga. Mushroom coffee was the warm-up. Ashwagandha coffee is what's replacing it. This was the number one selling functional coffee in the UK and now it has launched in Target stores, Nationwide and online. So go do yourself a favor and buy this.</v>
      </c>
      <c r="AW291" s="35"/>
      <c r="AX291" s="35"/>
      <c r="AY291" s="35"/>
      <c r="AZ291" s="35"/>
      <c r="BA291" s="35"/>
      <c r="BB291" s="35"/>
      <c r="BC291" s="35"/>
      <c r="BD291" s="35"/>
      <c r="BE291" s="35"/>
      <c r="BF291" s="35"/>
      <c r="BG291" s="35"/>
    </row>
    <row r="292" ht="15.75" customHeight="1">
      <c r="A292" s="55" t="str">
        <f>IFERROR(__xludf.DUMMYFUNCTION("""COMPUTED_VALUE"""),"Instagram")</f>
        <v>Instagram</v>
      </c>
      <c r="B292" s="56">
        <f>IFERROR(__xludf.DUMMYFUNCTION("""COMPUTED_VALUE"""),46196.0)</f>
        <v>46196</v>
      </c>
      <c r="C292" s="55" t="str">
        <f>IFERROR(__xludf.DUMMYFUNCTION("""COMPUTED_VALUE"""),"June")</f>
        <v>June</v>
      </c>
      <c r="D292" s="58" t="str">
        <f>IFERROR(__xludf.DUMMYFUNCTION("""COMPUTED_VALUE"""),"https://www.instagram.com/reel/DZ5CcOXO_5e/")</f>
        <v>https://www.instagram.com/reel/DZ5CcOXO_5e/</v>
      </c>
      <c r="E292" s="55" t="str">
        <f>IFERROR(__xludf.DUMMYFUNCTION("""COMPUTED_VALUE"""),"luciana.bittenzap")</f>
        <v>luciana.bittenzap</v>
      </c>
      <c r="F292" s="55" t="str">
        <f>IFERROR(__xludf.DUMMYFUNCTION("""COMPUTED_VALUE"""),"NA")</f>
        <v>NA</v>
      </c>
      <c r="G292" s="55" t="str">
        <f>IFERROR(__xludf.DUMMYFUNCTION("""COMPUTED_VALUE"""),"Countering Mushroom Coffee Trend")</f>
        <v>Countering Mushroom Coffee Trend</v>
      </c>
      <c r="H292" s="55">
        <f>IFERROR(__xludf.DUMMYFUNCTION("""COMPUTED_VALUE"""),43.0)</f>
        <v>43</v>
      </c>
      <c r="I292" s="55">
        <f>IFERROR(__xludf.DUMMYFUNCTION("""COMPUTED_VALUE"""),25.4)</f>
        <v>25.4</v>
      </c>
      <c r="J292" s="55" t="str">
        <f>IFERROR(__xludf.DUMMYFUNCTION("""COMPUTED_VALUE"""),"Yes – Recommend")</f>
        <v>Yes – Recommend</v>
      </c>
      <c r="K292" s="55" t="str">
        <f>IFERROR(__xludf.DUMMYFUNCTION("""COMPUTED_VALUE"""),"Yes")</f>
        <v>Yes</v>
      </c>
      <c r="L292" s="55" t="str">
        <f>IFERROR(__xludf.DUMMYFUNCTION("""COMPUTED_VALUE"""),"Score 26.7 ≥ 20 threshold")</f>
        <v>Score 26.7 ≥ 20 threshold</v>
      </c>
      <c r="M292" s="59" t="str">
        <f>IFERROR(__xludf.DUMMYFUNCTION("""COMPUTED_VALUE"""),"No Ad Data")</f>
        <v>No Ad Data</v>
      </c>
      <c r="N292" s="55" t="str">
        <f>IFERROR(__xludf.DUMMYFUNCTION("""COMPUTED_VALUE"""),"9UGC-Mushroom-CTA-luciana.bittenzap")</f>
        <v>9UGC-Mushroom-CTA-luciana.bittenzap</v>
      </c>
      <c r="O292" s="77" t="str">
        <f>IFERROR(__xludf.DUMMYFUNCTION("""COMPUTED_VALUE"""),"https://buy.vahdam.com/coffee-cta-ugc-mushroom")</f>
        <v>https://buy.vahdam.com/coffee-cta-ugc-mushroom</v>
      </c>
      <c r="P292" s="59">
        <f>IFERROR(__xludf.DUMMYFUNCTION("""COMPUTED_VALUE"""),114.0)</f>
        <v>114</v>
      </c>
      <c r="Q292" s="59">
        <f>IFERROR(__xludf.DUMMYFUNCTION("""COMPUTED_VALUE"""),10.0)</f>
        <v>10</v>
      </c>
      <c r="R292" s="59">
        <f>IFERROR(__xludf.DUMMYFUNCTION("""COMPUTED_VALUE"""),3.0)</f>
        <v>3</v>
      </c>
      <c r="S292" s="55"/>
      <c r="T292" s="68">
        <f>IFERROR(__xludf.DUMMYFUNCTION("""COMPUTED_VALUE"""),0.0)</f>
        <v>0</v>
      </c>
      <c r="U292" s="55"/>
      <c r="V292" s="62">
        <f>IFERROR(__xludf.DUMMYFUNCTION("""COMPUTED_VALUE"""),0.114)</f>
        <v>0.114</v>
      </c>
      <c r="W292" s="63">
        <f>IFERROR(__xludf.DUMMYFUNCTION("""COMPUTED_VALUE"""),117.58)</f>
        <v>117.58</v>
      </c>
      <c r="X292" s="59">
        <f>IFERROR(__xludf.DUMMYFUNCTION("""COMPUTED_VALUE"""),114.0)</f>
        <v>114</v>
      </c>
      <c r="Y292" s="59">
        <f>IFERROR(__xludf.DUMMYFUNCTION("""COMPUTED_VALUE"""),10.0)</f>
        <v>10</v>
      </c>
      <c r="Z292" s="59">
        <f>IFERROR(__xludf.DUMMYFUNCTION("""COMPUTED_VALUE"""),3.0)</f>
        <v>3</v>
      </c>
      <c r="AA292" s="59">
        <f>IFERROR(__xludf.DUMMYFUNCTION("""COMPUTED_VALUE"""),0.0)</f>
        <v>0</v>
      </c>
      <c r="AB292" s="64">
        <f>IFERROR(__xludf.DUMMYFUNCTION("""COMPUTED_VALUE"""),0.0)</f>
        <v>0</v>
      </c>
      <c r="AC292" s="62">
        <f>IFERROR(__xludf.DUMMYFUNCTION("""COMPUTED_VALUE"""),0.114)</f>
        <v>0.114</v>
      </c>
      <c r="AD292" s="62">
        <f>IFERROR(__xludf.DUMMYFUNCTION("""COMPUTED_VALUE"""),0.0)</f>
        <v>0</v>
      </c>
      <c r="AE292" s="62">
        <f>IFERROR(__xludf.DUMMYFUNCTION("""COMPUTED_VALUE"""),0.0)</f>
        <v>0</v>
      </c>
      <c r="AF292" s="55" t="str">
        <f>IFERROR(__xludf.DUMMYFUNCTION("""COMPUTED_VALUE"""),"Yes")</f>
        <v>Yes</v>
      </c>
      <c r="AG292" s="55"/>
      <c r="AH292" s="55"/>
      <c r="AI292" s="55"/>
      <c r="AJ292" s="55"/>
      <c r="AK292" s="55"/>
      <c r="AL292" s="55"/>
      <c r="AM292" s="55" t="str">
        <f>IFERROR(__xludf.DUMMYFUNCTION("""COMPUTED_VALUE"""),"Q9jTBBVNWFHPgZziFHb3kyn6FlYLKBqVNRjAg0EzOC62Ta-31DY-ne2VV639w3Ey6cI")</f>
        <v>Q9jTBBVNWFHPgZziFHb3kyn6FlYLKBqVNRjAg0EzOC62Ta-31DY-ne2VV639w3Ey6cI</v>
      </c>
      <c r="AN292" s="55"/>
      <c r="AO292" s="55" t="str">
        <f>IFERROR(__xludf.DUMMYFUNCTION("""COMPUTED_VALUE"""),"NA")</f>
        <v>NA</v>
      </c>
      <c r="AP292" s="55" t="str">
        <f>IFERROR(__xludf.DUMMYFUNCTION("""COMPUTED_VALUE"""),"NA")</f>
        <v>NA</v>
      </c>
      <c r="AQ292" s="55" t="str">
        <f>IFERROR(__xludf.DUMMYFUNCTION("""COMPUTED_VALUE"""),"NA")</f>
        <v>NA</v>
      </c>
      <c r="AR292" s="55" t="str">
        <f>IFERROR(__xludf.DUMMYFUNCTION("""COMPUTED_VALUE"""),"Do this step if you want energy without coffee jitters.")</f>
        <v>Do this step if you want energy without coffee jitters.</v>
      </c>
      <c r="AS292" s="55" t="str">
        <f>IFERROR(__xludf.DUMMYFUNCTION("""COMPUTED_VALUE"""),"Problem / Pain Point")</f>
        <v>Problem / Pain Point</v>
      </c>
      <c r="AT292" s="55" t="str">
        <f>IFERROR(__xludf.DUMMYFUNCTION("""COMPUTED_VALUE"""),"• This is veteran ashwagandha coffee and it's made with premium arabica coffee plus KSM 66 ashwagandha, turmeric, L-theanine, lion's mane and chaga mushrooms.
• I love that it's designed to support calmer energy without the jitters or those afternoon cras"&amp;"hes and honestly my favorite part is the taste because it actually tastes like a delicious regular coffee.
• I found this a target and it changed the way I think about my morning coffee.")</f>
        <v>• This is veteran ashwagandha coffee and it's made with premium arabica coffee plus KSM 66 ashwagandha, turmeric, L-theanine, lion's mane and chaga mushrooms.
• I love that it's designed to support calmer energy without the jitters or those afternoon crashes and honestly my favorite part is the taste because it actually tastes like a delicious regular coffee.
• I found this a target and it changed the way I think about my morning coffee.</v>
      </c>
      <c r="AU292" s="55" t="str">
        <f>IFERROR(__xludf.DUMMYFUNCTION("""COMPUTED_VALUE"""),"You can find Varen ashwagandha coffee at Target stores, Nationwide or on Target.com")</f>
        <v>You can find Varen ashwagandha coffee at Target stores, Nationwide or on Target.com</v>
      </c>
      <c r="AV292" s="55" t="str">
        <f>IFERROR(__xludf.DUMMYFUNCTION("""COMPUTED_VALUE"""),"Do this step if you want energy without coffee jitters. I found this a target and it changed the way I think about my morning coffee. This is veteran ashwagandha coffee and it's made with premium arabica coffee plus KSM 66 ashwagandha, turmeric, L-theanin"&amp;"e, lion's mane and chaga mushrooms. I love that it's designed to support calmer energy without the jitters or those afternoon crashes and honestly my favorite part is the taste because it actually tastes like a delicious regular coffee. You can find Varen"&amp;" ashwagandha coffee at Target stores, Nationwide or on Target.com")</f>
        <v>Do this step if you want energy without coffee jitters. I found this a target and it changed the way I think about my morning coffee. This is veteran ashwagandha coffee and it's made with premium arabica coffee plus KSM 66 ashwagandha, turmeric, L-theanine, lion's mane and chaga mushrooms. I love that it's designed to support calmer energy without the jitters or those afternoon crashes and honestly my favorite part is the taste because it actually tastes like a delicious regular coffee. You can find Varen ashwagandha coffee at Target stores, Nationwide or on Target.com</v>
      </c>
      <c r="AW292" s="35"/>
      <c r="AX292" s="35"/>
      <c r="AY292" s="35"/>
      <c r="AZ292" s="35"/>
      <c r="BA292" s="35"/>
      <c r="BB292" s="35"/>
      <c r="BC292" s="35"/>
      <c r="BD292" s="35"/>
      <c r="BE292" s="35"/>
      <c r="BF292" s="35"/>
      <c r="BG292" s="35"/>
    </row>
    <row r="293" ht="15.75" customHeight="1">
      <c r="A293" s="55" t="str">
        <f>IFERROR(__xludf.DUMMYFUNCTION("""COMPUTED_VALUE"""),"Tiktok")</f>
        <v>Tiktok</v>
      </c>
      <c r="B293" s="56">
        <f>IFERROR(__xludf.DUMMYFUNCTION("""COMPUTED_VALUE"""),46202.0)</f>
        <v>46202</v>
      </c>
      <c r="C293" s="55" t="str">
        <f>IFERROR(__xludf.DUMMYFUNCTION("""COMPUTED_VALUE"""),"June")</f>
        <v>June</v>
      </c>
      <c r="D293" s="58" t="str">
        <f>IFERROR(__xludf.DUMMYFUNCTION("""COMPUTED_VALUE"""),"https://www.tiktok.com/@jessicamilenaoliveira/video/7655803390978510111")</f>
        <v>https://www.tiktok.com/@jessicamilenaoliveira/video/7655803390978510111</v>
      </c>
      <c r="E293" s="55" t="str">
        <f>IFERROR(__xludf.DUMMYFUNCTION("""COMPUTED_VALUE"""),"@jessicamilenaoliveira")</f>
        <v>@jessicamilenaoliveira</v>
      </c>
      <c r="F293" s="55"/>
      <c r="G293" s="55" t="str">
        <f>IFERROR(__xludf.DUMMYFUNCTION("""COMPUTED_VALUE"""),"Over 40/ High Performer")</f>
        <v>Over 40/ High Performer</v>
      </c>
      <c r="H293" s="55"/>
      <c r="I293" s="55">
        <f>IFERROR(__xludf.DUMMYFUNCTION("""COMPUTED_VALUE"""),29.5)</f>
        <v>29.5</v>
      </c>
      <c r="J293" s="55" t="str">
        <f>IFERROR(__xludf.DUMMYFUNCTION("""COMPUTED_VALUE"""),"Yes – Recommend")</f>
        <v>Yes – Recommend</v>
      </c>
      <c r="K293" s="55" t="str">
        <f>IFERROR(__xludf.DUMMYFUNCTION("""COMPUTED_VALUE"""),"Review before running ads")</f>
        <v>Review before running ads</v>
      </c>
      <c r="L293" s="55" t="str">
        <f>IFERROR(__xludf.DUMMYFUNCTION("""COMPUTED_VALUE"""),"Score 34.6 ≥ 30")</f>
        <v>Score 34.6 ≥ 30</v>
      </c>
      <c r="M293" s="59" t="str">
        <f>IFERROR(__xludf.DUMMYFUNCTION("""COMPUTED_VALUE"""),"No Ad Data")</f>
        <v>No Ad Data</v>
      </c>
      <c r="N293" s="55"/>
      <c r="O293" s="55"/>
      <c r="P293" s="59">
        <f>IFERROR(__xludf.DUMMYFUNCTION("""COMPUTED_VALUE"""),104.0)</f>
        <v>104</v>
      </c>
      <c r="Q293" s="59">
        <f>IFERROR(__xludf.DUMMYFUNCTION("""COMPUTED_VALUE"""),1.0)</f>
        <v>1</v>
      </c>
      <c r="R293" s="59">
        <f>IFERROR(__xludf.DUMMYFUNCTION("""COMPUTED_VALUE"""),0.0)</f>
        <v>0</v>
      </c>
      <c r="S293" s="62">
        <f>IFERROR(__xludf.DUMMYFUNCTION("""COMPUTED_VALUE"""),33.3)</f>
        <v>33.3</v>
      </c>
      <c r="T293" s="62">
        <f>IFERROR(__xludf.DUMMYFUNCTION("""COMPUTED_VALUE"""),11.1)</f>
        <v>11.1</v>
      </c>
      <c r="U293" s="64">
        <f>IFERROR(__xludf.DUMMYFUNCTION("""COMPUTED_VALUE"""),3.0)</f>
        <v>3</v>
      </c>
      <c r="V293" s="62">
        <f>IFERROR(__xludf.DUMMYFUNCTION("""COMPUTED_VALUE"""),3.8)</f>
        <v>3.8</v>
      </c>
      <c r="W293" s="63">
        <f>IFERROR(__xludf.DUMMYFUNCTION("""COMPUTED_VALUE"""),117.58)</f>
        <v>117.58</v>
      </c>
      <c r="X293" s="59">
        <f>IFERROR(__xludf.DUMMYFUNCTION("""COMPUTED_VALUE"""),104.0)</f>
        <v>104</v>
      </c>
      <c r="Y293" s="59">
        <f>IFERROR(__xludf.DUMMYFUNCTION("""COMPUTED_VALUE"""),1.0)</f>
        <v>1</v>
      </c>
      <c r="Z293" s="59">
        <f>IFERROR(__xludf.DUMMYFUNCTION("""COMPUTED_VALUE"""),0.0)</f>
        <v>0</v>
      </c>
      <c r="AA293" s="59">
        <f>IFERROR(__xludf.DUMMYFUNCTION("""COMPUTED_VALUE"""),3.0)</f>
        <v>3</v>
      </c>
      <c r="AB293" s="64">
        <f>IFERROR(__xludf.DUMMYFUNCTION("""COMPUTED_VALUE"""),3.0)</f>
        <v>3</v>
      </c>
      <c r="AC293" s="62">
        <f>IFERROR(__xludf.DUMMYFUNCTION("""COMPUTED_VALUE"""),3.8)</f>
        <v>3.8</v>
      </c>
      <c r="AD293" s="62">
        <f>IFERROR(__xludf.DUMMYFUNCTION("""COMPUTED_VALUE"""),33.3)</f>
        <v>33.3</v>
      </c>
      <c r="AE293" s="62">
        <f>IFERROR(__xludf.DUMMYFUNCTION("""COMPUTED_VALUE"""),11.1)</f>
        <v>11.1</v>
      </c>
      <c r="AF293" s="55"/>
      <c r="AG293" s="55"/>
      <c r="AH293" s="55"/>
      <c r="AI293" s="55"/>
      <c r="AJ293" s="55"/>
      <c r="AK293" s="55"/>
      <c r="AL293" s="55"/>
      <c r="AM293" s="55" t="str">
        <f>IFERROR(__xludf.DUMMYFUNCTION("""COMPUTED_VALUE"""),"#pbHnh4wWq+QYVoPLOCQh/itPBiQumpfDp76JTtPMDf1iuFpulOpKdUWh1XmCYvA=")</f>
        <v>#pbHnh4wWq+QYVoPLOCQh/itPBiQumpfDp76JTtPMDf1iuFpulOpKdUWh1XmCYvA=</v>
      </c>
      <c r="AN293" s="55"/>
      <c r="AO293" s="55"/>
      <c r="AP293" s="55"/>
      <c r="AQ293" s="55" t="str">
        <f>IFERROR(__xludf.DUMMYFUNCTION("""COMPUTED_VALUE"""),"@VAHDAM USA @target")</f>
        <v>@VAHDAM USA @target</v>
      </c>
      <c r="AR293" s="55" t="str">
        <f>IFERROR(__xludf.DUMMYFUNCTION("""COMPUTED_VALUE"""),"I am not exaggerating when I say that this coffee completely changed my morning routine.")</f>
        <v>I am not exaggerating when I say that this coffee completely changed my morning routine.</v>
      </c>
      <c r="AS293" s="55" t="str">
        <f>IFERROR(__xludf.DUMMYFUNCTION("""COMPUTED_VALUE"""),"Personal Story")</f>
        <v>Personal Story</v>
      </c>
      <c r="AT293" s="55" t="str">
        <f>IFERROR(__xludf.DUMMYFUNCTION("""COMPUTED_VALUE"""),"• Product introduced immediately in the opening
• Benefits covered: crash
• CTA: ""and what I love the most about this is that I can drink coffee and it tastes lik...""")</f>
        <v>• Product introduced immediately in the opening
• Benefits covered: crash
• CTA: "and what I love the most about this is that I can drink coffee and it tastes lik..."</v>
      </c>
      <c r="AU293" s="55" t="str">
        <f>IFERROR(__xludf.DUMMYFUNCTION("""COMPUTED_VALUE"""),"and what I love the most about this is that I can drink coffee and it tastes like coffee and I don't feel anxious and I don't crash out after drinking it I love that it actually tastes like coffee if you are a coffee girly like me and you're trying to dri"&amp;"nk something healthier without crashing out afterwards you should buy this coffee at any target source or at target.com")</f>
        <v>and what I love the most about this is that I can drink coffee and it tastes like coffee and I don't feel anxious and I don't crash out after drinking it I love that it actually tastes like coffee if you are a coffee girly like me and you're trying to drink something healthier without crashing out afterwards you should buy this coffee at any target source or at target.com</v>
      </c>
      <c r="AV293" s="55" t="str">
        <f>IFERROR(__xludf.DUMMYFUNCTION("""COMPUTED_VALUE"""),"I am not exaggerating when I say that this coffee completely changed my morning routine. I wanted to change to a healthier coffee or something that would make me feel better and this completely changed everything. It's a more natural coffee. It has ashwag"&amp;"andha. It also has shaga mushrooms and turmeric. and what I love the most about this is that I can drink coffee and it tastes like coffee and I don't feel anxious and I don't crash out after drinking it I love that it actually tastes like coffee if you ar"&amp;"e a coffee girly like me and you're trying to drink something healthier without crashing out afterwards you should buy this coffee at any target source or at target.com")</f>
        <v>I am not exaggerating when I say that this coffee completely changed my morning routine. I wanted to change to a healthier coffee or something that would make me feel better and this completely changed everything. It's a more natural coffee. It has ashwagandha. It also has shaga mushrooms and turmeric. and what I love the most about this is that I can drink coffee and it tastes like coffee and I don't feel anxious and I don't crash out after drinking it I love that it actually tastes like coffee if you are a coffee girly like me and you're trying to drink something healthier without crashing out afterwards you should buy this coffee at any target source or at target.com</v>
      </c>
      <c r="AW293" s="35"/>
      <c r="AX293" s="35"/>
      <c r="AY293" s="35"/>
      <c r="AZ293" s="35"/>
      <c r="BA293" s="35"/>
      <c r="BB293" s="35"/>
      <c r="BC293" s="35"/>
      <c r="BD293" s="35"/>
      <c r="BE293" s="35"/>
      <c r="BF293" s="35"/>
      <c r="BG293" s="35"/>
    </row>
    <row r="294" ht="15.75" customHeight="1">
      <c r="A294" s="55" t="str">
        <f>IFERROR(__xludf.DUMMYFUNCTION("""COMPUTED_VALUE"""),"Tiktok")</f>
        <v>Tiktok</v>
      </c>
      <c r="B294" s="56">
        <f>IFERROR(__xludf.DUMMYFUNCTION("""COMPUTED_VALUE"""),46190.0)</f>
        <v>46190</v>
      </c>
      <c r="C294" s="55" t="str">
        <f>IFERROR(__xludf.DUMMYFUNCTION("""COMPUTED_VALUE"""),"June")</f>
        <v>June</v>
      </c>
      <c r="D294" s="58" t="str">
        <f>IFERROR(__xludf.DUMMYFUNCTION("""COMPUTED_VALUE"""),"https://www.tiktok.com/@rairuraira/video/7652369202229087501")</f>
        <v>https://www.tiktok.com/@rairuraira/video/7652369202229087501</v>
      </c>
      <c r="E294" s="55" t="str">
        <f>IFERROR(__xludf.DUMMYFUNCTION("""COMPUTED_VALUE"""),"@rairuraira")</f>
        <v>@rairuraira</v>
      </c>
      <c r="F294" s="55" t="str">
        <f>IFERROR(__xludf.DUMMYFUNCTION("""COMPUTED_VALUE"""),"Irine Rairuraira")</f>
        <v>Irine Rairuraira</v>
      </c>
      <c r="G294" s="55" t="str">
        <f>IFERROR(__xludf.DUMMYFUNCTION("""COMPUTED_VALUE"""),"Cortisol")</f>
        <v>Cortisol</v>
      </c>
      <c r="H294" s="55">
        <f>IFERROR(__xludf.DUMMYFUNCTION("""COMPUTED_VALUE"""),32.0)</f>
        <v>32</v>
      </c>
      <c r="I294" s="55">
        <f>IFERROR(__xludf.DUMMYFUNCTION("""COMPUTED_VALUE"""),44.1)</f>
        <v>44.1</v>
      </c>
      <c r="J294" s="55" t="str">
        <f>IFERROR(__xludf.DUMMYFUNCTION("""COMPUTED_VALUE"""),"Yes – Recommend")</f>
        <v>Yes – Recommend</v>
      </c>
      <c r="K294" s="55" t="str">
        <f>IFERROR(__xludf.DUMMYFUNCTION("""COMPUTED_VALUE"""),"Review before running ads")</f>
        <v>Review before running ads</v>
      </c>
      <c r="L294" s="55" t="str">
        <f>IFERROR(__xludf.DUMMYFUNCTION("""COMPUTED_VALUE"""),"Score 51.9 ≥ 30; 6-sec 25.0% ≥ 25%")</f>
        <v>Score 51.9 ≥ 30; 6-sec 25.0% ≥ 25%</v>
      </c>
      <c r="M294" s="59" t="str">
        <f>IFERROR(__xludf.DUMMYFUNCTION("""COMPUTED_VALUE"""),"No Ad Data")</f>
        <v>No Ad Data</v>
      </c>
      <c r="N294" s="55"/>
      <c r="O294" s="55"/>
      <c r="P294" s="59">
        <f>IFERROR(__xludf.DUMMYFUNCTION("""COMPUTED_VALUE"""),101.0)</f>
        <v>101</v>
      </c>
      <c r="Q294" s="59">
        <f>IFERROR(__xludf.DUMMYFUNCTION("""COMPUTED_VALUE"""),16.0)</f>
        <v>16</v>
      </c>
      <c r="R294" s="59">
        <f>IFERROR(__xludf.DUMMYFUNCTION("""COMPUTED_VALUE"""),3.0)</f>
        <v>3</v>
      </c>
      <c r="S294" s="62">
        <f>IFERROR(__xludf.DUMMYFUNCTION("""COMPUTED_VALUE"""),58.0)</f>
        <v>58</v>
      </c>
      <c r="T294" s="62">
        <f>IFERROR(__xludf.DUMMYFUNCTION("""COMPUTED_VALUE"""),25.0)</f>
        <v>25</v>
      </c>
      <c r="U294" s="64">
        <f>IFERROR(__xludf.DUMMYFUNCTION("""COMPUTED_VALUE"""),6.0)</f>
        <v>6</v>
      </c>
      <c r="V294" s="62">
        <f>IFERROR(__xludf.DUMMYFUNCTION("""COMPUTED_VALUE"""),26.7)</f>
        <v>26.7</v>
      </c>
      <c r="W294" s="63">
        <f>IFERROR(__xludf.DUMMYFUNCTION("""COMPUTED_VALUE"""),117.58)</f>
        <v>117.58</v>
      </c>
      <c r="X294" s="59">
        <f>IFERROR(__xludf.DUMMYFUNCTION("""COMPUTED_VALUE"""),101.0)</f>
        <v>101</v>
      </c>
      <c r="Y294" s="59">
        <f>IFERROR(__xludf.DUMMYFUNCTION("""COMPUTED_VALUE"""),16.0)</f>
        <v>16</v>
      </c>
      <c r="Z294" s="59">
        <f>IFERROR(__xludf.DUMMYFUNCTION("""COMPUTED_VALUE"""),3.0)</f>
        <v>3</v>
      </c>
      <c r="AA294" s="59">
        <f>IFERROR(__xludf.DUMMYFUNCTION("""COMPUTED_VALUE"""),8.0)</f>
        <v>8</v>
      </c>
      <c r="AB294" s="64">
        <f>IFERROR(__xludf.DUMMYFUNCTION("""COMPUTED_VALUE"""),6.0)</f>
        <v>6</v>
      </c>
      <c r="AC294" s="62">
        <f>IFERROR(__xludf.DUMMYFUNCTION("""COMPUTED_VALUE"""),26.7)</f>
        <v>26.7</v>
      </c>
      <c r="AD294" s="62">
        <f>IFERROR(__xludf.DUMMYFUNCTION("""COMPUTED_VALUE"""),58.0)</f>
        <v>58</v>
      </c>
      <c r="AE294" s="62">
        <f>IFERROR(__xludf.DUMMYFUNCTION("""COMPUTED_VALUE"""),25.0)</f>
        <v>25</v>
      </c>
      <c r="AF294" s="55"/>
      <c r="AG294" s="55"/>
      <c r="AH294" s="55"/>
      <c r="AI294" s="55"/>
      <c r="AJ294" s="55"/>
      <c r="AK294" s="55"/>
      <c r="AL294" s="55"/>
      <c r="AM294" s="55" t="str">
        <f>IFERROR(__xludf.DUMMYFUNCTION("""COMPUTED_VALUE"""),"#KYrrDjVgZU3sfbyAoFsFBbCsdlsSGfISrpEj1qYGvcbepeVLEh+0Oxi0ko0oU+M=")</f>
        <v>#KYrrDjVgZU3sfbyAoFsFBbCsdlsSGfISrpEj1qYGvcbepeVLEh+0Oxi0ko0oU+M=</v>
      </c>
      <c r="AN294" s="55"/>
      <c r="AO294" s="58" t="str">
        <f>IFERROR(__xludf.DUMMYFUNCTION("""COMPUTED_VALUE"""),"https://us.brand.joinbrands.com/job/689797")</f>
        <v>https://us.brand.joinbrands.com/job/689797</v>
      </c>
      <c r="AP294" s="55" t="str">
        <f>IFERROR(__xludf.DUMMYFUNCTION("""COMPUTED_VALUE"""),"Turmeric Curcumin Compared")</f>
        <v>Turmeric Curcumin Compared</v>
      </c>
      <c r="AQ294" s="55" t="str">
        <f>IFERROR(__xludf.DUMMYFUNCTION("""COMPUTED_VALUE"""),"Same morning ritual. Smarter coffee. And genuinely delicious. Made in the USA in an FDA-registered, GMP certified facility. ðŸ‡ºðŸ‡¸ Find it at your local Target or Target.com @vahdamusa @target...")</f>
        <v>Same morning ritual. Smarter coffee. And genuinely delicious. Made in the USA in an FDA-registered, GMP certified facility. ðŸ‡ºðŸ‡¸ Find it at your local Target or Target.com @vahdamusa @target...</v>
      </c>
      <c r="AR294" s="55" t="str">
        <f>IFERROR(__xludf.DUMMYFUNCTION("""COMPUTED_VALUE"""),"Wait, I was buying all of these separately?")</f>
        <v>Wait, I was buying all of these separately?</v>
      </c>
      <c r="AS294" s="55" t="str">
        <f>IFERROR(__xludf.DUMMYFUNCTION("""COMPUTED_VALUE"""),"Curiosity / Question")</f>
        <v>Curiosity / Question</v>
      </c>
      <c r="AT294" s="55" t="str">
        <f>IFERROR(__xludf.DUMMYFUNCTION("""COMPUTED_VALUE"""),"• KSM 66 ashwagandha, L-tianine, turmeric, curcumin, lansmen and chaga all in one cup.
• Ashwagandha, curcumin, L-tianine, mushrooms and coffee every single morning.
• Then I found Vachtam ashwagandha coffee at Target.
• One scoop, hot water or milk, hot "&amp;"or iced, ready in seconds. actually tastes amazing just like a real coffee.")</f>
        <v>• KSM 66 ashwagandha, L-tianine, turmeric, curcumin, lansmen and chaga all in one cup.
• Ashwagandha, curcumin, L-tianine, mushrooms and coffee every single morning.
• Then I found Vachtam ashwagandha coffee at Target.
• One scoop, hot water or milk, hot or iced, ready in seconds. actually tastes amazing just like a real coffee.</v>
      </c>
      <c r="AU294" s="55" t="str">
        <f>IFERROR(__xludf.DUMMYFUNCTION("""COMPUTED_VALUE"""),"Fight it in Target!")</f>
        <v>Fight it in Target!</v>
      </c>
      <c r="AV294" s="55" t="str">
        <f>IFERROR(__xludf.DUMMYFUNCTION("""COMPUTED_VALUE"""),"Wait, I was buying all of these separately? Ashwagandha, curcumin, L-tianine, mushrooms and coffee every single morning. Then I found Vachtam ashwagandha coffee at Target. All 5 in one scoop. KSM 66 ashwagandha, L-tianine, turmeric, curcumin, lansmen and "&amp;"chaga all in one cup. One scoop, hot water or milk, hot or iced, ready in seconds. actually tastes amazing just like a real coffee. Fight it in Target!")</f>
        <v>Wait, I was buying all of these separately? Ashwagandha, curcumin, L-tianine, mushrooms and coffee every single morning. Then I found Vachtam ashwagandha coffee at Target. All 5 in one scoop. KSM 66 ashwagandha, L-tianine, turmeric, curcumin, lansmen and chaga all in one cup. One scoop, hot water or milk, hot or iced, ready in seconds. actually tastes amazing just like a real coffee. Fight it in Target!</v>
      </c>
      <c r="AW294" s="35"/>
      <c r="AX294" s="35"/>
      <c r="AY294" s="35"/>
      <c r="AZ294" s="35"/>
      <c r="BA294" s="35"/>
      <c r="BB294" s="35"/>
      <c r="BC294" s="35"/>
      <c r="BD294" s="35"/>
      <c r="BE294" s="35"/>
      <c r="BF294" s="35"/>
      <c r="BG294" s="35"/>
    </row>
    <row r="295" ht="15.75" customHeight="1">
      <c r="A295" s="55" t="str">
        <f>IFERROR(__xludf.DUMMYFUNCTION("""COMPUTED_VALUE"""),"Tiktok")</f>
        <v>Tiktok</v>
      </c>
      <c r="B295" s="56">
        <f>IFERROR(__xludf.DUMMYFUNCTION("""COMPUTED_VALUE"""),46198.0)</f>
        <v>46198</v>
      </c>
      <c r="C295" s="55" t="str">
        <f>IFERROR(__xludf.DUMMYFUNCTION("""COMPUTED_VALUE"""),"June")</f>
        <v>June</v>
      </c>
      <c r="D295" s="58" t="str">
        <f>IFERROR(__xludf.DUMMYFUNCTION("""COMPUTED_VALUE"""),"https://www.tiktok.com/@juliegperalta/video/7655414325493943566")</f>
        <v>https://www.tiktok.com/@juliegperalta/video/7655414325493943566</v>
      </c>
      <c r="E295" s="55" t="str">
        <f>IFERROR(__xludf.DUMMYFUNCTION("""COMPUTED_VALUE"""),"@juliegperalta")</f>
        <v>@juliegperalta</v>
      </c>
      <c r="F295" s="55" t="str">
        <f>IFERROR(__xludf.DUMMYFUNCTION("""COMPUTED_VALUE"""),"Julieth C Peralta")</f>
        <v>Julieth C Peralta</v>
      </c>
      <c r="G295" s="55" t="str">
        <f>IFERROR(__xludf.DUMMYFUNCTION("""COMPUTED_VALUE"""),"Over 40/ High Performer")</f>
        <v>Over 40/ High Performer</v>
      </c>
      <c r="H295" s="55">
        <f>IFERROR(__xludf.DUMMYFUNCTION("""COMPUTED_VALUE"""),44.0)</f>
        <v>44</v>
      </c>
      <c r="I295" s="55">
        <f>IFERROR(__xludf.DUMMYFUNCTION("""COMPUTED_VALUE"""),35.7)</f>
        <v>35.7</v>
      </c>
      <c r="J295" s="55" t="str">
        <f>IFERROR(__xludf.DUMMYFUNCTION("""COMPUTED_VALUE"""),"Yes – Recommend")</f>
        <v>Yes – Recommend</v>
      </c>
      <c r="K295" s="55" t="str">
        <f>IFERROR(__xludf.DUMMYFUNCTION("""COMPUTED_VALUE"""),"Review before running ads")</f>
        <v>Review before running ads</v>
      </c>
      <c r="L295" s="55" t="str">
        <f>IFERROR(__xludf.DUMMYFUNCTION("""COMPUTED_VALUE"""),"Score 36.7 ≥ 30")</f>
        <v>Score 36.7 ≥ 30</v>
      </c>
      <c r="M295" s="59" t="str">
        <f>IFERROR(__xludf.DUMMYFUNCTION("""COMPUTED_VALUE"""),"No Ad Data")</f>
        <v>No Ad Data</v>
      </c>
      <c r="N295" s="55"/>
      <c r="O295" s="55"/>
      <c r="P295" s="59">
        <f>IFERROR(__xludf.DUMMYFUNCTION("""COMPUTED_VALUE"""),100.0)</f>
        <v>100</v>
      </c>
      <c r="Q295" s="59">
        <f>IFERROR(__xludf.DUMMYFUNCTION("""COMPUTED_VALUE"""),7.0)</f>
        <v>7</v>
      </c>
      <c r="R295" s="59">
        <f>IFERROR(__xludf.DUMMYFUNCTION("""COMPUTED_VALUE"""),0.0)</f>
        <v>0</v>
      </c>
      <c r="S295" s="62">
        <f>IFERROR(__xludf.DUMMYFUNCTION("""COMPUTED_VALUE"""),47.4)</f>
        <v>47.4</v>
      </c>
      <c r="T295" s="62">
        <f>IFERROR(__xludf.DUMMYFUNCTION("""COMPUTED_VALUE"""),23.2)</f>
        <v>23.2</v>
      </c>
      <c r="U295" s="64">
        <f>IFERROR(__xludf.DUMMYFUNCTION("""COMPUTED_VALUE"""),6.0)</f>
        <v>6</v>
      </c>
      <c r="V295" s="62">
        <f>IFERROR(__xludf.DUMMYFUNCTION("""COMPUTED_VALUE"""),8.0)</f>
        <v>8</v>
      </c>
      <c r="W295" s="63">
        <f>IFERROR(__xludf.DUMMYFUNCTION("""COMPUTED_VALUE"""),117.58)</f>
        <v>117.58</v>
      </c>
      <c r="X295" s="59">
        <f>IFERROR(__xludf.DUMMYFUNCTION("""COMPUTED_VALUE"""),100.0)</f>
        <v>100</v>
      </c>
      <c r="Y295" s="59">
        <f>IFERROR(__xludf.DUMMYFUNCTION("""COMPUTED_VALUE"""),7.0)</f>
        <v>7</v>
      </c>
      <c r="Z295" s="59">
        <f>IFERROR(__xludf.DUMMYFUNCTION("""COMPUTED_VALUE"""),0.0)</f>
        <v>0</v>
      </c>
      <c r="AA295" s="59">
        <f>IFERROR(__xludf.DUMMYFUNCTION("""COMPUTED_VALUE"""),1.0)</f>
        <v>1</v>
      </c>
      <c r="AB295" s="64">
        <f>IFERROR(__xludf.DUMMYFUNCTION("""COMPUTED_VALUE"""),6.0)</f>
        <v>6</v>
      </c>
      <c r="AC295" s="62">
        <f>IFERROR(__xludf.DUMMYFUNCTION("""COMPUTED_VALUE"""),8.0)</f>
        <v>8</v>
      </c>
      <c r="AD295" s="62">
        <f>IFERROR(__xludf.DUMMYFUNCTION("""COMPUTED_VALUE"""),47.4)</f>
        <v>47.4</v>
      </c>
      <c r="AE295" s="62">
        <f>IFERROR(__xludf.DUMMYFUNCTION("""COMPUTED_VALUE"""),23.2)</f>
        <v>23.2</v>
      </c>
      <c r="AF295" s="55"/>
      <c r="AG295" s="55"/>
      <c r="AH295" s="55"/>
      <c r="AI295" s="55"/>
      <c r="AJ295" s="55"/>
      <c r="AK295" s="55"/>
      <c r="AL295" s="55"/>
      <c r="AM295" s="55" t="str">
        <f>IFERROR(__xludf.DUMMYFUNCTION("""COMPUTED_VALUE"""),"#jBxalzfYjfp5ga6ZDZ+Yc9qE52+cmanKiYSCUA9Ps7jgEX3l43H27xypVuWDmXM=")</f>
        <v>#jBxalzfYjfp5ga6ZDZ+Yc9qE52+cmanKiYSCUA9Ps7jgEX3l43H27xypVuWDmXM=</v>
      </c>
      <c r="AN295" s="55"/>
      <c r="AO295" s="58" t="str">
        <f>IFERROR(__xludf.DUMMYFUNCTION("""COMPUTED_VALUE"""),"https://us.brand.joinbrands.com/job/690558")</f>
        <v>https://us.brand.joinbrands.com/job/690558</v>
      </c>
      <c r="AP295" s="55" t="str">
        <f>IFERROR(__xludf.DUMMYFUNCTION("""COMPUTED_VALUE"""),"NA")</f>
        <v>NA</v>
      </c>
      <c r="AQ295" s="55" t="str">
        <f>IFERROR(__xludf.DUMMYFUNCTION("""COMPUTED_VALUE"""),"Growing up in Costa Rica, coffee was always part of my dayâ€”even when it was hot outside. â˜€ï¸â˜•ï¸ This summer, Iâ€™ve been giving my afternoon coffee a little upgrade with an iced VAHDAM Ashwagandha...")</f>
        <v>Growing up in Costa Rica, coffee was always part of my dayâ€”even when it was hot outside. â˜€ï¸_x008f_â˜•ï¸_x008f_ This summer, Iâ€™ve been giving my afternoon coffee a little upgrade with an iced VAHDAM Ashwagandha...</v>
      </c>
      <c r="AR295" s="55" t="str">
        <f>IFERROR(__xludf.DUMMYFUNCTION("""COMPUTED_VALUE"""),"to target to fix my morning routine.")</f>
        <v>to target to fix my morning routine.</v>
      </c>
      <c r="AS295" s="55" t="str">
        <f>IFERROR(__xludf.DUMMYFUNCTION("""COMPUTED_VALUE"""),"In-Store / Target Discovery")</f>
        <v>In-Store / Target Discovery</v>
      </c>
      <c r="AT295" s="55" t="str">
        <f>IFERROR(__xludf.DUMMYFUNCTION("""COMPUTED_VALUE"""),"• Listen, it's upgraded with K S M66, Ashwagandha, L Theanine and five powerful functional mushrooms which are clinically proven to help lower your cortisol, fight off that midday brain fog and keep you deeply focused all day long.
• If you are over 40 an"&amp;"d your regular coffee leaves you more stressed, bloated and anxious than energized, you absolutely need to try this.
• I found Vahdam Ashwagandha coffee at target.
• And honestly, it just tastes like a premium cup of regular coffee.")</f>
        <v>• Listen, it's upgraded with K S M66, Ashwagandha, L Theanine and five powerful functional mushrooms which are clinically proven to help lower your cortisol, fight off that midday brain fog and keep you deeply focused all day long.
• If you are over 40 and your regular coffee leaves you more stressed, bloated and anxious than energized, you absolutely need to try this.
• I found Vahdam Ashwagandha coffee at target.
• And honestly, it just tastes like a premium cup of regular coffee.</v>
      </c>
      <c r="AU295" s="55" t="str">
        <f>IFERROR(__xludf.DUMMYFUNCTION("""COMPUTED_VALUE"""),"Or order it online at target.com.")</f>
        <v>Or order it online at target.com.</v>
      </c>
      <c r="AV295" s="55" t="str">
        <f>IFERROR(__xludf.DUMMYFUNCTION("""COMPUTED_VALUE"""),"Come with me to target to fix my morning routine. If you are over 40 and your regular coffee leaves you more stressed, bloated and anxious than energized, you absolutely need to try this. I found Vahdam Ashwagandha coffee at target. Listen, it's upgraded "&amp;"with K S M66, Ashwagandha, L Theanine and five powerful functional mushrooms which are clinically proven to help lower your cortisol, fight off that midday brain fog and keep you deeply focused all day long. Entirely without the jitters or the heavy caffe"&amp;"ine crash. It whips up so incredibly creamy and delicious. And honestly, it just tastes like a premium cup of regular coffee. Do your body a favour. Grab yours on your next target run. Or order it online at target.com.")</f>
        <v>Come with me to target to fix my morning routine. If you are over 40 and your regular coffee leaves you more stressed, bloated and anxious than energized, you absolutely need to try this. I found Vahdam Ashwagandha coffee at target. Listen, it's upgraded with K S M66, Ashwagandha, L Theanine and five powerful functional mushrooms which are clinically proven to help lower your cortisol, fight off that midday brain fog and keep you deeply focused all day long. Entirely without the jitters or the heavy caffeine crash. It whips up so incredibly creamy and delicious. And honestly, it just tastes like a premium cup of regular coffee. Do your body a favour. Grab yours on your next target run. Or order it online at target.com.</v>
      </c>
      <c r="AW295" s="35"/>
      <c r="AX295" s="35"/>
      <c r="AY295" s="35"/>
      <c r="AZ295" s="35"/>
      <c r="BA295" s="35"/>
      <c r="BB295" s="35"/>
      <c r="BC295" s="35"/>
      <c r="BD295" s="35"/>
      <c r="BE295" s="35"/>
      <c r="BF295" s="35"/>
      <c r="BG295" s="35"/>
    </row>
    <row r="296" ht="15.75" customHeight="1">
      <c r="A296" s="55" t="str">
        <f>IFERROR(__xludf.DUMMYFUNCTION("""COMPUTED_VALUE"""),"Tiktok")</f>
        <v>Tiktok</v>
      </c>
      <c r="B296" s="56">
        <f>IFERROR(__xludf.DUMMYFUNCTION("""COMPUTED_VALUE"""),46190.0)</f>
        <v>46190</v>
      </c>
      <c r="C296" s="55" t="str">
        <f>IFERROR(__xludf.DUMMYFUNCTION("""COMPUTED_VALUE"""),"June")</f>
        <v>June</v>
      </c>
      <c r="D296" s="58" t="str">
        <f>IFERROR(__xludf.DUMMYFUNCTION("""COMPUTED_VALUE"""),"https://www.tiktok.com/@katerin.ugc/video/7652132591218281742")</f>
        <v>https://www.tiktok.com/@katerin.ugc/video/7652132591218281742</v>
      </c>
      <c r="E296" s="55" t="str">
        <f>IFERROR(__xludf.DUMMYFUNCTION("""COMPUTED_VALUE"""),"@katerin.ugc")</f>
        <v>@katerin.ugc</v>
      </c>
      <c r="F296" s="55" t="str">
        <f>IFERROR(__xludf.DUMMYFUNCTION("""COMPUTED_VALUE"""),"Katerine Andrade")</f>
        <v>Katerine Andrade</v>
      </c>
      <c r="G296" s="55" t="str">
        <f>IFERROR(__xludf.DUMMYFUNCTION("""COMPUTED_VALUE"""),"Target In-Store Discovery")</f>
        <v>Target In-Store Discovery</v>
      </c>
      <c r="H296" s="55">
        <f>IFERROR(__xludf.DUMMYFUNCTION("""COMPUTED_VALUE"""),24.0)</f>
        <v>24</v>
      </c>
      <c r="I296" s="55">
        <f>IFERROR(__xludf.DUMMYFUNCTION("""COMPUTED_VALUE"""),32.4)</f>
        <v>32.4</v>
      </c>
      <c r="J296" s="55" t="str">
        <f>IFERROR(__xludf.DUMMYFUNCTION("""COMPUTED_VALUE"""),"Yes – Recommend")</f>
        <v>Yes – Recommend</v>
      </c>
      <c r="K296" s="55" t="str">
        <f>IFERROR(__xludf.DUMMYFUNCTION("""COMPUTED_VALUE"""),"Review before running ads")</f>
        <v>Review before running ads</v>
      </c>
      <c r="L296" s="55" t="str">
        <f>IFERROR(__xludf.DUMMYFUNCTION("""COMPUTED_VALUE"""),"Score 33.3 ≥ 30")</f>
        <v>Score 33.3 ≥ 30</v>
      </c>
      <c r="M296" s="59" t="str">
        <f>IFERROR(__xludf.DUMMYFUNCTION("""COMPUTED_VALUE"""),"No Ad Data")</f>
        <v>No Ad Data</v>
      </c>
      <c r="N296" s="55"/>
      <c r="O296" s="55"/>
      <c r="P296" s="59">
        <f>IFERROR(__xludf.DUMMYFUNCTION("""COMPUTED_VALUE"""),100.0)</f>
        <v>100</v>
      </c>
      <c r="Q296" s="59">
        <f>IFERROR(__xludf.DUMMYFUNCTION("""COMPUTED_VALUE"""),9.0)</f>
        <v>9</v>
      </c>
      <c r="R296" s="59">
        <f>IFERROR(__xludf.DUMMYFUNCTION("""COMPUTED_VALUE"""),2.0)</f>
        <v>2</v>
      </c>
      <c r="S296" s="62">
        <f>IFERROR(__xludf.DUMMYFUNCTION("""COMPUTED_VALUE"""),44.6)</f>
        <v>44.6</v>
      </c>
      <c r="T296" s="62">
        <f>IFERROR(__xludf.DUMMYFUNCTION("""COMPUTED_VALUE"""),16.9)</f>
        <v>16.9</v>
      </c>
      <c r="U296" s="64">
        <f>IFERROR(__xludf.DUMMYFUNCTION("""COMPUTED_VALUE"""),4.0)</f>
        <v>4</v>
      </c>
      <c r="V296" s="62">
        <f>IFERROR(__xludf.DUMMYFUNCTION("""COMPUTED_VALUE"""),11.0)</f>
        <v>11</v>
      </c>
      <c r="W296" s="63">
        <f>IFERROR(__xludf.DUMMYFUNCTION("""COMPUTED_VALUE"""),52.58)</f>
        <v>52.58</v>
      </c>
      <c r="X296" s="59">
        <f>IFERROR(__xludf.DUMMYFUNCTION("""COMPUTED_VALUE"""),100.0)</f>
        <v>100</v>
      </c>
      <c r="Y296" s="59">
        <f>IFERROR(__xludf.DUMMYFUNCTION("""COMPUTED_VALUE"""),9.0)</f>
        <v>9</v>
      </c>
      <c r="Z296" s="59">
        <f>IFERROR(__xludf.DUMMYFUNCTION("""COMPUTED_VALUE"""),2.0)</f>
        <v>2</v>
      </c>
      <c r="AA296" s="59">
        <f>IFERROR(__xludf.DUMMYFUNCTION("""COMPUTED_VALUE"""),0.0)</f>
        <v>0</v>
      </c>
      <c r="AB296" s="64">
        <f>IFERROR(__xludf.DUMMYFUNCTION("""COMPUTED_VALUE"""),4.0)</f>
        <v>4</v>
      </c>
      <c r="AC296" s="62">
        <f>IFERROR(__xludf.DUMMYFUNCTION("""COMPUTED_VALUE"""),11.0)</f>
        <v>11</v>
      </c>
      <c r="AD296" s="62">
        <f>IFERROR(__xludf.DUMMYFUNCTION("""COMPUTED_VALUE"""),44.6)</f>
        <v>44.6</v>
      </c>
      <c r="AE296" s="62">
        <f>IFERROR(__xludf.DUMMYFUNCTION("""COMPUTED_VALUE"""),16.9)</f>
        <v>16.9</v>
      </c>
      <c r="AF296" s="55"/>
      <c r="AG296" s="55"/>
      <c r="AH296" s="55"/>
      <c r="AI296" s="55"/>
      <c r="AJ296" s="55"/>
      <c r="AK296" s="55"/>
      <c r="AL296" s="55"/>
      <c r="AM296" s="55" t="str">
        <f>IFERROR(__xludf.DUMMYFUNCTION("""COMPUTED_VALUE"""),"#l9XUwinLcufHhkLwU5JT3XDH6qf3jV1dN8lkNrpTnpW4yy1Nwldhk6nfMEzUyyM=")</f>
        <v>#l9XUwinLcufHhkLwU5JT3XDH6qf3jV1dN8lkNrpTnpW4yy1Nwldhk6nfMEzUyyM=</v>
      </c>
      <c r="AN296" s="55"/>
      <c r="AO296" s="58" t="str">
        <f>IFERROR(__xludf.DUMMYFUNCTION("""COMPUTED_VALUE"""),"https://us.brand.joinbrands.com/job/686626")</f>
        <v>https://us.brand.joinbrands.com/job/686626</v>
      </c>
      <c r="AP296" s="55" t="str">
        <f>IFERROR(__xludf.DUMMYFUNCTION("""COMPUTED_VALUE"""),"Not english")</f>
        <v>Not english</v>
      </c>
      <c r="AQ296" s="55" t="str">
        <f>IFERROR(__xludf.DUMMYFUNCTION("""COMPUTED_VALUE"""),"Found my new morning obsession at @target â˜•âœ¨ @vahdamusa Ashwagandha Coffee â€” coffee but make it wellness. Grab yours! #VAHDAM #Target #WellnessCoffee #mayearnrockydollars")</f>
        <v>Found my new morning obsession at @target â˜•âœ¨ @vahdamusa Ashwagandha Coffee â€” coffee but make it wellness. Grab yours! #VAHDAM #Target #WellnessCoffee #mayearnrockydollars</v>
      </c>
      <c r="AR296" s="55" t="str">
        <f>IFERROR(__xludf.DUMMYFUNCTION("""COMPUTED_VALUE"""),"Fui a Target, vi este cafÃ© en el estante y lo tuve que llevar, no habÃ­a manera de que me fuera sin Ã©l.")</f>
        <v>Fui a Target, vi este cafÃ© en el estante y lo tuve que llevar, no habÃ­a manera de que me fuera sin Ã©l.</v>
      </c>
      <c r="AS296" s="55" t="str">
        <f>IFERROR(__xludf.DUMMYFUNCTION("""COMPUTED_VALUE"""),"In-Store / Target Discovery")</f>
        <v>In-Store / Target Discovery</v>
      </c>
      <c r="AT296" s="55" t="str">
        <f>IFERROR(__xludf.DUMMYFUNCTION("""COMPUTED_VALUE"""),"• Tiene aguachanda, leÃ³n's men, chaga, lea tanina, o sea que es cafÃ© pero con todo lo que tu cuerpo necesita para arrancar el dÃ­a bien.
• Me estaba listando para salir, tomÃ© mis cosas y casi dejo mi cafÃ© ahÃ­ y obvio me regresÃ© por Ã©l, no lo iba a "&amp;"dejar para nada.
• El sabor estÃ¡ buenÃ­simo.
• Ahora lo llevo a todos lados, al trabajo, a la oficina, a donde sea.")</f>
        <v>• Tiene aguachanda, leÃ³n's men, chaga, lea tanina, o sea que es cafÃ© pero con todo lo que tu cuerpo necesita para arrancar el dÃ­a bien.
• Me estaba listando para salir, tomÃ© mis cosas y casi dejo mi cafÃ© ahÃ­ y obvio me regresÃ© por Ã©l, no lo iba a dejar para nada.
• El sabor estÃ¡ buenÃ­simo.
• Ahora lo llevo a todos lados, al trabajo, a la oficina, a donde sea.</v>
      </c>
      <c r="AU296" s="55" t="str">
        <f>IFERROR(__xludf.DUMMYFUNCTION("""COMPUTED_VALUE"""),"Si lo ves en tu Target mÃ¡s cercano, no lo dejes ir.")</f>
        <v>Si lo ves en tu Target mÃ¡s cercano, no lo dejes ir.</v>
      </c>
      <c r="AV296" s="55" t="str">
        <f>IFERROR(__xludf.DUMMYFUNCTION("""COMPUTED_VALUE"""),"Fui a Target, vi este cafÃ© en el estante y lo tuve que llevar, no habÃ­a manera de que me fuera sin Ã©l. Tiene aguachanda, leÃ³n's men, chaga, lea tanina, o sea que es cafÃ© pero con todo lo que tu cuerpo necesita para arrancar el dÃ­a bien. Me estaba li"&amp;"stando para salir, tomÃ© mis cosas y casi dejo mi cafÃ© ahÃ­ y obvio me regresÃ© por Ã©l, no lo iba a dejar para nada. El sabor estÃ¡ buenÃ­simo. Ahora lo llevo a todos lados, al trabajo, a la oficina, a donde sea. Si lo ves en tu Target mÃ¡s cercano, no "&amp;"lo dejes ir.")</f>
        <v>Fui a Target, vi este cafÃ© en el estante y lo tuve que llevar, no habÃ­a manera de que me fuera sin Ã©l. Tiene aguachanda, leÃ³n's men, chaga, lea tanina, o sea que es cafÃ© pero con todo lo que tu cuerpo necesita para arrancar el dÃ­a bien. Me estaba listando para salir, tomÃ© mis cosas y casi dejo mi cafÃ© ahÃ­ y obvio me regresÃ© por Ã©l, no lo iba a dejar para nada. El sabor estÃ¡ buenÃ­simo. Ahora lo llevo a todos lados, al trabajo, a la oficina, a donde sea. Si lo ves en tu Target mÃ¡s cercano, no lo dejes ir.</v>
      </c>
      <c r="AW296" s="35"/>
      <c r="AX296" s="35"/>
      <c r="AY296" s="35"/>
      <c r="AZ296" s="35"/>
      <c r="BA296" s="35"/>
      <c r="BB296" s="35"/>
      <c r="BC296" s="35"/>
      <c r="BD296" s="35"/>
      <c r="BE296" s="35"/>
      <c r="BF296" s="35"/>
      <c r="BG296" s="35"/>
    </row>
    <row r="297" ht="15.75" customHeight="1">
      <c r="A297" s="55" t="str">
        <f>IFERROR(__xludf.DUMMYFUNCTION("""COMPUTED_VALUE"""),"Tiktok")</f>
        <v>Tiktok</v>
      </c>
      <c r="B297" s="56">
        <f>IFERROR(__xludf.DUMMYFUNCTION("""COMPUTED_VALUE"""),46197.0)</f>
        <v>46197</v>
      </c>
      <c r="C297" s="55" t="str">
        <f>IFERROR(__xludf.DUMMYFUNCTION("""COMPUTED_VALUE"""),"June")</f>
        <v>June</v>
      </c>
      <c r="D297" s="58" t="str">
        <f>IFERROR(__xludf.DUMMYFUNCTION("""COMPUTED_VALUE"""),"https://www.tiktok.com/@sashdigitalmuse/video/7654768951204793613?_r=1&amp;_t=ZT-97SvoJnYGHF")</f>
        <v>https://www.tiktok.com/@sashdigitalmuse/video/7654768951204793613?_r=1&amp;_t=ZT-97SvoJnYGHF</v>
      </c>
      <c r="E297" s="55" t="str">
        <f>IFERROR(__xludf.DUMMYFUNCTION("""COMPUTED_VALUE"""),"@sashdigitalmuse")</f>
        <v>@sashdigitalmuse</v>
      </c>
      <c r="F297" s="55" t="str">
        <f>IFERROR(__xludf.DUMMYFUNCTION("""COMPUTED_VALUE"""),"Shosha Schoonover")</f>
        <v>Shosha Schoonover</v>
      </c>
      <c r="G297" s="55" t="str">
        <f>IFERROR(__xludf.DUMMYFUNCTION("""COMPUTED_VALUE"""),"NA")</f>
        <v>NA</v>
      </c>
      <c r="H297" s="55">
        <f>IFERROR(__xludf.DUMMYFUNCTION("""COMPUTED_VALUE"""),44.0)</f>
        <v>44</v>
      </c>
      <c r="I297" s="55">
        <f>IFERROR(__xludf.DUMMYFUNCTION("""COMPUTED_VALUE"""),35.9)</f>
        <v>35.9</v>
      </c>
      <c r="J297" s="55" t="str">
        <f>IFERROR(__xludf.DUMMYFUNCTION("""COMPUTED_VALUE"""),"Yes – Recommend")</f>
        <v>Yes – Recommend</v>
      </c>
      <c r="K297" s="55" t="str">
        <f>IFERROR(__xludf.DUMMYFUNCTION("""COMPUTED_VALUE"""),"Review before running ads")</f>
        <v>Review before running ads</v>
      </c>
      <c r="L297" s="55" t="str">
        <f>IFERROR(__xludf.DUMMYFUNCTION("""COMPUTED_VALUE"""),"Score 38.1 ≥ 30; 6-sec 29.0% ≥ 25%")</f>
        <v>Score 38.1 ≥ 30; 6-sec 29.0% ≥ 25%</v>
      </c>
      <c r="M297" s="59" t="str">
        <f>IFERROR(__xludf.DUMMYFUNCTION("""COMPUTED_VALUE"""),"No Ad Data")</f>
        <v>No Ad Data</v>
      </c>
      <c r="N297" s="55"/>
      <c r="O297" s="55"/>
      <c r="P297" s="59">
        <f>IFERROR(__xludf.DUMMYFUNCTION("""COMPUTED_VALUE"""),98.0)</f>
        <v>98</v>
      </c>
      <c r="Q297" s="59">
        <f>IFERROR(__xludf.DUMMYFUNCTION("""COMPUTED_VALUE"""),6.0)</f>
        <v>6</v>
      </c>
      <c r="R297" s="59">
        <f>IFERROR(__xludf.DUMMYFUNCTION("""COMPUTED_VALUE"""),5.0)</f>
        <v>5</v>
      </c>
      <c r="S297" s="62">
        <f>IFERROR(__xludf.DUMMYFUNCTION("""COMPUTED_VALUE"""),72.7)</f>
        <v>72.7</v>
      </c>
      <c r="T297" s="62">
        <f>IFERROR(__xludf.DUMMYFUNCTION("""COMPUTED_VALUE"""),29.0)</f>
        <v>29</v>
      </c>
      <c r="U297" s="64">
        <f>IFERROR(__xludf.DUMMYFUNCTION("""COMPUTED_VALUE"""),11.0)</f>
        <v>11</v>
      </c>
      <c r="V297" s="62">
        <f>IFERROR(__xludf.DUMMYFUNCTION("""COMPUTED_VALUE"""),11.2)</f>
        <v>11.2</v>
      </c>
      <c r="W297" s="63">
        <f>IFERROR(__xludf.DUMMYFUNCTION("""COMPUTED_VALUE"""),117.58)</f>
        <v>117.58</v>
      </c>
      <c r="X297" s="59">
        <f>IFERROR(__xludf.DUMMYFUNCTION("""COMPUTED_VALUE"""),98.0)</f>
        <v>98</v>
      </c>
      <c r="Y297" s="59">
        <f>IFERROR(__xludf.DUMMYFUNCTION("""COMPUTED_VALUE"""),6.0)</f>
        <v>6</v>
      </c>
      <c r="Z297" s="59">
        <f>IFERROR(__xludf.DUMMYFUNCTION("""COMPUTED_VALUE"""),5.0)</f>
        <v>5</v>
      </c>
      <c r="AA297" s="59">
        <f>IFERROR(__xludf.DUMMYFUNCTION("""COMPUTED_VALUE"""),0.0)</f>
        <v>0</v>
      </c>
      <c r="AB297" s="64">
        <f>IFERROR(__xludf.DUMMYFUNCTION("""COMPUTED_VALUE"""),11.0)</f>
        <v>11</v>
      </c>
      <c r="AC297" s="62">
        <f>IFERROR(__xludf.DUMMYFUNCTION("""COMPUTED_VALUE"""),11.2)</f>
        <v>11.2</v>
      </c>
      <c r="AD297" s="62">
        <f>IFERROR(__xludf.DUMMYFUNCTION("""COMPUTED_VALUE"""),72.7)</f>
        <v>72.7</v>
      </c>
      <c r="AE297" s="62">
        <f>IFERROR(__xludf.DUMMYFUNCTION("""COMPUTED_VALUE"""),29.0)</f>
        <v>29</v>
      </c>
      <c r="AF297" s="55"/>
      <c r="AG297" s="55"/>
      <c r="AH297" s="55"/>
      <c r="AI297" s="55"/>
      <c r="AJ297" s="55"/>
      <c r="AK297" s="55"/>
      <c r="AL297" s="55"/>
      <c r="AM297" s="55" t="str">
        <f>IFERROR(__xludf.DUMMYFUNCTION("""COMPUTED_VALUE"""),"#w+KZZA7U6F7qwnd2s0nAHmlB0xn7ii5IE6VyTHqGws5DNfLD0OAXoUH0kk9qUIg=")</f>
        <v>#w+KZZA7U6F7qwnd2s0nAHmlB0xn7ii5IE6VyTHqGws5DNfLD0OAXoUH0kk9qUIg=</v>
      </c>
      <c r="AN297" s="55"/>
      <c r="AO297" s="58" t="str">
        <f>IFERROR(__xludf.DUMMYFUNCTION("""COMPUTED_VALUE"""),"https://us.brand.joinbrands.com/job/691200")</f>
        <v>https://us.brand.joinbrands.com/job/691200</v>
      </c>
      <c r="AP297" s="55" t="str">
        <f>IFERROR(__xludf.DUMMYFUNCTION("""COMPUTED_VALUE"""),"NA")</f>
        <v>NA</v>
      </c>
      <c r="AQ297" s="55" t="str">
        <f>IFERROR(__xludf.DUMMYFUNCTION("""COMPUTED_VALUE"""),"@VAHDAM USA @target")</f>
        <v>@VAHDAM USA @target</v>
      </c>
      <c r="AR297" s="55" t="str">
        <f>IFERROR(__xludf.DUMMYFUNCTION("""COMPUTED_VALUE"""),"If you slept good last night, keep scrolling.")</f>
        <v>If you slept good last night, keep scrolling.</v>
      </c>
      <c r="AS297" s="55" t="str">
        <f>IFERROR(__xludf.DUMMYFUNCTION("""COMPUTED_VALUE"""),"Call-Out / If You")</f>
        <v>Call-Out / If You</v>
      </c>
      <c r="AT297" s="55" t="str">
        <f>IFERROR(__xludf.DUMMYFUNCTION("""COMPUTED_VALUE"""),"• Made with Arabica coffee, ashwagandha, ltheanine, turmeric, lions mane, and chaga mushrooms, this blend supports healthy cortisol and stress levels while still maintaining your delicious coffee flavor.
• Bottom is dedicated to ethical and sustainable pr"&amp;"actices, which means their beans are sourced straight from the gardens in India, removing the middleman.
• As I've crept into my 40s, solid sleep seems to be just a memory, but vodka may be able to help.
• And some additional bonus points in my book.")</f>
        <v>• Made with Arabica coffee, ashwagandha, ltheanine, turmeric, lions mane, and chaga mushrooms, this blend supports healthy cortisol and stress levels while still maintaining your delicious coffee flavor.
• Bottom is dedicated to ethical and sustainable practices, which means their beans are sourced straight from the gardens in India, removing the middleman.
• As I've crept into my 40s, solid sleep seems to be just a memory, but vodka may be able to help.
• And some additional bonus points in my book.</v>
      </c>
      <c r="AU297" s="55" t="str">
        <f>IFERROR(__xludf.DUMMYFUNCTION("""COMPUTED_VALUE"""),"And I just had this delivered from target.com.")</f>
        <v>And I just had this delivered from target.com.</v>
      </c>
      <c r="AV297" s="55" t="str">
        <f>IFERROR(__xludf.DUMMYFUNCTION("""COMPUTED_VALUE"""),"If you slept good last night, keep scrolling. As I've crept into my 40s, solid sleep seems to be just a memory, but vodka may be able to help. Made with Arabica coffee, ashwagandha, ltheanine, turmeric, lions mane, and chaga mushrooms, this blend supports"&amp;" healthy cortisol and stress levels while still maintaining your delicious coffee flavor. And some additional bonus points in my book. Bottom is dedicated to ethical and sustainable practices, which means their beans are sourced straight from the gardens "&amp;"in India, removing the middleman. And I just had this delivered from target.com.")</f>
        <v>If you slept good last night, keep scrolling. As I've crept into my 40s, solid sleep seems to be just a memory, but vodka may be able to help. Made with Arabica coffee, ashwagandha, ltheanine, turmeric, lions mane, and chaga mushrooms, this blend supports healthy cortisol and stress levels while still maintaining your delicious coffee flavor. And some additional bonus points in my book. Bottom is dedicated to ethical and sustainable practices, which means their beans are sourced straight from the gardens in India, removing the middleman. And I just had this delivered from target.com.</v>
      </c>
      <c r="AW297" s="35"/>
      <c r="AX297" s="35"/>
      <c r="AY297" s="35"/>
      <c r="AZ297" s="35"/>
      <c r="BA297" s="35"/>
      <c r="BB297" s="35"/>
      <c r="BC297" s="35"/>
      <c r="BD297" s="35"/>
      <c r="BE297" s="35"/>
      <c r="BF297" s="35"/>
      <c r="BG297" s="35"/>
    </row>
    <row r="298" ht="15.75" customHeight="1">
      <c r="A298" s="55" t="str">
        <f>IFERROR(__xludf.DUMMYFUNCTION("""COMPUTED_VALUE"""),"Tiktok")</f>
        <v>Tiktok</v>
      </c>
      <c r="B298" s="56">
        <f>IFERROR(__xludf.DUMMYFUNCTION("""COMPUTED_VALUE"""),46199.0)</f>
        <v>46199</v>
      </c>
      <c r="C298" s="55" t="str">
        <f>IFERROR(__xludf.DUMMYFUNCTION("""COMPUTED_VALUE"""),"June")</f>
        <v>June</v>
      </c>
      <c r="D298" s="58" t="str">
        <f>IFERROR(__xludf.DUMMYFUNCTION("""COMPUTED_VALUE"""),"https://www.tiktok.com/@cynthiablancocreator/video/7655533723286293790")</f>
        <v>https://www.tiktok.com/@cynthiablancocreator/video/7655533723286293790</v>
      </c>
      <c r="E298" s="55" t="str">
        <f>IFERROR(__xludf.DUMMYFUNCTION("""COMPUTED_VALUE"""),"@cynthiablancocreator")</f>
        <v>@cynthiablancocreator</v>
      </c>
      <c r="F298" s="55" t="str">
        <f>IFERROR(__xludf.DUMMYFUNCTION("""COMPUTED_VALUE"""),"NA")</f>
        <v>NA</v>
      </c>
      <c r="G298" s="55" t="str">
        <f>IFERROR(__xludf.DUMMYFUNCTION("""COMPUTED_VALUE"""),"Gummies vs Coffee")</f>
        <v>Gummies vs Coffee</v>
      </c>
      <c r="H298" s="55">
        <f>IFERROR(__xludf.DUMMYFUNCTION("""COMPUTED_VALUE"""),70.0)</f>
        <v>70</v>
      </c>
      <c r="I298" s="55">
        <f>IFERROR(__xludf.DUMMYFUNCTION("""COMPUTED_VALUE"""),32.7)</f>
        <v>32.7</v>
      </c>
      <c r="J298" s="55" t="str">
        <f>IFERROR(__xludf.DUMMYFUNCTION("""COMPUTED_VALUE"""),"Yes – Recommend")</f>
        <v>Yes – Recommend</v>
      </c>
      <c r="K298" s="55" t="str">
        <f>IFERROR(__xludf.DUMMYFUNCTION("""COMPUTED_VALUE"""),"Review before running ads")</f>
        <v>Review before running ads</v>
      </c>
      <c r="L298" s="55" t="str">
        <f>IFERROR(__xludf.DUMMYFUNCTION("""COMPUTED_VALUE"""),"Score 31.5 ≥ 30")</f>
        <v>Score 31.5 ≥ 30</v>
      </c>
      <c r="M298" s="59" t="str">
        <f>IFERROR(__xludf.DUMMYFUNCTION("""COMPUTED_VALUE"""),"No Ad Data")</f>
        <v>No Ad Data</v>
      </c>
      <c r="N298" s="55"/>
      <c r="O298" s="55"/>
      <c r="P298" s="59">
        <f>IFERROR(__xludf.DUMMYFUNCTION("""COMPUTED_VALUE"""),82.0)</f>
        <v>82</v>
      </c>
      <c r="Q298" s="59">
        <f>IFERROR(__xludf.DUMMYFUNCTION("""COMPUTED_VALUE"""),6.0)</f>
        <v>6</v>
      </c>
      <c r="R298" s="59">
        <f>IFERROR(__xludf.DUMMYFUNCTION("""COMPUTED_VALUE"""),0.0)</f>
        <v>0</v>
      </c>
      <c r="S298" s="62">
        <f>IFERROR(__xludf.DUMMYFUNCTION("""COMPUTED_VALUE"""),48.7)</f>
        <v>48.7</v>
      </c>
      <c r="T298" s="62">
        <f>IFERROR(__xludf.DUMMYFUNCTION("""COMPUTED_VALUE"""),23.1)</f>
        <v>23.1</v>
      </c>
      <c r="U298" s="64">
        <f>IFERROR(__xludf.DUMMYFUNCTION("""COMPUTED_VALUE"""),6.0)</f>
        <v>6</v>
      </c>
      <c r="V298" s="62">
        <f>IFERROR(__xludf.DUMMYFUNCTION("""COMPUTED_VALUE"""),7.3)</f>
        <v>7.3</v>
      </c>
      <c r="W298" s="63">
        <f>IFERROR(__xludf.DUMMYFUNCTION("""COMPUTED_VALUE"""),72.99)</f>
        <v>72.99</v>
      </c>
      <c r="X298" s="59">
        <f>IFERROR(__xludf.DUMMYFUNCTION("""COMPUTED_VALUE"""),82.0)</f>
        <v>82</v>
      </c>
      <c r="Y298" s="59">
        <f>IFERROR(__xludf.DUMMYFUNCTION("""COMPUTED_VALUE"""),6.0)</f>
        <v>6</v>
      </c>
      <c r="Z298" s="59">
        <f>IFERROR(__xludf.DUMMYFUNCTION("""COMPUTED_VALUE"""),0.0)</f>
        <v>0</v>
      </c>
      <c r="AA298" s="59">
        <f>IFERROR(__xludf.DUMMYFUNCTION("""COMPUTED_VALUE"""),0.0)</f>
        <v>0</v>
      </c>
      <c r="AB298" s="64">
        <f>IFERROR(__xludf.DUMMYFUNCTION("""COMPUTED_VALUE"""),6.0)</f>
        <v>6</v>
      </c>
      <c r="AC298" s="62">
        <f>IFERROR(__xludf.DUMMYFUNCTION("""COMPUTED_VALUE"""),7.3)</f>
        <v>7.3</v>
      </c>
      <c r="AD298" s="62">
        <f>IFERROR(__xludf.DUMMYFUNCTION("""COMPUTED_VALUE"""),48.7)</f>
        <v>48.7</v>
      </c>
      <c r="AE298" s="62">
        <f>IFERROR(__xludf.DUMMYFUNCTION("""COMPUTED_VALUE"""),23.1)</f>
        <v>23.1</v>
      </c>
      <c r="AF298" s="55"/>
      <c r="AG298" s="55"/>
      <c r="AH298" s="55"/>
      <c r="AI298" s="55"/>
      <c r="AJ298" s="55"/>
      <c r="AK298" s="55"/>
      <c r="AL298" s="55"/>
      <c r="AM298" s="55" t="str">
        <f>IFERROR(__xludf.DUMMYFUNCTION("""COMPUTED_VALUE"""),"#MF/g1q/CtR/7BK9vqq27IMH7BdVVu1B3RAo1DwrTMiidZynjIp4DJPHt5VDAUoU=")</f>
        <v>#MF/g1q/CtR/7BK9vqq27IMH7BdVVu1B3RAo1DwrTMiidZynjIp4DJPHt5VDAUoU=</v>
      </c>
      <c r="AN298" s="55"/>
      <c r="AO298" s="55" t="str">
        <f>IFERROR(__xludf.DUMMYFUNCTION("""COMPUTED_VALUE"""),"NA")</f>
        <v>NA</v>
      </c>
      <c r="AP298" s="55" t="str">
        <f>IFERROR(__xludf.DUMMYFUNCTION("""COMPUTED_VALUE"""),"NA")</f>
        <v>NA</v>
      </c>
      <c r="AQ298" s="55" t="str">
        <f>IFERROR(__xludf.DUMMYFUNCTION("""COMPUTED_VALUE"""),"Delicious Ashwaghanda Coffee by @VAHDAM USA. All my supplements in my morning coffee! Amazing! You can find it at @target. #ashwagandha #vahdam #targetfinds #mushroomcoffee")</f>
        <v>Delicious Ashwaghanda Coffee by @VAHDAM USA. All my supplements in my morning coffee! Amazing! You can find it at @target. #ashwagandha #vahdam #targetfinds #mushroomcoffee</v>
      </c>
      <c r="AR298" s="55" t="str">
        <f>IFERROR(__xludf.DUMMYFUNCTION("""COMPUTED_VALUE"""),"My supplement drawer was getting completely out of control.")</f>
        <v>My supplement drawer was getting completely out of control.</v>
      </c>
      <c r="AS298" s="55" t="str">
        <f>IFERROR(__xludf.DUMMYFUNCTION("""COMPUTED_VALUE"""),"General / Lifestyle")</f>
        <v>General / Lifestyle</v>
      </c>
      <c r="AT298" s="55" t="str">
        <f>IFERROR(__xludf.DUMMYFUNCTION("""COMPUTED_VALUE"""),"• Okay, so ashwagandha gummies for stress, turmeric capsules for inflammation, L-theanine for focus, lion's mane for brain health, chaga for immune support.
• KSM 66 ashwagandha, curcumin from turmeric, L-theanine, chaga, and lion's mane mushrooms.
• Va D"&amp;"umb ashwagandha coffee has all of that in one product.
• And it actually tastes like regular delicious coffee.")</f>
        <v>• Okay, so ashwagandha gummies for stress, turmeric capsules for inflammation, L-theanine for focus, lion's mane for brain health, chaga for immune support.
• KSM 66 ashwagandha, curcumin from turmeric, L-theanine, chaga, and lion's mane mushrooms.
• Va Dumb ashwagandha coffee has all of that in one product.
• And it actually tastes like regular delicious coffee.</v>
      </c>
      <c r="AU298" s="55" t="str">
        <f>IFERROR(__xludf.DUMMYFUNCTION("""COMPUTED_VALUE"""),"You can find Vodum Ashwagandha Coffee at Target stores or at Target.com.")</f>
        <v>You can find Vodum Ashwagandha Coffee at Target stores or at Target.com.</v>
      </c>
      <c r="AV298" s="55" t="str">
        <f>IFERROR(__xludf.DUMMYFUNCTION("""COMPUTED_VALUE"""),"My supplement drawer was getting completely out of control. So I replaced half of it with this coffee. Okay, so ashwagandha gummies for stress, turmeric capsules for inflammation, L-theanine for focus, lion's mane for brain health, chaga for immune suppor"&amp;"t. That is a lot. That's a lot of things to remember every day and a lot of money. Va Dumb ashwagandha coffee has all of that in one product. KSM 66 ashwagandha, curcumin from turmeric, L-theanine, chaga, and lion's mane mushrooms. Two cups gives you half"&amp;" of your daily dose of ashwagandha, plus all the other good stuff. And it actually tastes like regular delicious coffee. No extra sugar and no separate gummies to remember. Just an upgrade to the habit that I have every morning anyway. I feel more balance"&amp;"d and steady already. This was the simplest wellness change I've made. You can find Vodum Ashwagandha Coffee at Target stores or at Target.com. If you drink coffee every morning, this is such an easy upgrade. Let me know if you try it.")</f>
        <v>My supplement drawer was getting completely out of control. So I replaced half of it with this coffee. Okay, so ashwagandha gummies for stress, turmeric capsules for inflammation, L-theanine for focus, lion's mane for brain health, chaga for immune support. That is a lot. That's a lot of things to remember every day and a lot of money. Va Dumb ashwagandha coffee has all of that in one product. KSM 66 ashwagandha, curcumin from turmeric, L-theanine, chaga, and lion's mane mushrooms. Two cups gives you half of your daily dose of ashwagandha, plus all the other good stuff. And it actually tastes like regular delicious coffee. No extra sugar and no separate gummies to remember. Just an upgrade to the habit that I have every morning anyway. I feel more balanced and steady already. This was the simplest wellness change I've made. You can find Vodum Ashwagandha Coffee at Target stores or at Target.com. If you drink coffee every morning, this is such an easy upgrade. Let me know if you try it.</v>
      </c>
      <c r="AW298" s="35"/>
      <c r="AX298" s="35"/>
      <c r="AY298" s="35"/>
      <c r="AZ298" s="35"/>
      <c r="BA298" s="35"/>
      <c r="BB298" s="35"/>
      <c r="BC298" s="35"/>
      <c r="BD298" s="35"/>
      <c r="BE298" s="35"/>
      <c r="BF298" s="35"/>
      <c r="BG298" s="35"/>
    </row>
    <row r="299" ht="15.75" customHeight="1">
      <c r="A299" s="55" t="str">
        <f>IFERROR(__xludf.DUMMYFUNCTION("""COMPUTED_VALUE"""),"Tiktok")</f>
        <v>Tiktok</v>
      </c>
      <c r="B299" s="56">
        <f>IFERROR(__xludf.DUMMYFUNCTION("""COMPUTED_VALUE"""),46198.0)</f>
        <v>46198</v>
      </c>
      <c r="C299" s="55" t="str">
        <f>IFERROR(__xludf.DUMMYFUNCTION("""COMPUTED_VALUE"""),"June")</f>
        <v>June</v>
      </c>
      <c r="D299" s="58" t="str">
        <f>IFERROR(__xludf.DUMMYFUNCTION("""COMPUTED_VALUE"""),"https://www.tiktok.com/@badassmamababe/video/7655368100535192846")</f>
        <v>https://www.tiktok.com/@badassmamababe/video/7655368100535192846</v>
      </c>
      <c r="E299" s="55" t="str">
        <f>IFERROR(__xludf.DUMMYFUNCTION("""COMPUTED_VALUE"""),"@badassmamababe")</f>
        <v>@badassmamababe</v>
      </c>
      <c r="F299" s="55" t="str">
        <f>IFERROR(__xludf.DUMMYFUNCTION("""COMPUTED_VALUE"""),"Summer Crook")</f>
        <v>Summer Crook</v>
      </c>
      <c r="G299" s="55" t="str">
        <f>IFERROR(__xludf.DUMMYFUNCTION("""COMPUTED_VALUE"""),"Over 40/ High Performer")</f>
        <v>Over 40/ High Performer</v>
      </c>
      <c r="H299" s="55">
        <f>IFERROR(__xludf.DUMMYFUNCTION("""COMPUTED_VALUE"""),19.0)</f>
        <v>19</v>
      </c>
      <c r="I299" s="55">
        <f>IFERROR(__xludf.DUMMYFUNCTION("""COMPUTED_VALUE"""),35.4)</f>
        <v>35.4</v>
      </c>
      <c r="J299" s="55" t="str">
        <f>IFERROR(__xludf.DUMMYFUNCTION("""COMPUTED_VALUE"""),"Yes – Recommend")</f>
        <v>Yes – Recommend</v>
      </c>
      <c r="K299" s="55" t="str">
        <f>IFERROR(__xludf.DUMMYFUNCTION("""COMPUTED_VALUE"""),"Review before running ads")</f>
        <v>Review before running ads</v>
      </c>
      <c r="L299" s="55" t="str">
        <f>IFERROR(__xludf.DUMMYFUNCTION("""COMPUTED_VALUE"""),"Score 40.2 ≥ 30")</f>
        <v>Score 40.2 ≥ 30</v>
      </c>
      <c r="M299" s="59" t="str">
        <f>IFERROR(__xludf.DUMMYFUNCTION("""COMPUTED_VALUE"""),"No Ad Data")</f>
        <v>No Ad Data</v>
      </c>
      <c r="N299" s="55"/>
      <c r="O299" s="55"/>
      <c r="P299" s="59">
        <f>IFERROR(__xludf.DUMMYFUNCTION("""COMPUTED_VALUE"""),81.0)</f>
        <v>81</v>
      </c>
      <c r="Q299" s="59">
        <f>IFERROR(__xludf.DUMMYFUNCTION("""COMPUTED_VALUE"""),13.0)</f>
        <v>13</v>
      </c>
      <c r="R299" s="59">
        <f>IFERROR(__xludf.DUMMYFUNCTION("""COMPUTED_VALUE"""),9.0)</f>
        <v>9</v>
      </c>
      <c r="S299" s="62">
        <f>IFERROR(__xludf.DUMMYFUNCTION("""COMPUTED_VALUE"""),38.5)</f>
        <v>38.5</v>
      </c>
      <c r="T299" s="62">
        <f>IFERROR(__xludf.DUMMYFUNCTION("""COMPUTED_VALUE"""),14.4)</f>
        <v>14.4</v>
      </c>
      <c r="U299" s="64">
        <f>IFERROR(__xludf.DUMMYFUNCTION("""COMPUTED_VALUE"""),4.0)</f>
        <v>4</v>
      </c>
      <c r="V299" s="62">
        <f>IFERROR(__xludf.DUMMYFUNCTION("""COMPUTED_VALUE"""),28.3)</f>
        <v>28.3</v>
      </c>
      <c r="W299" s="63">
        <f>IFERROR(__xludf.DUMMYFUNCTION("""COMPUTED_VALUE"""),117.58)</f>
        <v>117.58</v>
      </c>
      <c r="X299" s="59">
        <f>IFERROR(__xludf.DUMMYFUNCTION("""COMPUTED_VALUE"""),81.0)</f>
        <v>81</v>
      </c>
      <c r="Y299" s="59">
        <f>IFERROR(__xludf.DUMMYFUNCTION("""COMPUTED_VALUE"""),13.0)</f>
        <v>13</v>
      </c>
      <c r="Z299" s="59">
        <f>IFERROR(__xludf.DUMMYFUNCTION("""COMPUTED_VALUE"""),9.0)</f>
        <v>9</v>
      </c>
      <c r="AA299" s="59">
        <f>IFERROR(__xludf.DUMMYFUNCTION("""COMPUTED_VALUE"""),1.0)</f>
        <v>1</v>
      </c>
      <c r="AB299" s="64">
        <f>IFERROR(__xludf.DUMMYFUNCTION("""COMPUTED_VALUE"""),4.0)</f>
        <v>4</v>
      </c>
      <c r="AC299" s="62">
        <f>IFERROR(__xludf.DUMMYFUNCTION("""COMPUTED_VALUE"""),28.3)</f>
        <v>28.3</v>
      </c>
      <c r="AD299" s="62">
        <f>IFERROR(__xludf.DUMMYFUNCTION("""COMPUTED_VALUE"""),38.5)</f>
        <v>38.5</v>
      </c>
      <c r="AE299" s="62">
        <f>IFERROR(__xludf.DUMMYFUNCTION("""COMPUTED_VALUE"""),14.4)</f>
        <v>14.4</v>
      </c>
      <c r="AF299" s="55"/>
      <c r="AG299" s="55"/>
      <c r="AH299" s="55"/>
      <c r="AI299" s="55"/>
      <c r="AJ299" s="55"/>
      <c r="AK299" s="55"/>
      <c r="AL299" s="55"/>
      <c r="AM299" s="55" t="str">
        <f>IFERROR(__xludf.DUMMYFUNCTION("""COMPUTED_VALUE"""),"#5KhBgJiHxo10/mYXQftgWGdxJrGfIsVhHuhOQKl0wqt9hkPs5YejvWLk31r2MnA=")</f>
        <v>#5KhBgJiHxo10/mYXQftgWGdxJrGfIsVhHuhOQKl0wqt9hkPs5YejvWLk31r2MnA=</v>
      </c>
      <c r="AN299" s="55"/>
      <c r="AO299" s="58" t="str">
        <f>IFERROR(__xludf.DUMMYFUNCTION("""COMPUTED_VALUE"""),"https://us.brand.joinbrands.com/job/691099")</f>
        <v>https://us.brand.joinbrands.com/job/691099</v>
      </c>
      <c r="AP299" s="55" t="str">
        <f>IFERROR(__xludf.DUMMYFUNCTION("""COMPUTED_VALUE"""),"NA")</f>
        <v>NA</v>
      </c>
      <c r="AQ299" s="55" t="str">
        <f>IFERROR(__xludf.DUMMYFUNCTION("""COMPUTED_VALUE"""),"I thought I needed less coffeeâ€¦ turns out I just needed better coffee. I found VAHDAMÂ®ï¸ Ashwagandha Coffee at Target, and itâ€™s not your typical â€œwellnessâ€ drinkâ€”it actually tastes like delicious...")</f>
        <v>I thought I needed less coffeeâ€¦ turns out I just needed better coffee. I found VAHDAMÂ®ï¸_x008f_ Ashwagandha Coffee at Target, and itâ€™s not your typical â€œwellnessâ€_x009d_ drinkâ€”it actually tastes like delicious...</v>
      </c>
      <c r="AR299" s="55" t="str">
        <f>IFERROR(__xludf.DUMMYFUNCTION("""COMPUTED_VALUE"""),"I didn't expect to love this, but Vadam Ashwagandha Coffee changed my mornings.")</f>
        <v>I didn't expect to love this, but Vadam Ashwagandha Coffee changed my mornings.</v>
      </c>
      <c r="AS299" s="55" t="str">
        <f>IFERROR(__xludf.DUMMYFUNCTION("""COMPUTED_VALUE"""),"General / Lifestyle")</f>
        <v>General / Lifestyle</v>
      </c>
      <c r="AT299" s="55" t="str">
        <f>IFERROR(__xludf.DUMMYFUNCTION("""COMPUTED_VALUE"""),"• It's now at target stores across the U S.")</f>
        <v>• It's now at target stores across the U S.</v>
      </c>
      <c r="AU299" s="55" t="str">
        <f>IFERROR(__xludf.DUMMYFUNCTION("""COMPUTED_VALUE"""),"And target.com, packed with ashwagandha, L theanine, lions mane and chaga for calm energy with no jitters.")</f>
        <v>And target.com, packed with ashwagandha, L theanine, lions mane and chaga for calm energy with no jitters.</v>
      </c>
      <c r="AV299" s="55" t="str">
        <f>IFERROR(__xludf.DUMMYFUNCTION("""COMPUTED_VALUE"""),"I didn't expect to love this, but Vadam Ashwagandha Coffee changed my mornings. It's now at target stores across the U S. And target.com, packed with ashwagandha, L theanine, lions mane and chaga for calm energy with no jitters.")</f>
        <v>I didn't expect to love this, but Vadam Ashwagandha Coffee changed my mornings. It's now at target stores across the U S. And target.com, packed with ashwagandha, L theanine, lions mane and chaga for calm energy with no jitters.</v>
      </c>
      <c r="AW299" s="35"/>
      <c r="AX299" s="35"/>
      <c r="AY299" s="35"/>
      <c r="AZ299" s="35"/>
      <c r="BA299" s="35"/>
      <c r="BB299" s="35"/>
      <c r="BC299" s="35"/>
      <c r="BD299" s="35"/>
      <c r="BE299" s="35"/>
      <c r="BF299" s="35"/>
      <c r="BG299" s="35"/>
    </row>
    <row r="300" ht="15.75" customHeight="1">
      <c r="A300" s="55" t="str">
        <f>IFERROR(__xludf.DUMMYFUNCTION("""COMPUTED_VALUE"""),"Tiktok")</f>
        <v>Tiktok</v>
      </c>
      <c r="B300" s="56">
        <f>IFERROR(__xludf.DUMMYFUNCTION("""COMPUTED_VALUE"""),46196.0)</f>
        <v>46196</v>
      </c>
      <c r="C300" s="55" t="str">
        <f>IFERROR(__xludf.DUMMYFUNCTION("""COMPUTED_VALUE"""),"June")</f>
        <v>June</v>
      </c>
      <c r="D300" s="58" t="str">
        <f>IFERROR(__xludf.DUMMYFUNCTION("""COMPUTED_VALUE"""),"https://www.tiktok.com/@bellinha_rodriguess/video/7654564716521540894")</f>
        <v>https://www.tiktok.com/@bellinha_rodriguess/video/7654564716521540894</v>
      </c>
      <c r="E300" s="55" t="str">
        <f>IFERROR(__xludf.DUMMYFUNCTION("""COMPUTED_VALUE"""),"@bellinha_rodriguess")</f>
        <v>@bellinha_rodriguess</v>
      </c>
      <c r="F300" s="55" t="str">
        <f>IFERROR(__xludf.DUMMYFUNCTION("""COMPUTED_VALUE"""),"NA")</f>
        <v>NA</v>
      </c>
      <c r="G300" s="55" t="str">
        <f>IFERROR(__xludf.DUMMYFUNCTION("""COMPUTED_VALUE"""),"Gummies vs Coffee")</f>
        <v>Gummies vs Coffee</v>
      </c>
      <c r="H300" s="55">
        <f>IFERROR(__xludf.DUMMYFUNCTION("""COMPUTED_VALUE"""),45.0)</f>
        <v>45</v>
      </c>
      <c r="I300" s="55">
        <f>IFERROR(__xludf.DUMMYFUNCTION("""COMPUTED_VALUE"""),33.0)</f>
        <v>33</v>
      </c>
      <c r="J300" s="55" t="str">
        <f>IFERROR(__xludf.DUMMYFUNCTION("""COMPUTED_VALUE"""),"Yes – Recommend")</f>
        <v>Yes – Recommend</v>
      </c>
      <c r="K300" s="55" t="str">
        <f>IFERROR(__xludf.DUMMYFUNCTION("""COMPUTED_VALUE"""),"Review before running ads")</f>
        <v>Review before running ads</v>
      </c>
      <c r="L300" s="55" t="str">
        <f>IFERROR(__xludf.DUMMYFUNCTION("""COMPUTED_VALUE"""),"Score 34.2 ≥ 30")</f>
        <v>Score 34.2 ≥ 30</v>
      </c>
      <c r="M300" s="59" t="str">
        <f>IFERROR(__xludf.DUMMYFUNCTION("""COMPUTED_VALUE"""),"No Ad Data")</f>
        <v>No Ad Data</v>
      </c>
      <c r="N300" s="55"/>
      <c r="O300" s="55"/>
      <c r="P300" s="59">
        <f>IFERROR(__xludf.DUMMYFUNCTION("""COMPUTED_VALUE"""),78.0)</f>
        <v>78</v>
      </c>
      <c r="Q300" s="59">
        <f>IFERROR(__xludf.DUMMYFUNCTION("""COMPUTED_VALUE"""),5.0)</f>
        <v>5</v>
      </c>
      <c r="R300" s="59">
        <f>IFERROR(__xludf.DUMMYFUNCTION("""COMPUTED_VALUE"""),2.0)</f>
        <v>2</v>
      </c>
      <c r="S300" s="62">
        <f>IFERROR(__xludf.DUMMYFUNCTION("""COMPUTED_VALUE"""),43.3)</f>
        <v>43.3</v>
      </c>
      <c r="T300" s="62">
        <f>IFERROR(__xludf.DUMMYFUNCTION("""COMPUTED_VALUE"""),23.3)</f>
        <v>23.3</v>
      </c>
      <c r="U300" s="64">
        <f>IFERROR(__xludf.DUMMYFUNCTION("""COMPUTED_VALUE"""),7.0)</f>
        <v>7</v>
      </c>
      <c r="V300" s="62">
        <f>IFERROR(__xludf.DUMMYFUNCTION("""COMPUTED_VALUE"""),8.9)</f>
        <v>8.9</v>
      </c>
      <c r="W300" s="63">
        <f>IFERROR(__xludf.DUMMYFUNCTION("""COMPUTED_VALUE"""),72.99)</f>
        <v>72.99</v>
      </c>
      <c r="X300" s="59">
        <f>IFERROR(__xludf.DUMMYFUNCTION("""COMPUTED_VALUE"""),78.0)</f>
        <v>78</v>
      </c>
      <c r="Y300" s="59">
        <f>IFERROR(__xludf.DUMMYFUNCTION("""COMPUTED_VALUE"""),5.0)</f>
        <v>5</v>
      </c>
      <c r="Z300" s="59">
        <f>IFERROR(__xludf.DUMMYFUNCTION("""COMPUTED_VALUE"""),2.0)</f>
        <v>2</v>
      </c>
      <c r="AA300" s="59">
        <f>IFERROR(__xludf.DUMMYFUNCTION("""COMPUTED_VALUE"""),0.0)</f>
        <v>0</v>
      </c>
      <c r="AB300" s="64">
        <f>IFERROR(__xludf.DUMMYFUNCTION("""COMPUTED_VALUE"""),7.0)</f>
        <v>7</v>
      </c>
      <c r="AC300" s="62">
        <f>IFERROR(__xludf.DUMMYFUNCTION("""COMPUTED_VALUE"""),8.9)</f>
        <v>8.9</v>
      </c>
      <c r="AD300" s="62">
        <f>IFERROR(__xludf.DUMMYFUNCTION("""COMPUTED_VALUE"""),43.3)</f>
        <v>43.3</v>
      </c>
      <c r="AE300" s="62">
        <f>IFERROR(__xludf.DUMMYFUNCTION("""COMPUTED_VALUE"""),23.3)</f>
        <v>23.3</v>
      </c>
      <c r="AF300" s="55"/>
      <c r="AG300" s="55"/>
      <c r="AH300" s="55"/>
      <c r="AI300" s="55"/>
      <c r="AJ300" s="55"/>
      <c r="AK300" s="55"/>
      <c r="AL300" s="55"/>
      <c r="AM300" s="55" t="str">
        <f>IFERROR(__xludf.DUMMYFUNCTION("""COMPUTED_VALUE"""),"#KrJSJ9KXyPoue99i17fhhuBlAaKaNKOKr2CEbNOoPWUczrSIiohNpdFoslEoxZc=")</f>
        <v>#KrJSJ9KXyPoue99i17fhhuBlAaKaNKOKr2CEbNOoPWUczrSIiohNpdFoslEoxZc=</v>
      </c>
      <c r="AN300" s="55"/>
      <c r="AO300" s="55" t="str">
        <f>IFERROR(__xludf.DUMMYFUNCTION("""COMPUTED_VALUE"""),"NA")</f>
        <v>NA</v>
      </c>
      <c r="AP300" s="55" t="str">
        <f>IFERROR(__xludf.DUMMYFUNCTION("""COMPUTED_VALUE"""),"Not english")</f>
        <v>Not english</v>
      </c>
      <c r="AQ300" s="55" t="str">
        <f>IFERROR(__xludf.DUMMYFUNCTION("""COMPUTED_VALUE"""),"â˜• Starting my mornings with VAHDAM Ashwagandha Coffee. I love how easy it is to make and how perfectly it fits into my daily routine. âœ¨Now available at Target! @vahdamusa #VAHDAM...")</f>
        <v>â˜• Starting my mornings with VAHDAM Ashwagandha Coffee. I love how easy it is to make and how perfectly it fits into my daily routine. âœ¨Now available at Target! @vahdamusa #VAHDAM...</v>
      </c>
      <c r="AR300" s="55" t="str">
        <f>IFERROR(__xludf.DUMMYFUNCTION("""COMPUTED_VALUE"""),"Adoro comeÃ§ar o meu dia, ou atÃ© a minha manhÃ£, com um bom cafÃ©.")</f>
        <v>Adoro comeÃ§ar o meu dia, ou atÃ© a minha manhÃ£, com um bom cafÃ©.</v>
      </c>
      <c r="AS300" s="55" t="str">
        <f>IFERROR(__xludf.DUMMYFUNCTION("""COMPUTED_VALUE"""),"General / Lifestyle")</f>
        <v>General / Lifestyle</v>
      </c>
      <c r="AT300" s="55" t="str">
        <f>IFERROR(__xludf.DUMMYFUNCTION("""COMPUTED_VALUE"""),"• O Ashwagon Coffee Ã© uma marca que eu estou a experimentar. e simplesmente eu estou a adorar.
• Ele Ã© muito benÃ©fico porque ele suporta, ele Ã© um suporte no stress, ele dÃ¡ energia e ele Ã© um balanÃ§o e foco.
• E este Ã© o novo cafÃ© que eu estou a "&amp;"experimentar.
• Ele jÃ¡ vem com uma colherzinha prÃ³pria. Ã‰ muito fÃ¡cil de fazer.")</f>
        <v>• O Ashwagon Coffee Ã© uma marca que eu estou a experimentar. e simplesmente eu estou a adorar.
• Ele Ã© muito benÃ©fico porque ele suporta, ele Ã© um suporte no stress, ele dÃ¡ energia e ele Ã© um balanÃ§o e foco.
• E este Ã© o novo cafÃ© que eu estou a experimentar.
• Ele jÃ¡ vem com uma colherzinha prÃ³pria. Ã‰ muito fÃ¡cil de fazer.</v>
      </c>
      <c r="AU300" s="55" t="str">
        <f>IFERROR(__xludf.DUMMYFUNCTION("""COMPUTED_VALUE"""),"Eu recomendo, jÃ¡ estÃ¡ disponÃ­vel na Target.")</f>
        <v>Eu recomendo, jÃ¡ estÃ¡ disponÃ­vel na Target.</v>
      </c>
      <c r="AV300" s="55" t="str">
        <f>IFERROR(__xludf.DUMMYFUNCTION("""COMPUTED_VALUE"""),"Adoro comeÃ§ar o meu dia, ou atÃ© a minha manhÃ£, com um bom cafÃ©. E este Ã© o novo cafÃ© que eu estou a experimentar. Ele jÃ¡ vem com uma colherzinha prÃ³pria. Ã‰ muito fÃ¡cil de fazer. Colocar pouco de Ã¡gua que vocÃªs quiserem, desejarem. Eu adoro a m"&amp;"inha chave maravilhosa. Mexam. Se preferirem, podem colocar algo para adocicar. Eu gosto assim dele, simples. Para saborear este maravilhoso sabor deste cafÃ©. O Ashwagon Coffee Ã© uma marca que eu estou a experimentar. e simplesmente eu estou a adorar. E"&amp;"le Ã© muito benÃ©fico porque ele suporta, ele Ã© um suporte no stress, ele dÃ¡ energia e ele Ã© um balanÃ§o e foco. Eu normalmente adoro tomar logo de manhÃ£ para iniciar o meu dia de trabalho. Eu recomendo, jÃ¡ estÃ¡ disponÃ­vel na Target.")</f>
        <v>Adoro comeÃ§ar o meu dia, ou atÃ© a minha manhÃ£, com um bom cafÃ©. E este Ã© o novo cafÃ© que eu estou a experimentar. Ele jÃ¡ vem com uma colherzinha prÃ³pria. Ã‰ muito fÃ¡cil de fazer. Colocar pouco de Ã¡gua que vocÃªs quiserem, desejarem. Eu adoro a minha chave maravilhosa. Mexam. Se preferirem, podem colocar algo para adocicar. Eu gosto assim dele, simples. Para saborear este maravilhoso sabor deste cafÃ©. O Ashwagon Coffee Ã© uma marca que eu estou a experimentar. e simplesmente eu estou a adorar. Ele Ã© muito benÃ©fico porque ele suporta, ele Ã© um suporte no stress, ele dÃ¡ energia e ele Ã© um balanÃ§o e foco. Eu normalmente adoro tomar logo de manhÃ£ para iniciar o meu dia de trabalho. Eu recomendo, jÃ¡ estÃ¡ disponÃ­vel na Target.</v>
      </c>
      <c r="AW300" s="35"/>
      <c r="AX300" s="35"/>
      <c r="AY300" s="35"/>
      <c r="AZ300" s="35"/>
      <c r="BA300" s="35"/>
      <c r="BB300" s="35"/>
      <c r="BC300" s="35"/>
      <c r="BD300" s="35"/>
      <c r="BE300" s="35"/>
      <c r="BF300" s="35"/>
      <c r="BG300" s="35"/>
    </row>
    <row r="301" ht="15.75" customHeight="1">
      <c r="A301" s="55" t="str">
        <f>IFERROR(__xludf.DUMMYFUNCTION("""COMPUTED_VALUE"""),"Tiktok")</f>
        <v>Tiktok</v>
      </c>
      <c r="B301" s="56">
        <f>IFERROR(__xludf.DUMMYFUNCTION("""COMPUTED_VALUE"""),46198.0)</f>
        <v>46198</v>
      </c>
      <c r="C301" s="55" t="str">
        <f>IFERROR(__xludf.DUMMYFUNCTION("""COMPUTED_VALUE"""),"June")</f>
        <v>June</v>
      </c>
      <c r="D301" s="58" t="str">
        <f>IFERROR(__xludf.DUMMYFUNCTION("""COMPUTED_VALUE"""),"https://www.tiktok.com/@edettfinds/video/7655364826037865758")</f>
        <v>https://www.tiktok.com/@edettfinds/video/7655364826037865758</v>
      </c>
      <c r="E301" s="55" t="str">
        <f>IFERROR(__xludf.DUMMYFUNCTION("""COMPUTED_VALUE"""),"@edettfinds")</f>
        <v>@edettfinds</v>
      </c>
      <c r="F301" s="55" t="str">
        <f>IFERROR(__xludf.DUMMYFUNCTION("""COMPUTED_VALUE"""),"Edemia Alvarez")</f>
        <v>Edemia Alvarez</v>
      </c>
      <c r="G301" s="55" t="str">
        <f>IFERROR(__xludf.DUMMYFUNCTION("""COMPUTED_VALUE"""),"Over 40/ High Performer")</f>
        <v>Over 40/ High Performer</v>
      </c>
      <c r="H301" s="55">
        <f>IFERROR(__xludf.DUMMYFUNCTION("""COMPUTED_VALUE"""),42.0)</f>
        <v>42</v>
      </c>
      <c r="I301" s="55">
        <f>IFERROR(__xludf.DUMMYFUNCTION("""COMPUTED_VALUE"""),42.1)</f>
        <v>42.1</v>
      </c>
      <c r="J301" s="55" t="str">
        <f>IFERROR(__xludf.DUMMYFUNCTION("""COMPUTED_VALUE"""),"Yes – Recommend")</f>
        <v>Yes – Recommend</v>
      </c>
      <c r="K301" s="55" t="str">
        <f>IFERROR(__xludf.DUMMYFUNCTION("""COMPUTED_VALUE"""),"Review before running ads")</f>
        <v>Review before running ads</v>
      </c>
      <c r="L301" s="55" t="str">
        <f>IFERROR(__xludf.DUMMYFUNCTION("""COMPUTED_VALUE"""),"Score 48.7 ≥ 30")</f>
        <v>Score 48.7 ≥ 30</v>
      </c>
      <c r="M301" s="59" t="str">
        <f>IFERROR(__xludf.DUMMYFUNCTION("""COMPUTED_VALUE"""),"No Ad Data")</f>
        <v>No Ad Data</v>
      </c>
      <c r="N301" s="55"/>
      <c r="O301" s="55"/>
      <c r="P301" s="59">
        <f>IFERROR(__xludf.DUMMYFUNCTION("""COMPUTED_VALUE"""),73.0)</f>
        <v>73</v>
      </c>
      <c r="Q301" s="59">
        <f>IFERROR(__xludf.DUMMYFUNCTION("""COMPUTED_VALUE"""),9.0)</f>
        <v>9</v>
      </c>
      <c r="R301" s="59">
        <f>IFERROR(__xludf.DUMMYFUNCTION("""COMPUTED_VALUE"""),0.0)</f>
        <v>0</v>
      </c>
      <c r="S301" s="62">
        <f>IFERROR(__xludf.DUMMYFUNCTION("""COMPUTED_VALUE"""),44.1)</f>
        <v>44.1</v>
      </c>
      <c r="T301" s="62">
        <f>IFERROR(__xludf.DUMMYFUNCTION("""COMPUTED_VALUE"""),20.7)</f>
        <v>20.7</v>
      </c>
      <c r="U301" s="64">
        <f>IFERROR(__xludf.DUMMYFUNCTION("""COMPUTED_VALUE"""),9.0)</f>
        <v>9</v>
      </c>
      <c r="V301" s="62">
        <f>IFERROR(__xludf.DUMMYFUNCTION("""COMPUTED_VALUE"""),30.1)</f>
        <v>30.1</v>
      </c>
      <c r="W301" s="63">
        <f>IFERROR(__xludf.DUMMYFUNCTION("""COMPUTED_VALUE"""),117.58)</f>
        <v>117.58</v>
      </c>
      <c r="X301" s="59">
        <f>IFERROR(__xludf.DUMMYFUNCTION("""COMPUTED_VALUE"""),73.0)</f>
        <v>73</v>
      </c>
      <c r="Y301" s="59">
        <f>IFERROR(__xludf.DUMMYFUNCTION("""COMPUTED_VALUE"""),9.0)</f>
        <v>9</v>
      </c>
      <c r="Z301" s="59">
        <f>IFERROR(__xludf.DUMMYFUNCTION("""COMPUTED_VALUE"""),0.0)</f>
        <v>0</v>
      </c>
      <c r="AA301" s="59">
        <f>IFERROR(__xludf.DUMMYFUNCTION("""COMPUTED_VALUE"""),13.0)</f>
        <v>13</v>
      </c>
      <c r="AB301" s="64">
        <f>IFERROR(__xludf.DUMMYFUNCTION("""COMPUTED_VALUE"""),9.0)</f>
        <v>9</v>
      </c>
      <c r="AC301" s="62">
        <f>IFERROR(__xludf.DUMMYFUNCTION("""COMPUTED_VALUE"""),30.1)</f>
        <v>30.1</v>
      </c>
      <c r="AD301" s="62">
        <f>IFERROR(__xludf.DUMMYFUNCTION("""COMPUTED_VALUE"""),44.1)</f>
        <v>44.1</v>
      </c>
      <c r="AE301" s="62">
        <f>IFERROR(__xludf.DUMMYFUNCTION("""COMPUTED_VALUE"""),20.7)</f>
        <v>20.7</v>
      </c>
      <c r="AF301" s="55"/>
      <c r="AG301" s="55"/>
      <c r="AH301" s="55"/>
      <c r="AI301" s="55"/>
      <c r="AJ301" s="55"/>
      <c r="AK301" s="55"/>
      <c r="AL301" s="55"/>
      <c r="AM301" s="55" t="str">
        <f>IFERROR(__xludf.DUMMYFUNCTION("""COMPUTED_VALUE"""),"#PPuW3IJfcNEz1CSbNwaWvz0urwYDpoueMfCyv7sb82eMqs8ENNZypTqYcxoZ8uY=")</f>
        <v>#PPuW3IJfcNEz1CSbNwaWvz0urwYDpoueMfCyv7sb82eMqs8ENNZypTqYcxoZ8uY=</v>
      </c>
      <c r="AN301" s="55"/>
      <c r="AO301" s="58" t="str">
        <f>IFERROR(__xludf.DUMMYFUNCTION("""COMPUTED_VALUE"""),"https://us.brand.joinbrands.com/job/691421")</f>
        <v>https://us.brand.joinbrands.com/job/691421</v>
      </c>
      <c r="AP301" s="55" t="str">
        <f>IFERROR(__xludf.DUMMYFUNCTION("""COMPUTED_VALUE"""),"NA")</f>
        <v>NA</v>
      </c>
      <c r="AQ301" s="55" t="str">
        <f>IFERROR(__xludf.DUMMYFUNCTION("""COMPUTED_VALUE"""),"Coffee talk! This one tastes better than my favorite coffee. #@VAHDAM USA @target #spotlightfinds #coffetime #ugc #trendy #coffee")</f>
        <v>Coffee talk! This one tastes better than my favorite coffee. #@VAHDAM USA @target #spotlightfinds #coffetime #ugc #trendy #coffee</v>
      </c>
      <c r="AR301" s="55" t="str">
        <f>IFERROR(__xludf.DUMMYFUNCTION("""COMPUTED_VALUE"""),"guys i'm gonna try this amazing coffee that has five ingredients i got it from target and of course i'm gonna have a second person to try this amazing...")</f>
        <v>guys i'm gonna try this amazing coffee that has five ingredients i got it from target and of course i'm gonna have a second person to try this amazing...</v>
      </c>
      <c r="AS301" s="55" t="str">
        <f>IFERROR(__xludf.DUMMYFUNCTION("""COMPUTED_VALUE"""),"In-Store / Target Discovery")</f>
        <v>In-Store / Target Discovery</v>
      </c>
      <c r="AT301" s="55" t="str">
        <f>IFERROR(__xludf.DUMMYFUNCTION("""COMPUTED_VALUE"""),"• Turmeric, Lion's Mane, and Chaga.
• Where'd you get this?
• I got it at Target.")</f>
        <v>• Turmeric, Lion's Mane, and Chaga.
• Where'd you get this?
• I got it at Target.</v>
      </c>
      <c r="AU301" s="55" t="str">
        <f>IFERROR(__xludf.DUMMYFUNCTION("""COMPUTED_VALUE"""),"hey guys i'm gonna try this amazing coffee that has five ingredients i got it from target and of course i'm gonna have a second person to try this amazing coffee you want to try this guy you're gonna ...")</f>
        <v>hey guys i'm gonna try this amazing coffee that has five ingredients i got it from target and of course i'm gonna have a second person to try this amazing coffee you want to try this guy you're gonna ...</v>
      </c>
      <c r="AV301" s="55" t="str">
        <f>IFERROR(__xludf.DUMMYFUNCTION("""COMPUTED_VALUE"""),"hey guys i'm gonna try this amazing coffee that has five ingredients i got it from target and of course i'm gonna have a second person to try this amazing coffee you want to try this guy you're gonna be surprised what this one has i want to show you wait "&amp;"wait don't move ashwakandha Lithium, I can never say that. Turmeric, Lion's Mane, and Chaga. Where'd you get this? I got it at Target. Yeah. Really? Yeah. Target. It's really good.")</f>
        <v>hey guys i'm gonna try this amazing coffee that has five ingredients i got it from target and of course i'm gonna have a second person to try this amazing coffee you want to try this guy you're gonna be surprised what this one has i want to show you wait wait don't move ashwakandha Lithium, I can never say that. Turmeric, Lion's Mane, and Chaga. Where'd you get this? I got it at Target. Yeah. Really? Yeah. Target. It's really good.</v>
      </c>
      <c r="AW301" s="35"/>
      <c r="AX301" s="35"/>
      <c r="AY301" s="35"/>
      <c r="AZ301" s="35"/>
      <c r="BA301" s="35"/>
      <c r="BB301" s="35"/>
      <c r="BC301" s="35"/>
      <c r="BD301" s="35"/>
      <c r="BE301" s="35"/>
      <c r="BF301" s="35"/>
      <c r="BG301" s="35"/>
    </row>
    <row r="302" ht="15.75" customHeight="1">
      <c r="A302" s="55" t="str">
        <f>IFERROR(__xludf.DUMMYFUNCTION("""COMPUTED_VALUE"""),"Tiktok")</f>
        <v>Tiktok</v>
      </c>
      <c r="B302" s="56">
        <f>IFERROR(__xludf.DUMMYFUNCTION("""COMPUTED_VALUE"""),46190.0)</f>
        <v>46190</v>
      </c>
      <c r="C302" s="55" t="str">
        <f>IFERROR(__xludf.DUMMYFUNCTION("""COMPUTED_VALUE"""),"June")</f>
        <v>June</v>
      </c>
      <c r="D302" s="58" t="str">
        <f>IFERROR(__xludf.DUMMYFUNCTION("""COMPUTED_VALUE"""),"https://www.tiktok.com/@jessiegurl1313/video/7652225680985427213")</f>
        <v>https://www.tiktok.com/@jessiegurl1313/video/7652225680985427213</v>
      </c>
      <c r="E302" s="55" t="str">
        <f>IFERROR(__xludf.DUMMYFUNCTION("""COMPUTED_VALUE"""),"@jessiegurl1313")</f>
        <v>@jessiegurl1313</v>
      </c>
      <c r="F302" s="55" t="str">
        <f>IFERROR(__xludf.DUMMYFUNCTION("""COMPUTED_VALUE"""),"Jessica Betty")</f>
        <v>Jessica Betty</v>
      </c>
      <c r="G302" s="55" t="str">
        <f>IFERROR(__xludf.DUMMYFUNCTION("""COMPUTED_VALUE"""),"Target In-Store Discovery")</f>
        <v>Target In-Store Discovery</v>
      </c>
      <c r="H302" s="55">
        <f>IFERROR(__xludf.DUMMYFUNCTION("""COMPUTED_VALUE"""),21.0)</f>
        <v>21</v>
      </c>
      <c r="I302" s="55">
        <f>IFERROR(__xludf.DUMMYFUNCTION("""COMPUTED_VALUE"""),33.4)</f>
        <v>33.4</v>
      </c>
      <c r="J302" s="55" t="str">
        <f>IFERROR(__xludf.DUMMYFUNCTION("""COMPUTED_VALUE"""),"Yes – Recommend")</f>
        <v>Yes – Recommend</v>
      </c>
      <c r="K302" s="55" t="str">
        <f>IFERROR(__xludf.DUMMYFUNCTION("""COMPUTED_VALUE"""),"Review before running ads")</f>
        <v>Review before running ads</v>
      </c>
      <c r="L302" s="55" t="str">
        <f>IFERROR(__xludf.DUMMYFUNCTION("""COMPUTED_VALUE"""),"Score 35.2 ≥ 30")</f>
        <v>Score 35.2 ≥ 30</v>
      </c>
      <c r="M302" s="59" t="str">
        <f>IFERROR(__xludf.DUMMYFUNCTION("""COMPUTED_VALUE"""),"No Ad Data")</f>
        <v>No Ad Data</v>
      </c>
      <c r="N302" s="55"/>
      <c r="O302" s="55"/>
      <c r="P302" s="59">
        <f>IFERROR(__xludf.DUMMYFUNCTION("""COMPUTED_VALUE"""),50.0)</f>
        <v>50</v>
      </c>
      <c r="Q302" s="59">
        <f>IFERROR(__xludf.DUMMYFUNCTION("""COMPUTED_VALUE"""),5.0)</f>
        <v>5</v>
      </c>
      <c r="R302" s="59">
        <f>IFERROR(__xludf.DUMMYFUNCTION("""COMPUTED_VALUE"""),4.0)</f>
        <v>4</v>
      </c>
      <c r="S302" s="62">
        <f>IFERROR(__xludf.DUMMYFUNCTION("""COMPUTED_VALUE"""),62.7)</f>
        <v>62.7</v>
      </c>
      <c r="T302" s="62">
        <f>IFERROR(__xludf.DUMMYFUNCTION("""COMPUTED_VALUE"""),24.4)</f>
        <v>24.4</v>
      </c>
      <c r="U302" s="64">
        <f>IFERROR(__xludf.DUMMYFUNCTION("""COMPUTED_VALUE"""),8.0)</f>
        <v>8</v>
      </c>
      <c r="V302" s="62">
        <f>IFERROR(__xludf.DUMMYFUNCTION("""COMPUTED_VALUE"""),18.0)</f>
        <v>18</v>
      </c>
      <c r="W302" s="63">
        <f>IFERROR(__xludf.DUMMYFUNCTION("""COMPUTED_VALUE"""),52.58)</f>
        <v>52.58</v>
      </c>
      <c r="X302" s="59">
        <f>IFERROR(__xludf.DUMMYFUNCTION("""COMPUTED_VALUE"""),50.0)</f>
        <v>50</v>
      </c>
      <c r="Y302" s="59">
        <f>IFERROR(__xludf.DUMMYFUNCTION("""COMPUTED_VALUE"""),5.0)</f>
        <v>5</v>
      </c>
      <c r="Z302" s="59">
        <f>IFERROR(__xludf.DUMMYFUNCTION("""COMPUTED_VALUE"""),4.0)</f>
        <v>4</v>
      </c>
      <c r="AA302" s="59">
        <f>IFERROR(__xludf.DUMMYFUNCTION("""COMPUTED_VALUE"""),0.0)</f>
        <v>0</v>
      </c>
      <c r="AB302" s="64">
        <f>IFERROR(__xludf.DUMMYFUNCTION("""COMPUTED_VALUE"""),8.0)</f>
        <v>8</v>
      </c>
      <c r="AC302" s="62">
        <f>IFERROR(__xludf.DUMMYFUNCTION("""COMPUTED_VALUE"""),18.0)</f>
        <v>18</v>
      </c>
      <c r="AD302" s="62">
        <f>IFERROR(__xludf.DUMMYFUNCTION("""COMPUTED_VALUE"""),62.7)</f>
        <v>62.7</v>
      </c>
      <c r="AE302" s="62">
        <f>IFERROR(__xludf.DUMMYFUNCTION("""COMPUTED_VALUE"""),24.4)</f>
        <v>24.4</v>
      </c>
      <c r="AF302" s="55"/>
      <c r="AG302" s="55"/>
      <c r="AH302" s="55"/>
      <c r="AI302" s="55"/>
      <c r="AJ302" s="55"/>
      <c r="AK302" s="55"/>
      <c r="AL302" s="55"/>
      <c r="AM302" s="55" t="str">
        <f>IFERROR(__xludf.DUMMYFUNCTION("""COMPUTED_VALUE"""),"#SexTQlVqnSbrf64Cbt2WwWfGEWvCX51KpEbeQAuLtKWgrBYQeI4HnocLcbqsIo4=")</f>
        <v>#SexTQlVqnSbrf64Cbt2WwWfGEWvCX51KpEbeQAuLtKWgrBYQeI4HnocLcbqsIo4=</v>
      </c>
      <c r="AN302" s="55"/>
      <c r="AO302" s="58" t="str">
        <f>IFERROR(__xludf.DUMMYFUNCTION("""COMPUTED_VALUE"""),"https://us.brand.joinbrands.com/job/691785")</f>
        <v>https://us.brand.joinbrands.com/job/691785</v>
      </c>
      <c r="AP302" s="55" t="str">
        <f>IFERROR(__xludf.DUMMYFUNCTION("""COMPUTED_VALUE"""),"Bad qaulity")</f>
        <v>Bad qaulity</v>
      </c>
      <c r="AQ302" s="55" t="str">
        <f>IFERROR(__xludf.DUMMYFUNCTION("""COMPUTED_VALUE"""),"â€œTarget Runâ€ @VAHDAM USA @target #coffeealternative #mushroomcoffee #CortisolConscious #target #vahdam")</f>
        <v>â€œTarget Runâ€_x009d_ @VAHDAM USA @target #coffeealternative #mushroomcoffee #CortisolConscious #target #vahdam</v>
      </c>
      <c r="AR302" s="55" t="str">
        <f>IFERROR(__xludf.DUMMYFUNCTION("""COMPUTED_VALUE"""),"as I take you with me to target to get my coffee.")</f>
        <v>as I take you with me to target to get my coffee.</v>
      </c>
      <c r="AS302" s="55" t="str">
        <f>IFERROR(__xludf.DUMMYFUNCTION("""COMPUTED_VALUE"""),"In-Store / Target Discovery")</f>
        <v>In-Store / Target Discovery</v>
      </c>
      <c r="AT302" s="55" t="str">
        <f>IFERROR(__xludf.DUMMYFUNCTION("""COMPUTED_VALUE"""),"• It is on sale here.
• I am getting them all.
• It is now available at a target near you.")</f>
        <v>• It is on sale here.
• I am getting them all.
• It is now available at a target near you.</v>
      </c>
      <c r="AU302" s="55" t="str">
        <f>IFERROR(__xludf.DUMMYFUNCTION("""COMPUTED_VALUE"""),"It is now available at a target near you.")</f>
        <v>It is now available at a target near you.</v>
      </c>
      <c r="AV302" s="55" t="str">
        <f>IFERROR(__xludf.DUMMYFUNCTION("""COMPUTED_VALUE"""),"Come with me as I take you with me to target to get my coffee. Oh, nice. It is on sale here. I am getting them all. It is now available at a target near you. Get your Vada masala coffee.")</f>
        <v>Come with me as I take you with me to target to get my coffee. Oh, nice. It is on sale here. I am getting them all. It is now available at a target near you. Get your Vada masala coffee.</v>
      </c>
      <c r="AW302" s="35"/>
      <c r="AX302" s="35"/>
      <c r="AY302" s="35"/>
      <c r="AZ302" s="35"/>
      <c r="BA302" s="35"/>
      <c r="BB302" s="35"/>
      <c r="BC302" s="35"/>
      <c r="BD302" s="35"/>
      <c r="BE302" s="35"/>
      <c r="BF302" s="35"/>
      <c r="BG302" s="35"/>
    </row>
    <row r="303" ht="15.75" customHeight="1">
      <c r="A303" s="55" t="str">
        <f>IFERROR(__xludf.DUMMYFUNCTION("""COMPUTED_VALUE"""),"Tiktok")</f>
        <v>Tiktok</v>
      </c>
      <c r="B303" s="56">
        <f>IFERROR(__xludf.DUMMYFUNCTION("""COMPUTED_VALUE"""),46196.0)</f>
        <v>46196</v>
      </c>
      <c r="C303" s="55" t="str">
        <f>IFERROR(__xludf.DUMMYFUNCTION("""COMPUTED_VALUE"""),"June")</f>
        <v>June</v>
      </c>
      <c r="D303" s="58" t="str">
        <f>IFERROR(__xludf.DUMMYFUNCTION("""COMPUTED_VALUE"""),"https://www.tiktok.com/@dogmom267/video/7654558115190295821")</f>
        <v>https://www.tiktok.com/@dogmom267/video/7654558115190295821</v>
      </c>
      <c r="E303" s="55" t="str">
        <f>IFERROR(__xludf.DUMMYFUNCTION("""COMPUTED_VALUE"""),"@dogmom267")</f>
        <v>@dogmom267</v>
      </c>
      <c r="F303" s="55" t="str">
        <f>IFERROR(__xludf.DUMMYFUNCTION("""COMPUTED_VALUE"""),"Alicia Wilson")</f>
        <v>Alicia Wilson</v>
      </c>
      <c r="G303" s="55" t="str">
        <f>IFERROR(__xludf.DUMMYFUNCTION("""COMPUTED_VALUE"""),"Cortisol")</f>
        <v>Cortisol</v>
      </c>
      <c r="H303" s="55">
        <f>IFERROR(__xludf.DUMMYFUNCTION("""COMPUTED_VALUE"""),43.0)</f>
        <v>43</v>
      </c>
      <c r="I303" s="55">
        <f>IFERROR(__xludf.DUMMYFUNCTION("""COMPUTED_VALUE"""),22.5)</f>
        <v>22.5</v>
      </c>
      <c r="J303" s="55" t="str">
        <f>IFERROR(__xludf.DUMMYFUNCTION("""COMPUTED_VALUE"""),"Yes – Recommend")</f>
        <v>Yes – Recommend</v>
      </c>
      <c r="K303" s="55" t="str">
        <f>IFERROR(__xludf.DUMMYFUNCTION("""COMPUTED_VALUE"""),"Review before running ads")</f>
        <v>Review before running ads</v>
      </c>
      <c r="L303" s="55" t="str">
        <f>IFERROR(__xludf.DUMMYFUNCTION("""COMPUTED_VALUE"""),"6-sec 28.2% ≥ 25%")</f>
        <v>6-sec 28.2% ≥ 25%</v>
      </c>
      <c r="M303" s="59" t="str">
        <f>IFERROR(__xludf.DUMMYFUNCTION("""COMPUTED_VALUE"""),"No Ad Data")</f>
        <v>No Ad Data</v>
      </c>
      <c r="N303" s="55"/>
      <c r="O303" s="55"/>
      <c r="P303" s="59">
        <f>IFERROR(__xludf.DUMMYFUNCTION("""COMPUTED_VALUE"""),35.0)</f>
        <v>35</v>
      </c>
      <c r="Q303" s="59">
        <f>IFERROR(__xludf.DUMMYFUNCTION("""COMPUTED_VALUE"""),4.0)</f>
        <v>4</v>
      </c>
      <c r="R303" s="59">
        <f>IFERROR(__xludf.DUMMYFUNCTION("""COMPUTED_VALUE"""),1.0)</f>
        <v>1</v>
      </c>
      <c r="S303" s="62">
        <f>IFERROR(__xludf.DUMMYFUNCTION("""COMPUTED_VALUE"""),80.4)</f>
        <v>80.4</v>
      </c>
      <c r="T303" s="62">
        <f>IFERROR(__xludf.DUMMYFUNCTION("""COMPUTED_VALUE"""),28.2)</f>
        <v>28.2</v>
      </c>
      <c r="U303" s="64">
        <f>IFERROR(__xludf.DUMMYFUNCTION("""COMPUTED_VALUE"""),22.0)</f>
        <v>22</v>
      </c>
      <c r="V303" s="62">
        <f>IFERROR(__xludf.DUMMYFUNCTION("""COMPUTED_VALUE"""),17.1)</f>
        <v>17.1</v>
      </c>
      <c r="W303" s="63">
        <f>IFERROR(__xludf.DUMMYFUNCTION("""COMPUTED_VALUE"""),117.58)</f>
        <v>117.58</v>
      </c>
      <c r="X303" s="59">
        <f>IFERROR(__xludf.DUMMYFUNCTION("""COMPUTED_VALUE"""),35.0)</f>
        <v>35</v>
      </c>
      <c r="Y303" s="59">
        <f>IFERROR(__xludf.DUMMYFUNCTION("""COMPUTED_VALUE"""),4.0)</f>
        <v>4</v>
      </c>
      <c r="Z303" s="59">
        <f>IFERROR(__xludf.DUMMYFUNCTION("""COMPUTED_VALUE"""),1.0)</f>
        <v>1</v>
      </c>
      <c r="AA303" s="59">
        <f>IFERROR(__xludf.DUMMYFUNCTION("""COMPUTED_VALUE"""),1.0)</f>
        <v>1</v>
      </c>
      <c r="AB303" s="64">
        <f>IFERROR(__xludf.DUMMYFUNCTION("""COMPUTED_VALUE"""),22.0)</f>
        <v>22</v>
      </c>
      <c r="AC303" s="62">
        <f>IFERROR(__xludf.DUMMYFUNCTION("""COMPUTED_VALUE"""),17.1)</f>
        <v>17.1</v>
      </c>
      <c r="AD303" s="62">
        <f>IFERROR(__xludf.DUMMYFUNCTION("""COMPUTED_VALUE"""),80.4)</f>
        <v>80.4</v>
      </c>
      <c r="AE303" s="62">
        <f>IFERROR(__xludf.DUMMYFUNCTION("""COMPUTED_VALUE"""),28.2)</f>
        <v>28.2</v>
      </c>
      <c r="AF303" s="55"/>
      <c r="AG303" s="55"/>
      <c r="AH303" s="55"/>
      <c r="AI303" s="55"/>
      <c r="AJ303" s="55"/>
      <c r="AK303" s="55"/>
      <c r="AL303" s="55"/>
      <c r="AM303" s="55" t="str">
        <f>IFERROR(__xludf.DUMMYFUNCTION("""COMPUTED_VALUE"""),"#MWePsoSx29J8k4Lvurnj3Kl6Yq1sx7gV6n2Fz0ztnFFhtMJNlgCpCHnYqF9jGog=")</f>
        <v>#MWePsoSx29J8k4Lvurnj3Kl6Yq1sx7gV6n2Fz0ztnFFhtMJNlgCpCHnYqF9jGog=</v>
      </c>
      <c r="AN303" s="55"/>
      <c r="AO303" s="58" t="str">
        <f>IFERROR(__xludf.DUMMYFUNCTION("""COMPUTED_VALUE"""),"https://us.brand.joinbrands.com/job/689561")</f>
        <v>https://us.brand.joinbrands.com/job/689561</v>
      </c>
      <c r="AP303" s="55" t="str">
        <f>IFERROR(__xludf.DUMMYFUNCTION("""COMPUTED_VALUE"""),"NA")</f>
        <v>NA</v>
      </c>
      <c r="AQ303" s="55" t="str">
        <f>IFERROR(__xludf.DUMMYFUNCTION("""COMPUTED_VALUE"""),"I found this coffee at target@vahdamusa @target #tiktikaffiliate #weeklydeals #tiktok #target")</f>
        <v>I found this coffee at target@vahdamusa @target #tiktikaffiliate #weeklydeals #tiktok #target</v>
      </c>
      <c r="AR303" s="55" t="str">
        <f>IFERROR(__xludf.DUMMYFUNCTION("""COMPUTED_VALUE"""),"Do you want your coffee to work as hard as you do?")</f>
        <v>Do you want your coffee to work as hard as you do?</v>
      </c>
      <c r="AS303" s="55" t="str">
        <f>IFERROR(__xludf.DUMMYFUNCTION("""COMPUTED_VALUE"""),"Curiosity / Question")</f>
        <v>Curiosity / Question</v>
      </c>
      <c r="AT303" s="55" t="str">
        <f>IFERROR(__xludf.DUMMYFUNCTION("""COMPUTED_VALUE"""),"• It's made with K S M66, ashwagandha, healthy amino turmeric, lions mane and chaga.
• This is the dam's ashwagandha coffee.
• This is how I've been staying focused and calm every day, and it tastes better than my favorite coffee.
• It's designed to suppo"&amp;"rt steady energy throughout the day and focus, and it does just that.")</f>
        <v>• It's made with K S M66, ashwagandha, healthy amino turmeric, lions mane and chaga.
• This is the dam's ashwagandha coffee.
• This is how I've been staying focused and calm every day, and it tastes better than my favorite coffee.
• It's designed to support steady energy throughout the day and focus, and it does just that.</v>
      </c>
      <c r="AU303" s="55" t="str">
        <f>IFERROR(__xludf.DUMMYFUNCTION("""COMPUTED_VALUE"""),"I encourage you to give it a try.")</f>
        <v>I encourage you to give it a try.</v>
      </c>
      <c r="AV303" s="55" t="str">
        <f>IFERROR(__xludf.DUMMYFUNCTION("""COMPUTED_VALUE"""),"Do you want your coffee to work as hard as you do? If you do, check out this coffee I found at target. This is the dam's ashwagandha coffee. It's made with K S M66, ashwagandha, healthy amino turmeric, lions mane and chaga. This is how I've been staying f"&amp;"ocused and calm every day, and it tastes better than my favorite coffee. It's designed to support steady energy throughout the day and focus, and it does just that. It does way more than just wake you up. A healthier coffee for a healthier you. Available "&amp;"at target and target.com. I encourage you to give it a try. It's delicious.")</f>
        <v>Do you want your coffee to work as hard as you do? If you do, check out this coffee I found at target. This is the dam's ashwagandha coffee. It's made with K S M66, ashwagandha, healthy amino turmeric, lions mane and chaga. This is how I've been staying focused and calm every day, and it tastes better than my favorite coffee. It's designed to support steady energy throughout the day and focus, and it does just that. It does way more than just wake you up. A healthier coffee for a healthier you. Available at target and target.com. I encourage you to give it a try. It's delicious.</v>
      </c>
      <c r="AW303" s="35"/>
      <c r="AX303" s="35"/>
      <c r="AY303" s="35"/>
      <c r="AZ303" s="35"/>
      <c r="BA303" s="35"/>
      <c r="BB303" s="35"/>
      <c r="BC303" s="35"/>
      <c r="BD303" s="35"/>
      <c r="BE303" s="35"/>
      <c r="BF303" s="35"/>
      <c r="BG303" s="35"/>
    </row>
    <row r="304" ht="15.75" customHeight="1">
      <c r="A304" s="55" t="str">
        <f>IFERROR(__xludf.DUMMYFUNCTION("""COMPUTED_VALUE"""),"Tiktok")</f>
        <v>Tiktok</v>
      </c>
      <c r="B304" s="56">
        <f>IFERROR(__xludf.DUMMYFUNCTION("""COMPUTED_VALUE"""),46195.0)</f>
        <v>46195</v>
      </c>
      <c r="C304" s="55" t="str">
        <f>IFERROR(__xludf.DUMMYFUNCTION("""COMPUTED_VALUE"""),"June")</f>
        <v>June</v>
      </c>
      <c r="D304" s="58" t="str">
        <f>IFERROR(__xludf.DUMMYFUNCTION("""COMPUTED_VALUE"""),"https://www.tiktok.com/@midwestmama888/video/7654302478107806989")</f>
        <v>https://www.tiktok.com/@midwestmama888/video/7654302478107806989</v>
      </c>
      <c r="E304" s="55" t="str">
        <f>IFERROR(__xludf.DUMMYFUNCTION("""COMPUTED_VALUE"""),"@midwestmama888")</f>
        <v>@midwestmama888</v>
      </c>
      <c r="F304" s="55" t="str">
        <f>IFERROR(__xludf.DUMMYFUNCTION("""COMPUTED_VALUE"""),"Jessica Wallner")</f>
        <v>Jessica Wallner</v>
      </c>
      <c r="G304" s="55" t="str">
        <f>IFERROR(__xludf.DUMMYFUNCTION("""COMPUTED_VALUE"""),"Taste")</f>
        <v>Taste</v>
      </c>
      <c r="H304" s="55">
        <f>IFERROR(__xludf.DUMMYFUNCTION("""COMPUTED_VALUE"""),69.0)</f>
        <v>69</v>
      </c>
      <c r="I304" s="55">
        <f>IFERROR(__xludf.DUMMYFUNCTION("""COMPUTED_VALUE"""),26.6)</f>
        <v>26.6</v>
      </c>
      <c r="J304" s="55" t="str">
        <f>IFERROR(__xludf.DUMMYFUNCTION("""COMPUTED_VALUE"""),"Yes – Recommend")</f>
        <v>Yes – Recommend</v>
      </c>
      <c r="K304" s="55" t="str">
        <f>IFERROR(__xludf.DUMMYFUNCTION("""COMPUTED_VALUE"""),"Review before running ads")</f>
        <v>Review before running ads</v>
      </c>
      <c r="L304" s="55" t="str">
        <f>IFERROR(__xludf.DUMMYFUNCTION("""COMPUTED_VALUE"""),"Score 30.1 ≥ 30; 6-sec 42.8% ≥ 25%")</f>
        <v>Score 30.1 ≥ 30; 6-sec 42.8% ≥ 25%</v>
      </c>
      <c r="M304" s="59" t="str">
        <f>IFERROR(__xludf.DUMMYFUNCTION("""COMPUTED_VALUE"""),"No Ad Data")</f>
        <v>No Ad Data</v>
      </c>
      <c r="N304" s="55"/>
      <c r="O304" s="55"/>
      <c r="P304" s="59">
        <f>IFERROR(__xludf.DUMMYFUNCTION("""COMPUTED_VALUE"""),15.0)</f>
        <v>15</v>
      </c>
      <c r="Q304" s="59">
        <f>IFERROR(__xludf.DUMMYFUNCTION("""COMPUTED_VALUE"""),7.0)</f>
        <v>7</v>
      </c>
      <c r="R304" s="59">
        <f>IFERROR(__xludf.DUMMYFUNCTION("""COMPUTED_VALUE"""),2.0)</f>
        <v>2</v>
      </c>
      <c r="S304" s="62">
        <f>IFERROR(__xludf.DUMMYFUNCTION("""COMPUTED_VALUE"""),80.9)</f>
        <v>80.9</v>
      </c>
      <c r="T304" s="62">
        <f>IFERROR(__xludf.DUMMYFUNCTION("""COMPUTED_VALUE"""),42.8)</f>
        <v>42.8</v>
      </c>
      <c r="U304" s="64">
        <f>IFERROR(__xludf.DUMMYFUNCTION("""COMPUTED_VALUE"""),9.0)</f>
        <v>9</v>
      </c>
      <c r="V304" s="62">
        <f>IFERROR(__xludf.DUMMYFUNCTION("""COMPUTED_VALUE"""),86.6)</f>
        <v>86.6</v>
      </c>
      <c r="W304" s="63">
        <f>IFERROR(__xludf.DUMMYFUNCTION("""COMPUTED_VALUE"""),117.58)</f>
        <v>117.58</v>
      </c>
      <c r="X304" s="59">
        <f>IFERROR(__xludf.DUMMYFUNCTION("""COMPUTED_VALUE"""),15.0)</f>
        <v>15</v>
      </c>
      <c r="Y304" s="59">
        <f>IFERROR(__xludf.DUMMYFUNCTION("""COMPUTED_VALUE"""),7.0)</f>
        <v>7</v>
      </c>
      <c r="Z304" s="59">
        <f>IFERROR(__xludf.DUMMYFUNCTION("""COMPUTED_VALUE"""),2.0)</f>
        <v>2</v>
      </c>
      <c r="AA304" s="59">
        <f>IFERROR(__xludf.DUMMYFUNCTION("""COMPUTED_VALUE"""),4.0)</f>
        <v>4</v>
      </c>
      <c r="AB304" s="64">
        <f>IFERROR(__xludf.DUMMYFUNCTION("""COMPUTED_VALUE"""),9.0)</f>
        <v>9</v>
      </c>
      <c r="AC304" s="62">
        <f>IFERROR(__xludf.DUMMYFUNCTION("""COMPUTED_VALUE"""),86.6)</f>
        <v>86.6</v>
      </c>
      <c r="AD304" s="62">
        <f>IFERROR(__xludf.DUMMYFUNCTION("""COMPUTED_VALUE"""),80.9)</f>
        <v>80.9</v>
      </c>
      <c r="AE304" s="62">
        <f>IFERROR(__xludf.DUMMYFUNCTION("""COMPUTED_VALUE"""),42.8)</f>
        <v>42.8</v>
      </c>
      <c r="AF304" s="55"/>
      <c r="AG304" s="55"/>
      <c r="AH304" s="55"/>
      <c r="AI304" s="55"/>
      <c r="AJ304" s="55"/>
      <c r="AK304" s="55"/>
      <c r="AL304" s="55"/>
      <c r="AM304" s="55" t="str">
        <f>IFERROR(__xludf.DUMMYFUNCTION("""COMPUTED_VALUE"""),"#Y2XJaE39pNM8flRK/Sc3qIsnBdDPzL89agSMzYfzr5kxjSdaXuckPsJgENzSdoY=")</f>
        <v>#Y2XJaE39pNM8flRK/Sc3qIsnBdDPzL89agSMzYfzr5kxjSdaXuckPsJgENzSdoY=</v>
      </c>
      <c r="AN304" s="55"/>
      <c r="AO304" s="58" t="str">
        <f>IFERROR(__xludf.DUMMYFUNCTION("""COMPUTED_VALUE"""),"https://us.brand.joinbrands.com/job/691427")</f>
        <v>https://us.brand.joinbrands.com/job/691427</v>
      </c>
      <c r="AP304" s="55" t="str">
        <f>IFERROR(__xludf.DUMMYFUNCTION("""COMPUTED_VALUE"""),"NA")</f>
        <v>NA</v>
      </c>
      <c r="AQ304" s="55" t="str">
        <f>IFERROR(__xludf.DUMMYFUNCTION("""COMPUTED_VALUE"""),"VAHDAM Ashwagandha Medium Roast Calm Energy and Focus Support Instant Coffee - 2.11oz #mushroomcoffee #ashwagandha #lionsmane #chaga #coffee @VAHDAM USA @target")</f>
        <v>VAHDAM Ashwagandha Medium Roast Calm Energy and Focus Support Instant Coffee - 2.11oz #mushroomcoffee #ashwagandha #lionsmane #chaga #coffee @VAHDAM USA @target</v>
      </c>
      <c r="AR304" s="55" t="str">
        <f>IFERROR(__xludf.DUMMYFUNCTION("""COMPUTED_VALUE"""),"Wait, your coffee doesn't have to leave you feeling wired and exhausted at the same time?")</f>
        <v>Wait, your coffee doesn't have to leave you feeling wired and exhausted at the same time?</v>
      </c>
      <c r="AS304" s="55" t="str">
        <f>IFERROR(__xludf.DUMMYFUNCTION("""COMPUTED_VALUE"""),"Curiosity / Question")</f>
        <v>Curiosity / Question</v>
      </c>
      <c r="AT304" s="55" t="str">
        <f>IFERROR(__xludf.DUMMYFUNCTION("""COMPUTED_VALUE"""),"• Vadam ashwagandha coffee and 2 cups daily will give you the 300 mg of the KSM66 Ashwagandha root extract, plus 200 mg of L Theanine, Turmeric, Lions mane, and chaga.
• It's made with coffee plus ashwagandha, Althea, Lion's mane, chaga, and turmeric all "&amp;"in one cup.
• I used to think that jitters, drinking coffee all day long, and the afternoon crash were just a part of drinking coffee.
• Now I get to enjoy my morning coffee while supporting calmer, more balanced energy throughout the day thanks to this.")</f>
        <v>• Vadam ashwagandha coffee and 2 cups daily will give you the 300 mg of the KSM66 Ashwagandha root extract, plus 200 mg of L Theanine, Turmeric, Lions mane, and chaga.
• It's made with coffee plus ashwagandha, Althea, Lion's mane, chaga, and turmeric all in one cup.
• I used to think that jitters, drinking coffee all day long, and the afternoon crash were just a part of drinking coffee.
• Now I get to enjoy my morning coffee while supporting calmer, more balanced energy throughout the day thanks to this.</v>
      </c>
      <c r="AU304" s="55" t="str">
        <f>IFERROR(__xludf.DUMMYFUNCTION("""COMPUTED_VALUE"""),"Grab yours today.")</f>
        <v>Grab yours today.</v>
      </c>
      <c r="AV304" s="55" t="str">
        <f>IFERROR(__xludf.DUMMYFUNCTION("""COMPUTED_VALUE"""),"Wait, your coffee doesn't have to leave you feeling wired and exhausted at the same time? I used to think that jitters, drinking coffee all day long, and the afternoon crash were just a part of drinking coffee. Then I found this Vadam Ashwagandha coffee, "&amp;"and it's been a game changer. So let's make one. I absolutely love that it comes with a little scoop, so you don't have to worry about measuring anything like that. So we're gonna put it in a little bit of hot water, and then I'm gonna mix it up. You actu"&amp;"ally don't need the frother. It mixes really well. But I like to. And I just add a little bit of creamer and milk. You can drink it hot or iced. It's made with coffee plus ashwagandha, Althea, Lion's mane, chaga, and turmeric all in one cup. Now I get to "&amp;"enjoy my morning coffee while supporting calmer, more balanced energy throughout the day thanks to this. Vadam ashwagandha coffee and 2 cups daily will give you the 300 mg of the KSM66 Ashwagandha root extract, plus 200 mg of L Theanine, Turmeric, Lions m"&amp;"ane, and chaga. The best part is it actually tastes like coffee. No weird wellness drink vibes. You know what I'm talking about. This is easily become one of my new favorite coffees. Grab yours today. Have a good day.")</f>
        <v>Wait, your coffee doesn't have to leave you feeling wired and exhausted at the same time? I used to think that jitters, drinking coffee all day long, and the afternoon crash were just a part of drinking coffee. Then I found this Vadam Ashwagandha coffee, and it's been a game changer. So let's make one. I absolutely love that it comes with a little scoop, so you don't have to worry about measuring anything like that. So we're gonna put it in a little bit of hot water, and then I'm gonna mix it up. You actually don't need the frother. It mixes really well. But I like to. And I just add a little bit of creamer and milk. You can drink it hot or iced. It's made with coffee plus ashwagandha, Althea, Lion's mane, chaga, and turmeric all in one cup. Now I get to enjoy my morning coffee while supporting calmer, more balanced energy throughout the day thanks to this. Vadam ashwagandha coffee and 2 cups daily will give you the 300 mg of the KSM66 Ashwagandha root extract, plus 200 mg of L Theanine, Turmeric, Lions mane, and chaga. The best part is it actually tastes like coffee. No weird wellness drink vibes. You know what I'm talking about. This is easily become one of my new favorite coffees. Grab yours today. Have a good day.</v>
      </c>
      <c r="AW304" s="35"/>
      <c r="AX304" s="35"/>
      <c r="AY304" s="35"/>
      <c r="AZ304" s="35"/>
      <c r="BA304" s="35"/>
      <c r="BB304" s="35"/>
      <c r="BC304" s="35"/>
      <c r="BD304" s="35"/>
      <c r="BE304" s="35"/>
      <c r="BF304" s="35"/>
      <c r="BG304" s="35"/>
    </row>
    <row r="305" ht="15.75" customHeight="1">
      <c r="A305" s="55" t="str">
        <f>IFERROR(__xludf.DUMMYFUNCTION("""COMPUTED_VALUE"""),"Instagram")</f>
        <v>Instagram</v>
      </c>
      <c r="B305" s="56">
        <f>IFERROR(__xludf.DUMMYFUNCTION("""COMPUTED_VALUE"""),46198.0)</f>
        <v>46198</v>
      </c>
      <c r="C305" s="55" t="str">
        <f>IFERROR(__xludf.DUMMYFUNCTION("""COMPUTED_VALUE"""),"June")</f>
        <v>June</v>
      </c>
      <c r="D305" s="58" t="str">
        <f>IFERROR(__xludf.DUMMYFUNCTION("""COMPUTED_VALUE"""),"https://www.instagram.com/reel/DZ-mXIyO5s6/")</f>
        <v>https://www.instagram.com/reel/DZ-mXIyO5s6/</v>
      </c>
      <c r="E305" s="55" t="str">
        <f>IFERROR(__xludf.DUMMYFUNCTION("""COMPUTED_VALUE"""),"ricthelisouza")</f>
        <v>ricthelisouza</v>
      </c>
      <c r="F305" s="55" t="str">
        <f>IFERROR(__xludf.DUMMYFUNCTION("""COMPUTED_VALUE"""),"NA")</f>
        <v>NA</v>
      </c>
      <c r="G305" s="55" t="str">
        <f>IFERROR(__xludf.DUMMYFUNCTION("""COMPUTED_VALUE"""),"Taste")</f>
        <v>Taste</v>
      </c>
      <c r="H305" s="55" t="str">
        <f>IFERROR(__xludf.DUMMYFUNCTION("""COMPUTED_VALUE"""),"NA")</f>
        <v>NA</v>
      </c>
      <c r="I305" s="55">
        <f>IFERROR(__xludf.DUMMYFUNCTION("""COMPUTED_VALUE"""),61.5)</f>
        <v>61.5</v>
      </c>
      <c r="J305" s="55" t="str">
        <f>IFERROR(__xludf.DUMMYFUNCTION("""COMPUTED_VALUE"""),"Yes – Recommend")</f>
        <v>Yes – Recommend</v>
      </c>
      <c r="K305" s="55" t="str">
        <f>IFERROR(__xludf.DUMMYFUNCTION("""COMPUTED_VALUE"""),"Yes")</f>
        <v>Yes</v>
      </c>
      <c r="L305" s="55" t="str">
        <f>IFERROR(__xludf.DUMMYFUNCTION("""COMPUTED_VALUE"""),"Score 65.1 ≥ 20 threshold")</f>
        <v>Score 65.1 ≥ 20 threshold</v>
      </c>
      <c r="M305" s="59" t="str">
        <f>IFERROR(__xludf.DUMMYFUNCTION("""COMPUTED_VALUE"""),"No Ad Data")</f>
        <v>No Ad Data</v>
      </c>
      <c r="N305" s="55" t="str">
        <f>IFERROR(__xludf.DUMMYFUNCTION("""COMPUTED_VALUE"""),"17UGC-Taste-CTA-ricthelisouza")</f>
        <v>17UGC-Taste-CTA-ricthelisouza</v>
      </c>
      <c r="O305" s="58" t="str">
        <f>IFERROR(__xludf.DUMMYFUNCTION("""COMPUTED_VALUE"""),"https://buy.vahdam.com/coffee-cta-ugc-taste")</f>
        <v>https://buy.vahdam.com/coffee-cta-ugc-taste</v>
      </c>
      <c r="P305" s="59">
        <f>IFERROR(__xludf.DUMMYFUNCTION("""COMPUTED_VALUE"""),4744.0)</f>
        <v>4744</v>
      </c>
      <c r="Q305" s="59">
        <f>IFERROR(__xludf.DUMMYFUNCTION("""COMPUTED_VALUE"""),184.0)</f>
        <v>184</v>
      </c>
      <c r="R305" s="59">
        <f>IFERROR(__xludf.DUMMYFUNCTION("""COMPUTED_VALUE"""),2.0)</f>
        <v>2</v>
      </c>
      <c r="S305" s="55"/>
      <c r="T305" s="68">
        <f>IFERROR(__xludf.DUMMYFUNCTION("""COMPUTED_VALUE"""),0.0)</f>
        <v>0</v>
      </c>
      <c r="U305" s="55"/>
      <c r="V305" s="62">
        <f>IFERROR(__xludf.DUMMYFUNCTION("""COMPUTED_VALUE"""),0.0)</f>
        <v>0</v>
      </c>
      <c r="W305" s="63">
        <f>IFERROR(__xludf.DUMMYFUNCTION("""COMPUTED_VALUE"""),117.58)</f>
        <v>117.58</v>
      </c>
      <c r="X305" s="59">
        <f>IFERROR(__xludf.DUMMYFUNCTION("""COMPUTED_VALUE"""),1.0)</f>
        <v>1</v>
      </c>
      <c r="Y305" s="59">
        <f>IFERROR(__xludf.DUMMYFUNCTION("""COMPUTED_VALUE"""),184.0)</f>
        <v>184</v>
      </c>
      <c r="Z305" s="59">
        <f>IFERROR(__xludf.DUMMYFUNCTION("""COMPUTED_VALUE"""),2.0)</f>
        <v>2</v>
      </c>
      <c r="AA305" s="59">
        <f>IFERROR(__xludf.DUMMYFUNCTION("""COMPUTED_VALUE"""),0.0)</f>
        <v>0</v>
      </c>
      <c r="AB305" s="64">
        <f>IFERROR(__xludf.DUMMYFUNCTION("""COMPUTED_VALUE"""),0.0)</f>
        <v>0</v>
      </c>
      <c r="AC305" s="62">
        <f>IFERROR(__xludf.DUMMYFUNCTION("""COMPUTED_VALUE"""),0.0)</f>
        <v>0</v>
      </c>
      <c r="AD305" s="62">
        <f>IFERROR(__xludf.DUMMYFUNCTION("""COMPUTED_VALUE"""),0.0)</f>
        <v>0</v>
      </c>
      <c r="AE305" s="62">
        <f>IFERROR(__xludf.DUMMYFUNCTION("""COMPUTED_VALUE"""),0.0)</f>
        <v>0</v>
      </c>
      <c r="AF305" s="55"/>
      <c r="AG305" s="55"/>
      <c r="AH305" s="55"/>
      <c r="AI305" s="55"/>
      <c r="AJ305" s="55"/>
      <c r="AK305" s="55"/>
      <c r="AL305" s="55"/>
      <c r="AM305" s="55" t="str">
        <f>IFERROR(__xludf.DUMMYFUNCTION("""COMPUTED_VALUE"""),"Q9jTBBVzek0Z2eAMIxOJo5L2-NAIDzbXBVAfOP8tKEQe2VJkc3_17WmQ2YoncObavtg")</f>
        <v>Q9jTBBVzek0Z2eAMIxOJo5L2-NAIDzbXBVAfOP8tKEQe2VJkc3_17WmQ2YoncObavtg</v>
      </c>
      <c r="AN305" s="55"/>
      <c r="AO305" s="55" t="str">
        <f>IFERROR(__xludf.DUMMYFUNCTION("""COMPUTED_VALUE"""),"NA")</f>
        <v>NA</v>
      </c>
      <c r="AP305" s="55" t="str">
        <f>IFERROR(__xludf.DUMMYFUNCTION("""COMPUTED_VALUE"""),"NA")</f>
        <v>NA</v>
      </c>
      <c r="AQ305" s="55" t="str">
        <f>IFERROR(__xludf.DUMMYFUNCTION("""COMPUTED_VALUE"""),"NA")</f>
        <v>NA</v>
      </c>
      <c r="AR305" s="55" t="str">
        <f>IFERROR(__xludf.DUMMYFUNCTION("""COMPUTED_VALUE"""),"NA")</f>
        <v>NA</v>
      </c>
      <c r="AS305" s="55" t="str">
        <f>IFERROR(__xludf.DUMMYFUNCTION("""COMPUTED_VALUE"""),"NA")</f>
        <v>NA</v>
      </c>
      <c r="AT305" s="55" t="str">
        <f>IFERROR(__xludf.DUMMYFUNCTION("""COMPUTED_VALUE"""),"NA")</f>
        <v>NA</v>
      </c>
      <c r="AU305" s="55" t="str">
        <f>IFERROR(__xludf.DUMMYFUNCTION("""COMPUTED_VALUE"""),"NA")</f>
        <v>NA</v>
      </c>
      <c r="AV305" s="55"/>
      <c r="AW305" s="35"/>
      <c r="AX305" s="35"/>
      <c r="AY305" s="35"/>
      <c r="AZ305" s="35"/>
      <c r="BA305" s="35"/>
      <c r="BB305" s="35"/>
      <c r="BC305" s="35"/>
      <c r="BD305" s="35"/>
      <c r="BE305" s="35"/>
      <c r="BF305" s="35"/>
      <c r="BG305" s="35"/>
    </row>
    <row r="306" ht="15.75" customHeight="1">
      <c r="A306" s="55" t="str">
        <f>IFERROR(__xludf.DUMMYFUNCTION("""COMPUTED_VALUE"""),"Tiktok")</f>
        <v>Tiktok</v>
      </c>
      <c r="B306" s="56">
        <f>IFERROR(__xludf.DUMMYFUNCTION("""COMPUTED_VALUE"""),46192.0)</f>
        <v>46192</v>
      </c>
      <c r="C306" s="55" t="str">
        <f>IFERROR(__xludf.DUMMYFUNCTION("""COMPUTED_VALUE"""),"June")</f>
        <v>June</v>
      </c>
      <c r="D306" s="58" t="str">
        <f>IFERROR(__xludf.DUMMYFUNCTION("""COMPUTED_VALUE"""),"https://www.tiktok.com/@lyndsiweiseofficial/video/7652931119288945951")</f>
        <v>https://www.tiktok.com/@lyndsiweiseofficial/video/7652931119288945951</v>
      </c>
      <c r="E306" s="55" t="str">
        <f>IFERROR(__xludf.DUMMYFUNCTION("""COMPUTED_VALUE"""),"@lyndsiweiseofficial")</f>
        <v>@lyndsiweiseofficial</v>
      </c>
      <c r="F306" s="55" t="str">
        <f>IFERROR(__xludf.DUMMYFUNCTION("""COMPUTED_VALUE"""),"Lyndsi Weise")</f>
        <v>Lyndsi Weise</v>
      </c>
      <c r="G306" s="55" t="str">
        <f>IFERROR(__xludf.DUMMYFUNCTION("""COMPUTED_VALUE"""),"Over 40/ High Performer")</f>
        <v>Over 40/ High Performer</v>
      </c>
      <c r="H306" s="55">
        <f>IFERROR(__xludf.DUMMYFUNCTION("""COMPUTED_VALUE"""),41.0)</f>
        <v>41</v>
      </c>
      <c r="I306" s="55">
        <f>IFERROR(__xludf.DUMMYFUNCTION("""COMPUTED_VALUE"""),18.0)</f>
        <v>18</v>
      </c>
      <c r="J306" s="55" t="str">
        <f>IFERROR(__xludf.DUMMYFUNCTION("""COMPUTED_VALUE"""),"Yes – Recommend")</f>
        <v>Yes – Recommend</v>
      </c>
      <c r="K306" s="55" t="str">
        <f>IFERROR(__xludf.DUMMYFUNCTION("""COMPUTED_VALUE"""),"Review before running ads")</f>
        <v>Review before running ads</v>
      </c>
      <c r="L306" s="55" t="str">
        <f>IFERROR(__xludf.DUMMYFUNCTION("""COMPUTED_VALUE"""),"6-sec 60.0% ≥ 25%")</f>
        <v>6-sec 60.0% ≥ 25%</v>
      </c>
      <c r="M306" s="59" t="str">
        <f>IFERROR(__xludf.DUMMYFUNCTION("""COMPUTED_VALUE"""),"No Ad Data")</f>
        <v>No Ad Data</v>
      </c>
      <c r="N306" s="55"/>
      <c r="O306" s="55"/>
      <c r="P306" s="59">
        <f>IFERROR(__xludf.DUMMYFUNCTION("""COMPUTED_VALUE"""),0.0)</f>
        <v>0</v>
      </c>
      <c r="Q306" s="59">
        <f>IFERROR(__xludf.DUMMYFUNCTION("""COMPUTED_VALUE"""),0.0)</f>
        <v>0</v>
      </c>
      <c r="R306" s="59">
        <f>IFERROR(__xludf.DUMMYFUNCTION("""COMPUTED_VALUE"""),0.0)</f>
        <v>0</v>
      </c>
      <c r="S306" s="62">
        <f>IFERROR(__xludf.DUMMYFUNCTION("""COMPUTED_VALUE"""),80.0)</f>
        <v>80</v>
      </c>
      <c r="T306" s="62">
        <f>IFERROR(__xludf.DUMMYFUNCTION("""COMPUTED_VALUE"""),60.0)</f>
        <v>60</v>
      </c>
      <c r="U306" s="64">
        <f>IFERROR(__xludf.DUMMYFUNCTION("""COMPUTED_VALUE"""),1.0)</f>
        <v>1</v>
      </c>
      <c r="V306" s="62">
        <f>IFERROR(__xludf.DUMMYFUNCTION("""COMPUTED_VALUE"""),33.300000000000004)</f>
        <v>33.3</v>
      </c>
      <c r="W306" s="63">
        <f>IFERROR(__xludf.DUMMYFUNCTION("""COMPUTED_VALUE"""),117.58)</f>
        <v>117.58</v>
      </c>
      <c r="X306" s="59">
        <f>IFERROR(__xludf.DUMMYFUNCTION("""COMPUTED_VALUE"""),0.0)</f>
        <v>0</v>
      </c>
      <c r="Y306" s="59">
        <f>IFERROR(__xludf.DUMMYFUNCTION("""COMPUTED_VALUE"""),0.0)</f>
        <v>0</v>
      </c>
      <c r="Z306" s="59">
        <f>IFERROR(__xludf.DUMMYFUNCTION("""COMPUTED_VALUE"""),0.0)</f>
        <v>0</v>
      </c>
      <c r="AA306" s="59">
        <f>IFERROR(__xludf.DUMMYFUNCTION("""COMPUTED_VALUE"""),0.0)</f>
        <v>0</v>
      </c>
      <c r="AB306" s="64">
        <f>IFERROR(__xludf.DUMMYFUNCTION("""COMPUTED_VALUE"""),1.0)</f>
        <v>1</v>
      </c>
      <c r="AC306" s="62">
        <f>IFERROR(__xludf.DUMMYFUNCTION("""COMPUTED_VALUE"""),0.0)</f>
        <v>0</v>
      </c>
      <c r="AD306" s="62">
        <f>IFERROR(__xludf.DUMMYFUNCTION("""COMPUTED_VALUE"""),80.0)</f>
        <v>80</v>
      </c>
      <c r="AE306" s="62">
        <f>IFERROR(__xludf.DUMMYFUNCTION("""COMPUTED_VALUE"""),60.0)</f>
        <v>60</v>
      </c>
      <c r="AF306" s="55"/>
      <c r="AG306" s="55"/>
      <c r="AH306" s="55"/>
      <c r="AI306" s="55"/>
      <c r="AJ306" s="55"/>
      <c r="AK306" s="55"/>
      <c r="AL306" s="55"/>
      <c r="AM306" s="55" t="str">
        <f>IFERROR(__xludf.DUMMYFUNCTION("""COMPUTED_VALUE"""),"#Vdf7Z3j80IIvymfnuuAoYOKJrSZNoEKsdzos0f+RXbOIs9WGywi6ZTGQum0/Mms=")</f>
        <v>#Vdf7Z3j80IIvymfnuuAoYOKJrSZNoEKsdzos0f+RXbOIs9WGywi6ZTGQum0/Mms=</v>
      </c>
      <c r="AN306" s="55"/>
      <c r="AO306" s="58" t="str">
        <f>IFERROR(__xludf.DUMMYFUNCTION("""COMPUTED_VALUE"""),"https://us.brand.joinbrands.com/job/690401")</f>
        <v>https://us.brand.joinbrands.com/job/690401</v>
      </c>
      <c r="AP306" s="55" t="str">
        <f>IFERROR(__xludf.DUMMYFUNCTION("""COMPUTED_VALUE"""),"Not great")</f>
        <v>Not great</v>
      </c>
      <c r="AQ306" s="55" t="str">
        <f>IFERROR(__xludf.DUMMYFUNCTION("""COMPUTED_VALUE"""),"New Ashwagandha coffee now found in Target @target @VAHDAM USA")</f>
        <v>New Ashwagandha coffee now found in Target @target @VAHDAM USA</v>
      </c>
      <c r="AR306" s="55" t="str">
        <f>IFERROR(__xludf.DUMMYFUNCTION("""COMPUTED_VALUE"""),"you dealing with stubborn weight gain after 40, this is for you.")</f>
        <v>you dealing with stubborn weight gain after 40, this is for you.</v>
      </c>
      <c r="AS306" s="55" t="str">
        <f>IFERROR(__xludf.DUMMYFUNCTION("""COMPUTED_VALUE"""),"Age / Life Stage")</f>
        <v>Age / Life Stage</v>
      </c>
      <c r="AT306" s="55" t="str">
        <f>IFERROR(__xludf.DUMMYFUNCTION("""COMPUTED_VALUE"""),"• 100% premium Arabica instant coffee, L-theanine, functional mushrooms, ashwagandha, and turmeric.
• I upgraded my coffee to a smarter wellness coffee that gives me calmer energy, no jitters, no crash, and it tastes amazing.
• This upgraded coffee includ"&amp;"es five wellness ingredients in one cup.
• This is the first coffee to support your cortisol levels and now you can find it in Target.")</f>
        <v>• 100% premium Arabica instant coffee, L-theanine, functional mushrooms, ashwagandha, and turmeric.
• I upgraded my coffee to a smarter wellness coffee that gives me calmer energy, no jitters, no crash, and it tastes amazing.
• This upgraded coffee includes five wellness ingredients in one cup.
• This is the first coffee to support your cortisol levels and now you can find it in Target.</v>
      </c>
      <c r="AU306" s="55" t="str">
        <f>IFERROR(__xludf.DUMMYFUNCTION("""COMPUTED_VALUE"""),"Grab it at Target.")</f>
        <v>Grab it at Target.</v>
      </c>
      <c r="AV306" s="55" t="str">
        <f>IFERROR(__xludf.DUMMYFUNCTION("""COMPUTED_VALUE"""),"you dealing with stubborn weight gain after 40, this is for you. I upgraded my coffee to a smarter wellness coffee that gives me calmer energy, no jitters, no crash, and it tastes amazing. This is the first coffee to support your cortisol levels and now y"&amp;"ou can find it in Target. This upgraded coffee includes five wellness ingredients in one cup. 100% premium Arabica instant coffee, L-theanine, functional mushrooms, ashwagandha, and turmeric. Let's try it together. It tastes so good and better than other "&amp;"coffee. Grab it at Target.")</f>
        <v>you dealing with stubborn weight gain after 40, this is for you. I upgraded my coffee to a smarter wellness coffee that gives me calmer energy, no jitters, no crash, and it tastes amazing. This is the first coffee to support your cortisol levels and now you can find it in Target. This upgraded coffee includes five wellness ingredients in one cup. 100% premium Arabica instant coffee, L-theanine, functional mushrooms, ashwagandha, and turmeric. Let's try it together. It tastes so good and better than other coffee. Grab it at Target.</v>
      </c>
      <c r="AW306" s="35"/>
      <c r="AX306" s="35"/>
      <c r="AY306" s="35"/>
      <c r="AZ306" s="35"/>
      <c r="BA306" s="35"/>
      <c r="BB306" s="35"/>
      <c r="BC306" s="35"/>
      <c r="BD306" s="35"/>
      <c r="BE306" s="35"/>
      <c r="BF306" s="35"/>
      <c r="BG306" s="35"/>
    </row>
    <row r="307" ht="15.75" customHeight="1">
      <c r="A307" s="55" t="str">
        <f>IFERROR(__xludf.DUMMYFUNCTION("""COMPUTED_VALUE"""),"Instagram")</f>
        <v>Instagram</v>
      </c>
      <c r="B307" s="56">
        <f>IFERROR(__xludf.DUMMYFUNCTION("""COMPUTED_VALUE"""),46208.0)</f>
        <v>46208</v>
      </c>
      <c r="C307" s="55" t="str">
        <f>IFERROR(__xludf.DUMMYFUNCTION("""COMPUTED_VALUE"""),"July")</f>
        <v>July</v>
      </c>
      <c r="D307" s="58" t="str">
        <f>IFERROR(__xludf.DUMMYFUNCTION("""COMPUTED_VALUE"""),"https://www.instagram.com/reel/DaZM5W3uxtW/")</f>
        <v>https://www.instagram.com/reel/DaZM5W3uxtW/</v>
      </c>
      <c r="E307" s="55" t="str">
        <f>IFERROR(__xludf.DUMMYFUNCTION("""COMPUTED_VALUE"""),"@na")</f>
        <v>@na</v>
      </c>
      <c r="F307" s="55"/>
      <c r="G307" s="55" t="str">
        <f>IFERROR(__xludf.DUMMYFUNCTION("""COMPUTED_VALUE"""),"Gummies vs Coffee")</f>
        <v>Gummies vs Coffee</v>
      </c>
      <c r="H307" s="55"/>
      <c r="I307" s="55">
        <f>IFERROR(__xludf.DUMMYFUNCTION("""COMPUTED_VALUE"""),32.8)</f>
        <v>32.8</v>
      </c>
      <c r="J307" s="55" t="str">
        <f>IFERROR(__xludf.DUMMYFUNCTION("""COMPUTED_VALUE"""),"Yes – Recommend")</f>
        <v>Yes – Recommend</v>
      </c>
      <c r="K307" s="55" t="str">
        <f>IFERROR(__xludf.DUMMYFUNCTION("""COMPUTED_VALUE"""),"No")</f>
        <v>No</v>
      </c>
      <c r="L307" s="55" t="str">
        <f>IFERROR(__xludf.DUMMYFUNCTION("""COMPUTED_VALUE"""),"Score 34.2 ≥ 20 threshold")</f>
        <v>Score 34.2 ≥ 20 threshold</v>
      </c>
      <c r="M307" s="55" t="str">
        <f>IFERROR(__xludf.DUMMYFUNCTION("""COMPUTED_VALUE"""),"No Ad Data")</f>
        <v>No Ad Data</v>
      </c>
      <c r="N307" s="55" t="str">
        <f>IFERROR(__xludf.DUMMYFUNCTION("""COMPUTED_VALUE"""),"Skip")</f>
        <v>Skip</v>
      </c>
      <c r="O307" s="55"/>
      <c r="P307" s="55">
        <f>IFERROR(__xludf.DUMMYFUNCTION("""COMPUTED_VALUE"""),564.0)</f>
        <v>564</v>
      </c>
      <c r="Q307" s="55">
        <f>IFERROR(__xludf.DUMMYFUNCTION("""COMPUTED_VALUE"""),7.0)</f>
        <v>7</v>
      </c>
      <c r="R307" s="55"/>
      <c r="S307" s="55"/>
      <c r="T307" s="55"/>
      <c r="U307" s="55"/>
      <c r="V307" s="55"/>
      <c r="W307" s="55">
        <f>IFERROR(__xludf.DUMMYFUNCTION("""COMPUTED_VALUE"""),72.99)</f>
        <v>72.99</v>
      </c>
      <c r="X307" s="55"/>
      <c r="Y307" s="55"/>
      <c r="Z307" s="55"/>
      <c r="AA307" s="55"/>
      <c r="AB307" s="55"/>
      <c r="AC307" s="55"/>
      <c r="AD307" s="55"/>
      <c r="AE307" s="55"/>
      <c r="AF307" s="55"/>
      <c r="AG307" s="55"/>
      <c r="AH307" s="55"/>
      <c r="AI307" s="55"/>
      <c r="AJ307" s="55"/>
      <c r="AK307" s="55"/>
      <c r="AL307" s="55"/>
      <c r="AM307" s="55"/>
      <c r="AN307" s="55"/>
      <c r="AO307" s="55"/>
      <c r="AP307" s="55"/>
      <c r="AQ307" s="55"/>
      <c r="AR307" s="55"/>
      <c r="AS307" s="55"/>
      <c r="AT307" s="55"/>
      <c r="AU307" s="55"/>
      <c r="AV307" s="55"/>
      <c r="AW307" s="35"/>
      <c r="AX307" s="35"/>
      <c r="AY307" s="35"/>
      <c r="AZ307" s="35"/>
      <c r="BA307" s="35"/>
      <c r="BB307" s="35"/>
      <c r="BC307" s="35"/>
      <c r="BD307" s="35"/>
      <c r="BE307" s="35"/>
      <c r="BF307" s="35"/>
      <c r="BG307" s="35"/>
    </row>
    <row r="308" ht="15.75" customHeight="1">
      <c r="A308" s="55" t="str">
        <f>IFERROR(__xludf.DUMMYFUNCTION("""COMPUTED_VALUE"""),"Instagram")</f>
        <v>Instagram</v>
      </c>
      <c r="B308" s="56">
        <f>IFERROR(__xludf.DUMMYFUNCTION("""COMPUTED_VALUE"""),46216.0)</f>
        <v>46216</v>
      </c>
      <c r="C308" s="55" t="str">
        <f>IFERROR(__xludf.DUMMYFUNCTION("""COMPUTED_VALUE"""),"July")</f>
        <v>July</v>
      </c>
      <c r="D308" s="58" t="str">
        <f>IFERROR(__xludf.DUMMYFUNCTION("""COMPUTED_VALUE"""),"https://www.instagram.com/reels/DavdW9Axd5J/")</f>
        <v>https://www.instagram.com/reels/DavdW9Axd5J/</v>
      </c>
      <c r="E308" s="55"/>
      <c r="F308" s="55"/>
      <c r="G308" s="55" t="str">
        <f>IFERROR(__xludf.DUMMYFUNCTION("""COMPUTED_VALUE"""),"Taste")</f>
        <v>Taste</v>
      </c>
      <c r="H308" s="55"/>
      <c r="I308" s="55">
        <f>IFERROR(__xludf.DUMMYFUNCTION("""COMPUTED_VALUE"""),68.5)</f>
        <v>68.5</v>
      </c>
      <c r="J308" s="55" t="str">
        <f>IFERROR(__xludf.DUMMYFUNCTION("""COMPUTED_VALUE"""),"Yes – Recommend")</f>
        <v>Yes – Recommend</v>
      </c>
      <c r="K308" s="55" t="str">
        <f>IFERROR(__xludf.DUMMYFUNCTION("""COMPUTED_VALUE"""),"No")</f>
        <v>No</v>
      </c>
      <c r="L308" s="55" t="str">
        <f>IFERROR(__xludf.DUMMYFUNCTION("""COMPUTED_VALUE"""),"Score 68.5 ≥ 20 threshold")</f>
        <v>Score 68.5 ≥ 20 threshold</v>
      </c>
      <c r="M308" s="55" t="str">
        <f>IFERROR(__xludf.DUMMYFUNCTION("""COMPUTED_VALUE"""),"No Ad Data")</f>
        <v>No Ad Data</v>
      </c>
      <c r="N308" s="55" t="str">
        <f>IFERROR(__xludf.DUMMYFUNCTION("""COMPUTED_VALUE"""),"Skip - bot/vfake views")</f>
        <v>Skip - bot/vfake views</v>
      </c>
      <c r="O308" s="55"/>
      <c r="P308" s="55">
        <f>IFERROR(__xludf.DUMMYFUNCTION("""COMPUTED_VALUE"""),35000.0)</f>
        <v>35000</v>
      </c>
      <c r="Q308" s="55">
        <f>IFERROR(__xludf.DUMMYFUNCTION("""COMPUTED_VALUE"""),372.0)</f>
        <v>372</v>
      </c>
      <c r="R308" s="55"/>
      <c r="S308" s="55"/>
      <c r="T308" s="55"/>
      <c r="U308" s="55"/>
      <c r="V308" s="55"/>
      <c r="W308" s="55">
        <f>IFERROR(__xludf.DUMMYFUNCTION("""COMPUTED_VALUE"""),117.58)</f>
        <v>117.58</v>
      </c>
      <c r="X308" s="55"/>
      <c r="Y308" s="55"/>
      <c r="Z308" s="55"/>
      <c r="AA308" s="55">
        <f>IFERROR(__xludf.DUMMYFUNCTION("""COMPUTED_VALUE"""),0.0)</f>
        <v>0</v>
      </c>
      <c r="AB308" s="55"/>
      <c r="AC308" s="55"/>
      <c r="AD308" s="55"/>
      <c r="AE308" s="55"/>
      <c r="AF308" s="55"/>
      <c r="AG308" s="55"/>
      <c r="AH308" s="55"/>
      <c r="AI308" s="55"/>
      <c r="AJ308" s="55"/>
      <c r="AK308" s="55"/>
      <c r="AL308" s="55"/>
      <c r="AM308" s="55" t="str">
        <f>IFERROR(__xludf.DUMMYFUNCTION("""COMPUTED_VALUE"""),"Q9jTBBaxvhJ1Kr-EpKyxYceN-A0PotRl0276UBlMP_zzbSuleFt21IUMhHAQKVr4dvw")</f>
        <v>Q9jTBBaxvhJ1Kr-EpKyxYceN-A0PotRl0276UBlMP_zzbSuleFt21IUMhHAQKVr4dvw</v>
      </c>
      <c r="AN308" s="55"/>
      <c r="AO308" s="55"/>
      <c r="AP308" s="55"/>
      <c r="AQ308" s="55"/>
      <c r="AR308" s="55"/>
      <c r="AS308" s="55"/>
      <c r="AT308" s="55"/>
      <c r="AU308" s="55"/>
      <c r="AV308" s="55"/>
      <c r="AW308" s="35"/>
      <c r="AX308" s="35"/>
      <c r="AY308" s="35"/>
      <c r="AZ308" s="35"/>
      <c r="BA308" s="35"/>
      <c r="BB308" s="35"/>
      <c r="BC308" s="35"/>
      <c r="BD308" s="35"/>
      <c r="BE308" s="35"/>
      <c r="BF308" s="35"/>
      <c r="BG308" s="35"/>
    </row>
    <row r="309" ht="15.75" customHeight="1">
      <c r="A309" s="55" t="str">
        <f>IFERROR(__xludf.DUMMYFUNCTION("""COMPUTED_VALUE"""),"Instagram")</f>
        <v>Instagram</v>
      </c>
      <c r="B309" s="56">
        <f>IFERROR(__xludf.DUMMYFUNCTION("""COMPUTED_VALUE"""),46204.0)</f>
        <v>46204</v>
      </c>
      <c r="C309" s="55" t="str">
        <f>IFERROR(__xludf.DUMMYFUNCTION("""COMPUTED_VALUE"""),"July")</f>
        <v>July</v>
      </c>
      <c r="D309" s="58" t="str">
        <f>IFERROR(__xludf.DUMMYFUNCTION("""COMPUTED_VALUE"""),"https://www.instagram.com/reel/DaQBeiMOSfo/")</f>
        <v>https://www.instagram.com/reel/DaQBeiMOSfo/</v>
      </c>
      <c r="E309" s="55" t="str">
        <f>IFERROR(__xludf.DUMMYFUNCTION("""COMPUTED_VALUE"""),"@na")</f>
        <v>@na</v>
      </c>
      <c r="F309" s="55"/>
      <c r="G309" s="55" t="str">
        <f>IFERROR(__xludf.DUMMYFUNCTION("""COMPUTED_VALUE"""),"Gummies vs Coffee")</f>
        <v>Gummies vs Coffee</v>
      </c>
      <c r="H309" s="55"/>
      <c r="I309" s="55">
        <f>IFERROR(__xludf.DUMMYFUNCTION("""COMPUTED_VALUE"""),44.5)</f>
        <v>44.5</v>
      </c>
      <c r="J309" s="55" t="str">
        <f>IFERROR(__xludf.DUMMYFUNCTION("""COMPUTED_VALUE"""),"Yes – Recommend")</f>
        <v>Yes – Recommend</v>
      </c>
      <c r="K309" s="55" t="str">
        <f>IFERROR(__xludf.DUMMYFUNCTION("""COMPUTED_VALUE"""),"No")</f>
        <v>No</v>
      </c>
      <c r="L309" s="55" t="str">
        <f>IFERROR(__xludf.DUMMYFUNCTION("""COMPUTED_VALUE"""),"Score 47.2 ≥ 20 threshold")</f>
        <v>Score 47.2 ≥ 20 threshold</v>
      </c>
      <c r="M309" s="55" t="str">
        <f>IFERROR(__xludf.DUMMYFUNCTION("""COMPUTED_VALUE"""),"No Ad Data")</f>
        <v>No Ad Data</v>
      </c>
      <c r="N309" s="55" t="str">
        <f>IFERROR(__xludf.DUMMYFUNCTION("""COMPUTED_VALUE"""),"Skip - not engaging")</f>
        <v>Skip - not engaging</v>
      </c>
      <c r="O309" s="55"/>
      <c r="P309" s="55">
        <f>IFERROR(__xludf.DUMMYFUNCTION("""COMPUTED_VALUE"""),831.0)</f>
        <v>831</v>
      </c>
      <c r="Q309" s="55">
        <f>IFERROR(__xludf.DUMMYFUNCTION("""COMPUTED_VALUE"""),48.0)</f>
        <v>48</v>
      </c>
      <c r="R309" s="55"/>
      <c r="S309" s="55"/>
      <c r="T309" s="55"/>
      <c r="U309" s="55"/>
      <c r="V309" s="55"/>
      <c r="W309" s="55">
        <f>IFERROR(__xludf.DUMMYFUNCTION("""COMPUTED_VALUE"""),72.99)</f>
        <v>72.99</v>
      </c>
      <c r="X309" s="55"/>
      <c r="Y309" s="55"/>
      <c r="Z309" s="55"/>
      <c r="AA309" s="55"/>
      <c r="AB309" s="55"/>
      <c r="AC309" s="55"/>
      <c r="AD309" s="55"/>
      <c r="AE309" s="55"/>
      <c r="AF309" s="55"/>
      <c r="AG309" s="55"/>
      <c r="AH309" s="55"/>
      <c r="AI309" s="55"/>
      <c r="AJ309" s="55"/>
      <c r="AK309" s="55"/>
      <c r="AL309" s="55"/>
      <c r="AM309" s="55" t="str">
        <f>IFERROR(__xludf.DUMMYFUNCTION("""COMPUTED_VALUE"""),"Q9jTBBUpsZcF4EhXEEh5QITegxpxh7r0QuwsWrgpEeOzgDf07xESdrjwC6Sfo8ew4ME")</f>
        <v>Q9jTBBUpsZcF4EhXEEh5QITegxpxh7r0QuwsWrgpEeOzgDf07xESdrjwC6Sfo8ew4ME</v>
      </c>
      <c r="AN309" s="55"/>
      <c r="AO309" s="55"/>
      <c r="AP309" s="55"/>
      <c r="AQ309" s="55"/>
      <c r="AR309" s="55"/>
      <c r="AS309" s="55"/>
      <c r="AT309" s="55"/>
      <c r="AU309" s="55"/>
      <c r="AV309" s="55"/>
      <c r="AW309" s="35"/>
      <c r="AX309" s="35"/>
      <c r="AY309" s="35"/>
      <c r="AZ309" s="35"/>
      <c r="BA309" s="35"/>
      <c r="BB309" s="35"/>
      <c r="BC309" s="35"/>
      <c r="BD309" s="35"/>
      <c r="BE309" s="35"/>
      <c r="BF309" s="35"/>
      <c r="BG309" s="35"/>
    </row>
    <row r="310" ht="15.75" customHeight="1">
      <c r="A310" s="55" t="str">
        <f>IFERROR(__xludf.DUMMYFUNCTION("""COMPUTED_VALUE"""),"Instagram")</f>
        <v>Instagram</v>
      </c>
      <c r="B310" s="56">
        <f>IFERROR(__xludf.DUMMYFUNCTION("""COMPUTED_VALUE"""),46212.0)</f>
        <v>46212</v>
      </c>
      <c r="C310" s="55" t="str">
        <f>IFERROR(__xludf.DUMMYFUNCTION("""COMPUTED_VALUE"""),"July")</f>
        <v>July</v>
      </c>
      <c r="D310" s="58" t="str">
        <f>IFERROR(__xludf.DUMMYFUNCTION("""COMPUTED_VALUE"""),"https://www.instagram.com/reels/Dak4bykSANO/")</f>
        <v>https://www.instagram.com/reels/Dak4bykSANO/</v>
      </c>
      <c r="E310" s="55" t="str">
        <f>IFERROR(__xludf.DUMMYFUNCTION("""COMPUTED_VALUE"""),"@na")</f>
        <v>@na</v>
      </c>
      <c r="F310" s="55"/>
      <c r="G310" s="55" t="str">
        <f>IFERROR(__xludf.DUMMYFUNCTION("""COMPUTED_VALUE"""),"Gummies vs Coffee")</f>
        <v>Gummies vs Coffee</v>
      </c>
      <c r="H310" s="55"/>
      <c r="I310" s="55">
        <f>IFERROR(__xludf.DUMMYFUNCTION("""COMPUTED_VALUE"""),34.6)</f>
        <v>34.6</v>
      </c>
      <c r="J310" s="55" t="str">
        <f>IFERROR(__xludf.DUMMYFUNCTION("""COMPUTED_VALUE"""),"Yes – Recommend")</f>
        <v>Yes – Recommend</v>
      </c>
      <c r="K310" s="55" t="str">
        <f>IFERROR(__xludf.DUMMYFUNCTION("""COMPUTED_VALUE"""),"No")</f>
        <v>No</v>
      </c>
      <c r="L310" s="55" t="str">
        <f>IFERROR(__xludf.DUMMYFUNCTION("""COMPUTED_VALUE"""),"Score 36.2 ≥ 20 threshold")</f>
        <v>Score 36.2 ≥ 20 threshold</v>
      </c>
      <c r="M310" s="55" t="str">
        <f>IFERROR(__xludf.DUMMYFUNCTION("""COMPUTED_VALUE"""),"No Ad Data")</f>
        <v>No Ad Data</v>
      </c>
      <c r="N310" s="55" t="str">
        <f>IFERROR(__xludf.DUMMYFUNCTION("""COMPUTED_VALUE"""),"Skip-bot engagement/script not executed")</f>
        <v>Skip-bot engagement/script not executed</v>
      </c>
      <c r="O310" s="55"/>
      <c r="P310" s="55">
        <f>IFERROR(__xludf.DUMMYFUNCTION("""COMPUTED_VALUE"""),270.0)</f>
        <v>270</v>
      </c>
      <c r="Q310" s="55">
        <f>IFERROR(__xludf.DUMMYFUNCTION("""COMPUTED_VALUE"""),23.0)</f>
        <v>23</v>
      </c>
      <c r="R310" s="55">
        <f>IFERROR(__xludf.DUMMYFUNCTION("""COMPUTED_VALUE"""),17.0)</f>
        <v>17</v>
      </c>
      <c r="S310" s="55"/>
      <c r="T310" s="55"/>
      <c r="U310" s="55"/>
      <c r="V310" s="55"/>
      <c r="W310" s="55">
        <f>IFERROR(__xludf.DUMMYFUNCTION("""COMPUTED_VALUE"""),67.58)</f>
        <v>67.58</v>
      </c>
      <c r="X310" s="55"/>
      <c r="Y310" s="55"/>
      <c r="Z310" s="55"/>
      <c r="AA310" s="55"/>
      <c r="AB310" s="55"/>
      <c r="AC310" s="55"/>
      <c r="AD310" s="55"/>
      <c r="AE310" s="55"/>
      <c r="AF310" s="55"/>
      <c r="AG310" s="55"/>
      <c r="AH310" s="55"/>
      <c r="AI310" s="55"/>
      <c r="AJ310" s="55"/>
      <c r="AK310" s="55"/>
      <c r="AL310" s="55"/>
      <c r="AM310" s="55" t="str">
        <f>IFERROR(__xludf.DUMMYFUNCTION("""COMPUTED_VALUE"""),"Q9jTBBZzE8NiCWBtG4OVPs2yTGtxzlFDN4O7ryJBbJ6JPK5sshIrKLa_wZ8-Lp0sXj8")</f>
        <v>Q9jTBBZzE8NiCWBtG4OVPs2yTGtxzlFDN4O7ryJBbJ6JPK5sshIrKLa_wZ8-Lp0sXj8</v>
      </c>
      <c r="AN310" s="55"/>
      <c r="AO310" s="55"/>
      <c r="AP310" s="55"/>
      <c r="AQ310" s="55"/>
      <c r="AR310" s="55"/>
      <c r="AS310" s="55"/>
      <c r="AT310" s="55"/>
      <c r="AU310" s="55"/>
      <c r="AV310" s="55"/>
      <c r="AW310" s="35"/>
      <c r="AX310" s="35"/>
      <c r="AY310" s="35"/>
      <c r="AZ310" s="35"/>
      <c r="BA310" s="35"/>
      <c r="BB310" s="35"/>
      <c r="BC310" s="35"/>
      <c r="BD310" s="35"/>
      <c r="BE310" s="35"/>
      <c r="BF310" s="35"/>
      <c r="BG310" s="35"/>
    </row>
    <row r="311" ht="15.75" customHeight="1">
      <c r="A311" s="55" t="str">
        <f>IFERROR(__xludf.DUMMYFUNCTION("""COMPUTED_VALUE"""),"Tiktok")</f>
        <v>Tiktok</v>
      </c>
      <c r="B311" s="56">
        <f>IFERROR(__xludf.DUMMYFUNCTION("""COMPUTED_VALUE"""),46204.0)</f>
        <v>46204</v>
      </c>
      <c r="C311" s="55" t="str">
        <f>IFERROR(__xludf.DUMMYFUNCTION("""COMPUTED_VALUE"""),"July")</f>
        <v>July</v>
      </c>
      <c r="D311" s="58" t="str">
        <f>IFERROR(__xludf.DUMMYFUNCTION("""COMPUTED_VALUE"""),"https://www.tiktok.com/@try.it.with.oma/video/7657340325157031199")</f>
        <v>https://www.tiktok.com/@try.it.with.oma/video/7657340325157031199</v>
      </c>
      <c r="E311" s="55" t="str">
        <f>IFERROR(__xludf.DUMMYFUNCTION("""COMPUTED_VALUE"""),"@try.it.with.oma")</f>
        <v>@try.it.with.oma</v>
      </c>
      <c r="F311" s="55"/>
      <c r="G311" s="55" t="str">
        <f>IFERROR(__xludf.DUMMYFUNCTION("""COMPUTED_VALUE"""),"Over 40/ High Performer")</f>
        <v>Over 40/ High Performer</v>
      </c>
      <c r="H311" s="55"/>
      <c r="I311" s="55">
        <f>IFERROR(__xludf.DUMMYFUNCTION("""COMPUTED_VALUE"""),49.2)</f>
        <v>49.2</v>
      </c>
      <c r="J311" s="55" t="str">
        <f>IFERROR(__xludf.DUMMYFUNCTION("""COMPUTED_VALUE"""),"Yes – Recommend")</f>
        <v>Yes – Recommend</v>
      </c>
      <c r="K311" s="55" t="str">
        <f>IFERROR(__xludf.DUMMYFUNCTION("""COMPUTED_VALUE"""),"Review before running ads")</f>
        <v>Review before running ads</v>
      </c>
      <c r="L311" s="55" t="str">
        <f>IFERROR(__xludf.DUMMYFUNCTION("""COMPUTED_VALUE"""),"Score 52.4 ≥ 30")</f>
        <v>Score 52.4 ≥ 30</v>
      </c>
      <c r="M311" s="55" t="str">
        <f>IFERROR(__xludf.DUMMYFUNCTION("""COMPUTED_VALUE"""),"No Ad Data")</f>
        <v>No Ad Data</v>
      </c>
      <c r="N311" s="55"/>
      <c r="O311" s="55"/>
      <c r="P311" s="55">
        <f>IFERROR(__xludf.DUMMYFUNCTION("""COMPUTED_VALUE"""),532.0)</f>
        <v>532</v>
      </c>
      <c r="Q311" s="55">
        <f>IFERROR(__xludf.DUMMYFUNCTION("""COMPUTED_VALUE"""),24.0)</f>
        <v>24</v>
      </c>
      <c r="R311" s="55">
        <f>IFERROR(__xludf.DUMMYFUNCTION("""COMPUTED_VALUE"""),16.0)</f>
        <v>16</v>
      </c>
      <c r="S311" s="55"/>
      <c r="T311" s="55">
        <f>IFERROR(__xludf.DUMMYFUNCTION("""COMPUTED_VALUE"""),9.7)</f>
        <v>9.7</v>
      </c>
      <c r="U311" s="55"/>
      <c r="V311" s="55">
        <f>IFERROR(__xludf.DUMMYFUNCTION("""COMPUTED_VALUE"""),0.08)</f>
        <v>0.08</v>
      </c>
      <c r="W311" s="55">
        <f>IFERROR(__xludf.DUMMYFUNCTION("""COMPUTED_VALUE"""),117.58)</f>
        <v>117.58</v>
      </c>
      <c r="X311" s="55"/>
      <c r="Y311" s="55"/>
      <c r="Z311" s="55"/>
      <c r="AA311" s="55"/>
      <c r="AB311" s="55"/>
      <c r="AC311" s="55"/>
      <c r="AD311" s="55"/>
      <c r="AE311" s="55"/>
      <c r="AF311" s="55"/>
      <c r="AG311" s="55"/>
      <c r="AH311" s="55"/>
      <c r="AI311" s="55"/>
      <c r="AJ311" s="55"/>
      <c r="AK311" s="55"/>
      <c r="AL311" s="55"/>
      <c r="AM311" s="55" t="str">
        <f>IFERROR(__xludf.DUMMYFUNCTION("""COMPUTED_VALUE"""),"#VdgsGm/2ZRATklzjcPZTo8GeJkrfUzdQllB2IQlnNV0C4joV4QYH/wEEKIPdRQE=")</f>
        <v>#VdgsGm/2ZRATklzjcPZTo8GeJkrfUzdQllB2IQlnNV0C4joV4QYH/wEEKIPdRQE=</v>
      </c>
      <c r="AN311" s="55"/>
      <c r="AO311" s="55"/>
      <c r="AP311" s="55"/>
      <c r="AQ311" s="55"/>
      <c r="AR311" s="55"/>
      <c r="AS311" s="55"/>
      <c r="AT311" s="55"/>
      <c r="AU311" s="55"/>
      <c r="AV311" s="55"/>
      <c r="AW311" s="35"/>
      <c r="AX311" s="35"/>
      <c r="AY311" s="35"/>
      <c r="AZ311" s="35"/>
      <c r="BA311" s="35"/>
      <c r="BB311" s="35"/>
      <c r="BC311" s="35"/>
      <c r="BD311" s="35"/>
      <c r="BE311" s="35"/>
      <c r="BF311" s="35"/>
      <c r="BG311" s="35"/>
    </row>
    <row r="312" ht="15.75" customHeight="1">
      <c r="A312" s="55" t="str">
        <f>IFERROR(__xludf.DUMMYFUNCTION("""COMPUTED_VALUE"""),"Tiktok")</f>
        <v>Tiktok</v>
      </c>
      <c r="B312" s="56">
        <f>IFERROR(__xludf.DUMMYFUNCTION("""COMPUTED_VALUE"""),46203.0)</f>
        <v>46203</v>
      </c>
      <c r="C312" s="55" t="str">
        <f>IFERROR(__xludf.DUMMYFUNCTION("""COMPUTED_VALUE"""),"June")</f>
        <v>June</v>
      </c>
      <c r="D312" s="58" t="str">
        <f>IFERROR(__xludf.DUMMYFUNCTION("""COMPUTED_VALUE"""),"https://www.tiktok.com/@try.it.with.oma/video/7657238341766745374")</f>
        <v>https://www.tiktok.com/@try.it.with.oma/video/7657238341766745374</v>
      </c>
      <c r="E312" s="55" t="str">
        <f>IFERROR(__xludf.DUMMYFUNCTION("""COMPUTED_VALUE"""),"@try.it.with.oma")</f>
        <v>@try.it.with.oma</v>
      </c>
      <c r="F312" s="55"/>
      <c r="G312" s="55" t="str">
        <f>IFERROR(__xludf.DUMMYFUNCTION("""COMPUTED_VALUE"""),"Target Shelf Showdown")</f>
        <v>Target Shelf Showdown</v>
      </c>
      <c r="H312" s="55"/>
      <c r="I312" s="55">
        <f>IFERROR(__xludf.DUMMYFUNCTION("""COMPUTED_VALUE"""),46.1)</f>
        <v>46.1</v>
      </c>
      <c r="J312" s="55" t="str">
        <f>IFERROR(__xludf.DUMMYFUNCTION("""COMPUTED_VALUE"""),"Yes – Recommend")</f>
        <v>Yes – Recommend</v>
      </c>
      <c r="K312" s="55" t="str">
        <f>IFERROR(__xludf.DUMMYFUNCTION("""COMPUTED_VALUE"""),"Review before running ads")</f>
        <v>Review before running ads</v>
      </c>
      <c r="L312" s="55" t="str">
        <f>IFERROR(__xludf.DUMMYFUNCTION("""COMPUTED_VALUE"""),"Score 48.8 ≥ 30")</f>
        <v>Score 48.8 ≥ 30</v>
      </c>
      <c r="M312" s="55" t="str">
        <f>IFERROR(__xludf.DUMMYFUNCTION("""COMPUTED_VALUE"""),"No Ad Data")</f>
        <v>No Ad Data</v>
      </c>
      <c r="N312" s="55"/>
      <c r="O312" s="55"/>
      <c r="P312" s="55">
        <f>IFERROR(__xludf.DUMMYFUNCTION("""COMPUTED_VALUE"""),476.0)</f>
        <v>476</v>
      </c>
      <c r="Q312" s="55">
        <f>IFERROR(__xludf.DUMMYFUNCTION("""COMPUTED_VALUE"""),21.0)</f>
        <v>21</v>
      </c>
      <c r="R312" s="55">
        <f>IFERROR(__xludf.DUMMYFUNCTION("""COMPUTED_VALUE"""),16.0)</f>
        <v>16</v>
      </c>
      <c r="S312" s="55"/>
      <c r="T312" s="55">
        <f>IFERROR(__xludf.DUMMYFUNCTION("""COMPUTED_VALUE"""),18.0)</f>
        <v>18</v>
      </c>
      <c r="U312" s="55"/>
      <c r="V312" s="55">
        <f>IFERROR(__xludf.DUMMYFUNCTION("""COMPUTED_VALUE"""),0.086)</f>
        <v>0.086</v>
      </c>
      <c r="W312" s="55">
        <f>IFERROR(__xludf.DUMMYFUNCTION("""COMPUTED_VALUE"""),72.99)</f>
        <v>72.99</v>
      </c>
      <c r="X312" s="55"/>
      <c r="Y312" s="55"/>
      <c r="Z312" s="55"/>
      <c r="AA312" s="55"/>
      <c r="AB312" s="55"/>
      <c r="AC312" s="55"/>
      <c r="AD312" s="55"/>
      <c r="AE312" s="55"/>
      <c r="AF312" s="55"/>
      <c r="AG312" s="55"/>
      <c r="AH312" s="55"/>
      <c r="AI312" s="55"/>
      <c r="AJ312" s="55"/>
      <c r="AK312" s="55"/>
      <c r="AL312" s="55"/>
      <c r="AM312" s="55" t="str">
        <f>IFERROR(__xludf.DUMMYFUNCTION("""COMPUTED_VALUE"""),"#TO4NfarZO2AAE9BMBqGNT20K6OeKzKJltRA8yS7I0/qj7Y8pD5zrN5LhZlX1lks=")</f>
        <v>#TO4NfarZO2AAE9BMBqGNT20K6OeKzKJltRA8yS7I0/qj7Y8pD5zrN5LhZlX1lks=</v>
      </c>
      <c r="AN312" s="55"/>
      <c r="AO312" s="55"/>
      <c r="AP312" s="55"/>
      <c r="AQ312" s="55"/>
      <c r="AR312" s="55"/>
      <c r="AS312" s="55"/>
      <c r="AT312" s="55"/>
      <c r="AU312" s="55"/>
      <c r="AV312" s="55"/>
      <c r="AW312" s="35"/>
      <c r="AX312" s="35"/>
      <c r="AY312" s="35"/>
      <c r="AZ312" s="35"/>
      <c r="BA312" s="35"/>
      <c r="BB312" s="35"/>
      <c r="BC312" s="35"/>
      <c r="BD312" s="35"/>
      <c r="BE312" s="35"/>
      <c r="BF312" s="35"/>
      <c r="BG312" s="35"/>
    </row>
    <row r="313" ht="15.75" customHeight="1">
      <c r="A313" s="55" t="str">
        <f>IFERROR(__xludf.DUMMYFUNCTION("""COMPUTED_VALUE"""),"Tiktok")</f>
        <v>Tiktok</v>
      </c>
      <c r="B313" s="56">
        <f>IFERROR(__xludf.DUMMYFUNCTION("""COMPUTED_VALUE"""),46203.0)</f>
        <v>46203</v>
      </c>
      <c r="C313" s="55" t="str">
        <f>IFERROR(__xludf.DUMMYFUNCTION("""COMPUTED_VALUE"""),"June")</f>
        <v>June</v>
      </c>
      <c r="D313" s="58" t="str">
        <f>IFERROR(__xludf.DUMMYFUNCTION("""COMPUTED_VALUE"""),"https://www.tiktok.com/@jexterra/video/7657228289173392654")</f>
        <v>https://www.tiktok.com/@jexterra/video/7657228289173392654</v>
      </c>
      <c r="E313" s="55" t="str">
        <f>IFERROR(__xludf.DUMMYFUNCTION("""COMPUTED_VALUE"""),"@jexterra")</f>
        <v>@jexterra</v>
      </c>
      <c r="F313" s="55"/>
      <c r="G313" s="55" t="str">
        <f>IFERROR(__xludf.DUMMYFUNCTION("""COMPUTED_VALUE"""),"Gummies vs Coffee")</f>
        <v>Gummies vs Coffee</v>
      </c>
      <c r="H313" s="55"/>
      <c r="I313" s="55">
        <f>IFERROR(__xludf.DUMMYFUNCTION("""COMPUTED_VALUE"""),44.1)</f>
        <v>44.1</v>
      </c>
      <c r="J313" s="55" t="str">
        <f>IFERROR(__xludf.DUMMYFUNCTION("""COMPUTED_VALUE"""),"Yes – Recommend")</f>
        <v>Yes – Recommend</v>
      </c>
      <c r="K313" s="55" t="str">
        <f>IFERROR(__xludf.DUMMYFUNCTION("""COMPUTED_VALUE"""),"Review before running ads")</f>
        <v>Review before running ads</v>
      </c>
      <c r="L313" s="55" t="str">
        <f>IFERROR(__xludf.DUMMYFUNCTION("""COMPUTED_VALUE"""),"Score 47.5 ≥ 30")</f>
        <v>Score 47.5 ≥ 30</v>
      </c>
      <c r="M313" s="55" t="str">
        <f>IFERROR(__xludf.DUMMYFUNCTION("""COMPUTED_VALUE"""),"No Ad Data")</f>
        <v>No Ad Data</v>
      </c>
      <c r="N313" s="55"/>
      <c r="O313" s="55"/>
      <c r="P313" s="55">
        <f>IFERROR(__xludf.DUMMYFUNCTION("""COMPUTED_VALUE"""),674.0)</f>
        <v>674</v>
      </c>
      <c r="Q313" s="55">
        <f>IFERROR(__xludf.DUMMYFUNCTION("""COMPUTED_VALUE"""),9.0)</f>
        <v>9</v>
      </c>
      <c r="R313" s="55">
        <f>IFERROR(__xludf.DUMMYFUNCTION("""COMPUTED_VALUE"""),2.0)</f>
        <v>2</v>
      </c>
      <c r="S313" s="55"/>
      <c r="T313" s="55">
        <f>IFERROR(__xludf.DUMMYFUNCTION("""COMPUTED_VALUE"""),9.2)</f>
        <v>9.2</v>
      </c>
      <c r="U313" s="55"/>
      <c r="V313" s="55">
        <f>IFERROR(__xludf.DUMMYFUNCTION("""COMPUTED_VALUE"""),0.017)</f>
        <v>0.017</v>
      </c>
      <c r="W313" s="55">
        <f>IFERROR(__xludf.DUMMYFUNCTION("""COMPUTED_VALUE"""),72.99)</f>
        <v>72.99</v>
      </c>
      <c r="X313" s="55"/>
      <c r="Y313" s="55"/>
      <c r="Z313" s="55"/>
      <c r="AA313" s="55"/>
      <c r="AB313" s="55"/>
      <c r="AC313" s="55"/>
      <c r="AD313" s="55"/>
      <c r="AE313" s="55"/>
      <c r="AF313" s="55"/>
      <c r="AG313" s="55"/>
      <c r="AH313" s="55"/>
      <c r="AI313" s="55"/>
      <c r="AJ313" s="55"/>
      <c r="AK313" s="55"/>
      <c r="AL313" s="55"/>
      <c r="AM313" s="55" t="str">
        <f>IFERROR(__xludf.DUMMYFUNCTION("""COMPUTED_VALUE"""),"#T0gUX9kyG11MqMnhLat2L9OX9fZPSBqBP+9VGTmwLgJeeUk3dZ5fKMjztOCqJOg=")</f>
        <v>#T0gUX9kyG11MqMnhLat2L9OX9fZPSBqBP+9VGTmwLgJeeUk3dZ5fKMjztOCqJOg=</v>
      </c>
      <c r="AN313" s="55"/>
      <c r="AO313" s="55"/>
      <c r="AP313" s="55"/>
      <c r="AQ313" s="55"/>
      <c r="AR313" s="55"/>
      <c r="AS313" s="55"/>
      <c r="AT313" s="55"/>
      <c r="AU313" s="55"/>
      <c r="AV313" s="55"/>
      <c r="AW313" s="35"/>
      <c r="AX313" s="35"/>
      <c r="AY313" s="35"/>
      <c r="AZ313" s="35"/>
      <c r="BA313" s="35"/>
      <c r="BB313" s="35"/>
      <c r="BC313" s="35"/>
      <c r="BD313" s="35"/>
      <c r="BE313" s="35"/>
      <c r="BF313" s="35"/>
      <c r="BG313" s="35"/>
    </row>
    <row r="314" ht="15.75" customHeight="1">
      <c r="A314" s="55" t="str">
        <f>IFERROR(__xludf.DUMMYFUNCTION("""COMPUTED_VALUE"""),"Tiktok")</f>
        <v>Tiktok</v>
      </c>
      <c r="B314" s="56">
        <f>IFERROR(__xludf.DUMMYFUNCTION("""COMPUTED_VALUE"""),46206.0)</f>
        <v>46206</v>
      </c>
      <c r="C314" s="55" t="str">
        <f>IFERROR(__xludf.DUMMYFUNCTION("""COMPUTED_VALUE"""),"July")</f>
        <v>July</v>
      </c>
      <c r="D314" s="58" t="str">
        <f>IFERROR(__xludf.DUMMYFUNCTION("""COMPUTED_VALUE"""),"https://www.tiktok.com/@jehh_lutfi/video/7658052424560545045")</f>
        <v>https://www.tiktok.com/@jehh_lutfi/video/7658052424560545045</v>
      </c>
      <c r="E314" s="55" t="str">
        <f>IFERROR(__xludf.DUMMYFUNCTION("""COMPUTED_VALUE"""),"@jehh_lutfi")</f>
        <v>@jehh_lutfi</v>
      </c>
      <c r="F314" s="55"/>
      <c r="G314" s="55" t="str">
        <f>IFERROR(__xludf.DUMMYFUNCTION("""COMPUTED_VALUE"""),"Cortisol")</f>
        <v>Cortisol</v>
      </c>
      <c r="H314" s="55"/>
      <c r="I314" s="55">
        <f>IFERROR(__xludf.DUMMYFUNCTION("""COMPUTED_VALUE"""),44.3)</f>
        <v>44.3</v>
      </c>
      <c r="J314" s="55" t="str">
        <f>IFERROR(__xludf.DUMMYFUNCTION("""COMPUTED_VALUE"""),"Yes – Recommend")</f>
        <v>Yes – Recommend</v>
      </c>
      <c r="K314" s="55" t="str">
        <f>IFERROR(__xludf.DUMMYFUNCTION("""COMPUTED_VALUE"""),"Review before running ads")</f>
        <v>Review before running ads</v>
      </c>
      <c r="L314" s="55" t="str">
        <f>IFERROR(__xludf.DUMMYFUNCTION("""COMPUTED_VALUE"""),"Score 46.9 ≥ 30")</f>
        <v>Score 46.9 ≥ 30</v>
      </c>
      <c r="M314" s="55" t="str">
        <f>IFERROR(__xludf.DUMMYFUNCTION("""COMPUTED_VALUE"""),"No Ad Data")</f>
        <v>No Ad Data</v>
      </c>
      <c r="N314" s="55"/>
      <c r="O314" s="55"/>
      <c r="P314" s="55">
        <f>IFERROR(__xludf.DUMMYFUNCTION("""COMPUTED_VALUE"""),378.0)</f>
        <v>378</v>
      </c>
      <c r="Q314" s="55">
        <f>IFERROR(__xludf.DUMMYFUNCTION("""COMPUTED_VALUE"""),116.0)</f>
        <v>116</v>
      </c>
      <c r="R314" s="55">
        <f>IFERROR(__xludf.DUMMYFUNCTION("""COMPUTED_VALUE"""),12.0)</f>
        <v>12</v>
      </c>
      <c r="S314" s="55"/>
      <c r="T314" s="55">
        <f>IFERROR(__xludf.DUMMYFUNCTION("""COMPUTED_VALUE"""),8.5)</f>
        <v>8.5</v>
      </c>
      <c r="U314" s="55"/>
      <c r="V314" s="55">
        <f>IFERROR(__xludf.DUMMYFUNCTION("""COMPUTED_VALUE"""),0.37)</f>
        <v>0.37</v>
      </c>
      <c r="W314" s="55">
        <f>IFERROR(__xludf.DUMMYFUNCTION("""COMPUTED_VALUE"""),117.58)</f>
        <v>117.58</v>
      </c>
      <c r="X314" s="55"/>
      <c r="Y314" s="55"/>
      <c r="Z314" s="55"/>
      <c r="AA314" s="55"/>
      <c r="AB314" s="55"/>
      <c r="AC314" s="55"/>
      <c r="AD314" s="55"/>
      <c r="AE314" s="55"/>
      <c r="AF314" s="55"/>
      <c r="AG314" s="55"/>
      <c r="AH314" s="55"/>
      <c r="AI314" s="55"/>
      <c r="AJ314" s="55"/>
      <c r="AK314" s="55"/>
      <c r="AL314" s="55"/>
      <c r="AM314" s="55" t="str">
        <f>IFERROR(__xludf.DUMMYFUNCTION("""COMPUTED_VALUE"""),"#cwWJDoErtYH44UXBE64hBkIq9XHtfT/7o0ZbaI7jRypJlEuAbnMGYvmtukAeFPE=")</f>
        <v>#cwWJDoErtYH44UXBE64hBkIq9XHtfT/7o0ZbaI7jRypJlEuAbnMGYvmtukAeFPE=</v>
      </c>
      <c r="AN314" s="55"/>
      <c r="AO314" s="55"/>
      <c r="AP314" s="55"/>
      <c r="AQ314" s="55"/>
      <c r="AR314" s="55"/>
      <c r="AS314" s="55"/>
      <c r="AT314" s="55"/>
      <c r="AU314" s="55"/>
      <c r="AV314" s="55"/>
      <c r="AW314" s="35"/>
      <c r="AX314" s="35"/>
      <c r="AY314" s="35"/>
      <c r="AZ314" s="35"/>
      <c r="BA314" s="35"/>
      <c r="BB314" s="35"/>
      <c r="BC314" s="35"/>
      <c r="BD314" s="35"/>
      <c r="BE314" s="35"/>
      <c r="BF314" s="35"/>
      <c r="BG314" s="35"/>
    </row>
    <row r="315" ht="15.75" customHeight="1">
      <c r="A315" s="55" t="str">
        <f>IFERROR(__xludf.DUMMYFUNCTION("""COMPUTED_VALUE"""),"Tiktok")</f>
        <v>Tiktok</v>
      </c>
      <c r="B315" s="56">
        <f>IFERROR(__xludf.DUMMYFUNCTION("""COMPUTED_VALUE"""),46210.0)</f>
        <v>46210</v>
      </c>
      <c r="C315" s="55" t="str">
        <f>IFERROR(__xludf.DUMMYFUNCTION("""COMPUTED_VALUE"""),"July")</f>
        <v>July</v>
      </c>
      <c r="D315" s="58" t="str">
        <f>IFERROR(__xludf.DUMMYFUNCTION("""COMPUTED_VALUE"""),"https://www.tiktok.com/@the.little.green.hill/video/7659743543635807501")</f>
        <v>https://www.tiktok.com/@the.little.green.hill/video/7659743543635807501</v>
      </c>
      <c r="E315" s="55" t="str">
        <f>IFERROR(__xludf.DUMMYFUNCTION("""COMPUTED_VALUE"""),"@the.little.green.hill")</f>
        <v>@the.little.green.hill</v>
      </c>
      <c r="F315" s="55"/>
      <c r="G315" s="55" t="str">
        <f>IFERROR(__xludf.DUMMYFUNCTION("""COMPUTED_VALUE"""),"VAHDAM x Target - In-Store")</f>
        <v>VAHDAM x Target - In-Store</v>
      </c>
      <c r="H315" s="55"/>
      <c r="I315" s="55">
        <f>IFERROR(__xludf.DUMMYFUNCTION("""COMPUTED_VALUE"""),41.5)</f>
        <v>41.5</v>
      </c>
      <c r="J315" s="55" t="str">
        <f>IFERROR(__xludf.DUMMYFUNCTION("""COMPUTED_VALUE"""),"Yes – Recommend")</f>
        <v>Yes – Recommend</v>
      </c>
      <c r="K315" s="55" t="str">
        <f>IFERROR(__xludf.DUMMYFUNCTION("""COMPUTED_VALUE"""),"Review before running ads")</f>
        <v>Review before running ads</v>
      </c>
      <c r="L315" s="55" t="str">
        <f>IFERROR(__xludf.DUMMYFUNCTION("""COMPUTED_VALUE"""),"Score 44.8 ≥ 30")</f>
        <v>Score 44.8 ≥ 30</v>
      </c>
      <c r="M315" s="55" t="str">
        <f>IFERROR(__xludf.DUMMYFUNCTION("""COMPUTED_VALUE"""),"No Ad Data")</f>
        <v>No Ad Data</v>
      </c>
      <c r="N315" s="55"/>
      <c r="O315" s="55"/>
      <c r="P315" s="55">
        <f>IFERROR(__xludf.DUMMYFUNCTION("""COMPUTED_VALUE"""),595.0)</f>
        <v>595</v>
      </c>
      <c r="Q315" s="55">
        <f>IFERROR(__xludf.DUMMYFUNCTION("""COMPUTED_VALUE"""),4.0)</f>
        <v>4</v>
      </c>
      <c r="R315" s="55">
        <f>IFERROR(__xludf.DUMMYFUNCTION("""COMPUTED_VALUE"""),3.0)</f>
        <v>3</v>
      </c>
      <c r="S315" s="55"/>
      <c r="T315" s="55">
        <f>IFERROR(__xludf.DUMMYFUNCTION("""COMPUTED_VALUE"""),8.4)</f>
        <v>8.4</v>
      </c>
      <c r="U315" s="55"/>
      <c r="V315" s="55"/>
      <c r="W315" s="55">
        <f>IFERROR(__xludf.DUMMYFUNCTION("""COMPUTED_VALUE"""),52.58)</f>
        <v>52.58</v>
      </c>
      <c r="X315" s="55"/>
      <c r="Y315" s="55"/>
      <c r="Z315" s="55"/>
      <c r="AA315" s="55"/>
      <c r="AB315" s="55"/>
      <c r="AC315" s="55"/>
      <c r="AD315" s="55"/>
      <c r="AE315" s="55"/>
      <c r="AF315" s="55"/>
      <c r="AG315" s="55"/>
      <c r="AH315" s="55"/>
      <c r="AI315" s="55"/>
      <c r="AJ315" s="55"/>
      <c r="AK315" s="55"/>
      <c r="AL315" s="55"/>
      <c r="AM315" s="55" t="str">
        <f>IFERROR(__xludf.DUMMYFUNCTION("""COMPUTED_VALUE"""),"#P9hgthdabnvV0ube1UvXD3M/Znsrn4pJvRUb0hD5K58UPJfZ99VT2gBOCvUOEtU=")</f>
        <v>#P9hgthdabnvV0ube1UvXD3M/Znsrn4pJvRUb0hD5K58UPJfZ99VT2gBOCvUOEtU=</v>
      </c>
      <c r="AN315" s="55"/>
      <c r="AO315" s="55"/>
      <c r="AP315" s="55"/>
      <c r="AQ315" s="55"/>
      <c r="AR315" s="55"/>
      <c r="AS315" s="55"/>
      <c r="AT315" s="55"/>
      <c r="AU315" s="55"/>
      <c r="AV315" s="55"/>
      <c r="AW315" s="35"/>
      <c r="AX315" s="35"/>
      <c r="AY315" s="35"/>
      <c r="AZ315" s="35"/>
      <c r="BA315" s="35"/>
      <c r="BB315" s="35"/>
      <c r="BC315" s="35"/>
      <c r="BD315" s="35"/>
      <c r="BE315" s="35"/>
      <c r="BF315" s="35"/>
      <c r="BG315" s="35"/>
    </row>
    <row r="316" ht="15.75" customHeight="1">
      <c r="A316" s="55" t="str">
        <f>IFERROR(__xludf.DUMMYFUNCTION("""COMPUTED_VALUE"""),"Instagram")</f>
        <v>Instagram</v>
      </c>
      <c r="B316" s="56">
        <f>IFERROR(__xludf.DUMMYFUNCTION("""COMPUTED_VALUE"""),46204.0)</f>
        <v>46204</v>
      </c>
      <c r="C316" s="55" t="str">
        <f>IFERROR(__xludf.DUMMYFUNCTION("""COMPUTED_VALUE"""),"July")</f>
        <v>July</v>
      </c>
      <c r="D316" s="58" t="str">
        <f>IFERROR(__xludf.DUMMYFUNCTION("""COMPUTED_VALUE"""),"https://www.instagram.com/reel/DaLLgTrREWn/")</f>
        <v>https://www.instagram.com/reel/DaLLgTrREWn/</v>
      </c>
      <c r="E316" s="55" t="str">
        <f>IFERROR(__xludf.DUMMYFUNCTION("""COMPUTED_VALUE"""),"@na")</f>
        <v>@na</v>
      </c>
      <c r="F316" s="55"/>
      <c r="G316" s="55" t="str">
        <f>IFERROR(__xludf.DUMMYFUNCTION("""COMPUTED_VALUE"""),"Taste")</f>
        <v>Taste</v>
      </c>
      <c r="H316" s="55"/>
      <c r="I316" s="55">
        <f>IFERROR(__xludf.DUMMYFUNCTION("""COMPUTED_VALUE"""),42.4)</f>
        <v>42.4</v>
      </c>
      <c r="J316" s="55" t="str">
        <f>IFERROR(__xludf.DUMMYFUNCTION("""COMPUTED_VALUE"""),"Yes – Recommend")</f>
        <v>Yes – Recommend</v>
      </c>
      <c r="K316" s="55" t="str">
        <f>IFERROR(__xludf.DUMMYFUNCTION("""COMPUTED_VALUE"""),"Review before running ads")</f>
        <v>Review before running ads</v>
      </c>
      <c r="L316" s="55" t="str">
        <f>IFERROR(__xludf.DUMMYFUNCTION("""COMPUTED_VALUE"""),"Score 44.2 ≥ 20 threshold")</f>
        <v>Score 44.2 ≥ 20 threshold</v>
      </c>
      <c r="M316" s="55" t="str">
        <f>IFERROR(__xludf.DUMMYFUNCTION("""COMPUTED_VALUE"""),"No Ad Data")</f>
        <v>No Ad Data</v>
      </c>
      <c r="N316" s="55"/>
      <c r="O316" s="55"/>
      <c r="P316" s="55">
        <f>IFERROR(__xludf.DUMMYFUNCTION("""COMPUTED_VALUE"""),508.0)</f>
        <v>508</v>
      </c>
      <c r="Q316" s="55">
        <f>IFERROR(__xludf.DUMMYFUNCTION("""COMPUTED_VALUE"""),14.0)</f>
        <v>14</v>
      </c>
      <c r="R316" s="55">
        <f>IFERROR(__xludf.DUMMYFUNCTION("""COMPUTED_VALUE"""),6.0)</f>
        <v>6</v>
      </c>
      <c r="S316" s="55"/>
      <c r="T316" s="55"/>
      <c r="U316" s="55"/>
      <c r="V316" s="55"/>
      <c r="W316" s="55">
        <f>IFERROR(__xludf.DUMMYFUNCTION("""COMPUTED_VALUE"""),117.58)</f>
        <v>117.58</v>
      </c>
      <c r="X316" s="55"/>
      <c r="Y316" s="55"/>
      <c r="Z316" s="55"/>
      <c r="AA316" s="55"/>
      <c r="AB316" s="55"/>
      <c r="AC316" s="55"/>
      <c r="AD316" s="55"/>
      <c r="AE316" s="55"/>
      <c r="AF316" s="55"/>
      <c r="AG316" s="55"/>
      <c r="AH316" s="55"/>
      <c r="AI316" s="55"/>
      <c r="AJ316" s="55"/>
      <c r="AK316" s="55"/>
      <c r="AL316" s="55"/>
      <c r="AM316" s="55" t="str">
        <f>IFERROR(__xludf.DUMMYFUNCTION("""COMPUTED_VALUE"""),"Q9jTBBXvWJUvMY7lvnEzdMZLE5V3KG4MVwW0lCOGF5uqsaB55-JNW1TYOH-mOO-MJgY")</f>
        <v>Q9jTBBXvWJUvMY7lvnEzdMZLE5V3KG4MVwW0lCOGF5uqsaB55-JNW1TYOH-mOO-MJgY</v>
      </c>
      <c r="AN316" s="55"/>
      <c r="AO316" s="55"/>
      <c r="AP316" s="55"/>
      <c r="AQ316" s="55"/>
      <c r="AR316" s="55"/>
      <c r="AS316" s="55"/>
      <c r="AT316" s="55"/>
      <c r="AU316" s="55"/>
      <c r="AV316" s="55"/>
      <c r="AW316" s="35"/>
      <c r="AX316" s="35"/>
      <c r="AY316" s="35"/>
      <c r="AZ316" s="35"/>
      <c r="BA316" s="35"/>
      <c r="BB316" s="35"/>
      <c r="BC316" s="35"/>
      <c r="BD316" s="35"/>
      <c r="BE316" s="35"/>
      <c r="BF316" s="35"/>
      <c r="BG316" s="35"/>
    </row>
    <row r="317" ht="15.75" customHeight="1">
      <c r="A317" s="55" t="str">
        <f>IFERROR(__xludf.DUMMYFUNCTION("""COMPUTED_VALUE"""),"Tiktok")</f>
        <v>Tiktok</v>
      </c>
      <c r="B317" s="56">
        <f>IFERROR(__xludf.DUMMYFUNCTION("""COMPUTED_VALUE"""),46204.0)</f>
        <v>46204</v>
      </c>
      <c r="C317" s="55" t="str">
        <f>IFERROR(__xludf.DUMMYFUNCTION("""COMPUTED_VALUE"""),"July")</f>
        <v>July</v>
      </c>
      <c r="D317" s="58" t="str">
        <f>IFERROR(__xludf.DUMMYFUNCTION("""COMPUTED_VALUE"""),"https://www.tiktok.com/@hopedealer74/video/7657595789304237326")</f>
        <v>https://www.tiktok.com/@hopedealer74/video/7657595789304237326</v>
      </c>
      <c r="E317" s="55" t="str">
        <f>IFERROR(__xludf.DUMMYFUNCTION("""COMPUTED_VALUE"""),"@hopedealer74")</f>
        <v>@hopedealer74</v>
      </c>
      <c r="F317" s="55"/>
      <c r="G317" s="55" t="str">
        <f>IFERROR(__xludf.DUMMYFUNCTION("""COMPUTED_VALUE"""),"Gummies vs Coffee")</f>
        <v>Gummies vs Coffee</v>
      </c>
      <c r="H317" s="55"/>
      <c r="I317" s="55">
        <f>IFERROR(__xludf.DUMMYFUNCTION("""COMPUTED_VALUE"""),38.4)</f>
        <v>38.4</v>
      </c>
      <c r="J317" s="55" t="str">
        <f>IFERROR(__xludf.DUMMYFUNCTION("""COMPUTED_VALUE"""),"Yes – Recommend")</f>
        <v>Yes – Recommend</v>
      </c>
      <c r="K317" s="55" t="str">
        <f>IFERROR(__xludf.DUMMYFUNCTION("""COMPUTED_VALUE"""),"Review before running ads")</f>
        <v>Review before running ads</v>
      </c>
      <c r="L317" s="55" t="str">
        <f>IFERROR(__xludf.DUMMYFUNCTION("""COMPUTED_VALUE"""),"Score 41.7 ≥ 30")</f>
        <v>Score 41.7 ≥ 30</v>
      </c>
      <c r="M317" s="55" t="str">
        <f>IFERROR(__xludf.DUMMYFUNCTION("""COMPUTED_VALUE"""),"No Ad Data")</f>
        <v>No Ad Data</v>
      </c>
      <c r="N317" s="55"/>
      <c r="O317" s="55"/>
      <c r="P317" s="55">
        <f>IFERROR(__xludf.DUMMYFUNCTION("""COMPUTED_VALUE"""),559.0)</f>
        <v>559</v>
      </c>
      <c r="Q317" s="55">
        <f>IFERROR(__xludf.DUMMYFUNCTION("""COMPUTED_VALUE"""),2.0)</f>
        <v>2</v>
      </c>
      <c r="R317" s="55">
        <f>IFERROR(__xludf.DUMMYFUNCTION("""COMPUTED_VALUE"""),1.0)</f>
        <v>1</v>
      </c>
      <c r="S317" s="55"/>
      <c r="T317" s="55">
        <f>IFERROR(__xludf.DUMMYFUNCTION("""COMPUTED_VALUE"""),8.3)</f>
        <v>8.3</v>
      </c>
      <c r="U317" s="55"/>
      <c r="V317" s="55">
        <f>IFERROR(__xludf.DUMMYFUNCTION("""COMPUTED_VALUE"""),0.0053)</f>
        <v>0.0053</v>
      </c>
      <c r="W317" s="55">
        <f>IFERROR(__xludf.DUMMYFUNCTION("""COMPUTED_VALUE"""),72.99)</f>
        <v>72.99</v>
      </c>
      <c r="X317" s="55"/>
      <c r="Y317" s="55"/>
      <c r="Z317" s="55"/>
      <c r="AA317" s="55"/>
      <c r="AB317" s="55"/>
      <c r="AC317" s="55"/>
      <c r="AD317" s="55"/>
      <c r="AE317" s="55"/>
      <c r="AF317" s="55"/>
      <c r="AG317" s="55"/>
      <c r="AH317" s="55"/>
      <c r="AI317" s="55"/>
      <c r="AJ317" s="55"/>
      <c r="AK317" s="55"/>
      <c r="AL317" s="55"/>
      <c r="AM317" s="55" t="str">
        <f>IFERROR(__xludf.DUMMYFUNCTION("""COMPUTED_VALUE"""),"#zThUBCgf5o6psyEPmYi2/AzXDJHPtMKNl0lpD0NS6ZQE8bECrGat/TmdCUSXt9g=")</f>
        <v>#zThUBCgf5o6psyEPmYi2/AzXDJHPtMKNl0lpD0NS6ZQE8bECrGat/TmdCUSXt9g=</v>
      </c>
      <c r="AN317" s="55"/>
      <c r="AO317" s="55"/>
      <c r="AP317" s="55"/>
      <c r="AQ317" s="55"/>
      <c r="AR317" s="55"/>
      <c r="AS317" s="55"/>
      <c r="AT317" s="55"/>
      <c r="AU317" s="55"/>
      <c r="AV317" s="55"/>
      <c r="AW317" s="35"/>
      <c r="AX317" s="35"/>
      <c r="AY317" s="35"/>
      <c r="AZ317" s="35"/>
      <c r="BA317" s="35"/>
      <c r="BB317" s="35"/>
      <c r="BC317" s="35"/>
      <c r="BD317" s="35"/>
      <c r="BE317" s="35"/>
      <c r="BF317" s="35"/>
      <c r="BG317" s="35"/>
    </row>
    <row r="318" ht="15.75" customHeight="1">
      <c r="A318" s="55" t="str">
        <f>IFERROR(__xludf.DUMMYFUNCTION("""COMPUTED_VALUE"""),"Instagram")</f>
        <v>Instagram</v>
      </c>
      <c r="B318" s="56">
        <f>IFERROR(__xludf.DUMMYFUNCTION("""COMPUTED_VALUE"""),46204.0)</f>
        <v>46204</v>
      </c>
      <c r="C318" s="55" t="str">
        <f>IFERROR(__xludf.DUMMYFUNCTION("""COMPUTED_VALUE"""),"July")</f>
        <v>July</v>
      </c>
      <c r="D318" s="58" t="str">
        <f>IFERROR(__xludf.DUMMYFUNCTION("""COMPUTED_VALUE"""),"https://www.instagram.com/reel/DaOtK48sunx/")</f>
        <v>https://www.instagram.com/reel/DaOtK48sunx/</v>
      </c>
      <c r="E318" s="55" t="str">
        <f>IFERROR(__xludf.DUMMYFUNCTION("""COMPUTED_VALUE"""),"@na")</f>
        <v>@na</v>
      </c>
      <c r="F318" s="55"/>
      <c r="G318" s="55" t="str">
        <f>IFERROR(__xludf.DUMMYFUNCTION("""COMPUTED_VALUE"""),"Countering Mushroom Coffee Trend")</f>
        <v>Countering Mushroom Coffee Trend</v>
      </c>
      <c r="H318" s="55"/>
      <c r="I318" s="55">
        <f>IFERROR(__xludf.DUMMYFUNCTION("""COMPUTED_VALUE"""),40.6)</f>
        <v>40.6</v>
      </c>
      <c r="J318" s="55" t="str">
        <f>IFERROR(__xludf.DUMMYFUNCTION("""COMPUTED_VALUE"""),"Yes – Recommend")</f>
        <v>Yes – Recommend</v>
      </c>
      <c r="K318" s="55" t="str">
        <f>IFERROR(__xludf.DUMMYFUNCTION("""COMPUTED_VALUE"""),"Review before running ads")</f>
        <v>Review before running ads</v>
      </c>
      <c r="L318" s="55" t="str">
        <f>IFERROR(__xludf.DUMMYFUNCTION("""COMPUTED_VALUE"""),"Score 43.0 ≥ 20 threshold")</f>
        <v>Score 43.0 ≥ 20 threshold</v>
      </c>
      <c r="M318" s="55" t="str">
        <f>IFERROR(__xludf.DUMMYFUNCTION("""COMPUTED_VALUE"""),"No Ad Data")</f>
        <v>No Ad Data</v>
      </c>
      <c r="N318" s="55"/>
      <c r="O318" s="55"/>
      <c r="P318" s="55">
        <f>IFERROR(__xludf.DUMMYFUNCTION("""COMPUTED_VALUE"""),529.0)</f>
        <v>529</v>
      </c>
      <c r="Q318" s="55">
        <f>IFERROR(__xludf.DUMMYFUNCTION("""COMPUTED_VALUE"""),31.0)</f>
        <v>31</v>
      </c>
      <c r="R318" s="55"/>
      <c r="S318" s="55"/>
      <c r="T318" s="55"/>
      <c r="U318" s="55"/>
      <c r="V318" s="55"/>
      <c r="W318" s="55">
        <f>IFERROR(__xludf.DUMMYFUNCTION("""COMPUTED_VALUE"""),117.58)</f>
        <v>117.58</v>
      </c>
      <c r="X318" s="55"/>
      <c r="Y318" s="55"/>
      <c r="Z318" s="55"/>
      <c r="AA318" s="55"/>
      <c r="AB318" s="55"/>
      <c r="AC318" s="55"/>
      <c r="AD318" s="55"/>
      <c r="AE318" s="55"/>
      <c r="AF318" s="55"/>
      <c r="AG318" s="55"/>
      <c r="AH318" s="55"/>
      <c r="AI318" s="55"/>
      <c r="AJ318" s="55"/>
      <c r="AK318" s="55"/>
      <c r="AL318" s="55"/>
      <c r="AM318" s="55"/>
      <c r="AN318" s="55"/>
      <c r="AO318" s="55"/>
      <c r="AP318" s="55"/>
      <c r="AQ318" s="55"/>
      <c r="AR318" s="55"/>
      <c r="AS318" s="55"/>
      <c r="AT318" s="55"/>
      <c r="AU318" s="55"/>
      <c r="AV318" s="55"/>
      <c r="AW318" s="35"/>
      <c r="AX318" s="35"/>
      <c r="AY318" s="35"/>
      <c r="AZ318" s="35"/>
      <c r="BA318" s="35"/>
      <c r="BB318" s="35"/>
      <c r="BC318" s="35"/>
      <c r="BD318" s="35"/>
      <c r="BE318" s="35"/>
      <c r="BF318" s="35"/>
      <c r="BG318" s="35"/>
    </row>
    <row r="319" ht="15.75" customHeight="1">
      <c r="A319" s="55" t="str">
        <f>IFERROR(__xludf.DUMMYFUNCTION("""COMPUTED_VALUE"""),"Tiktok")</f>
        <v>Tiktok</v>
      </c>
      <c r="B319" s="56">
        <f>IFERROR(__xludf.DUMMYFUNCTION("""COMPUTED_VALUE"""),46206.0)</f>
        <v>46206</v>
      </c>
      <c r="C319" s="55" t="str">
        <f>IFERROR(__xludf.DUMMYFUNCTION("""COMPUTED_VALUE"""),"July")</f>
        <v>July</v>
      </c>
      <c r="D319" s="58" t="str">
        <f>IFERROR(__xludf.DUMMYFUNCTION("""COMPUTED_VALUE"""),"https://www.tiktok.com/@amichelleindica/video/7658004266598026509")</f>
        <v>https://www.tiktok.com/@amichelleindica/video/7658004266598026509</v>
      </c>
      <c r="E319" s="55" t="str">
        <f>IFERROR(__xludf.DUMMYFUNCTION("""COMPUTED_VALUE"""),"@amichelleindica")</f>
        <v>@amichelleindica</v>
      </c>
      <c r="F319" s="55"/>
      <c r="G319" s="55" t="str">
        <f>IFERROR(__xludf.DUMMYFUNCTION("""COMPUTED_VALUE"""),"Taste")</f>
        <v>Taste</v>
      </c>
      <c r="H319" s="55"/>
      <c r="I319" s="55">
        <f>IFERROR(__xludf.DUMMYFUNCTION("""COMPUTED_VALUE"""),39.4)</f>
        <v>39.4</v>
      </c>
      <c r="J319" s="55" t="str">
        <f>IFERROR(__xludf.DUMMYFUNCTION("""COMPUTED_VALUE"""),"Yes – Recommend")</f>
        <v>Yes – Recommend</v>
      </c>
      <c r="K319" s="55" t="str">
        <f>IFERROR(__xludf.DUMMYFUNCTION("""COMPUTED_VALUE"""),"Review before running ads")</f>
        <v>Review before running ads</v>
      </c>
      <c r="L319" s="55" t="str">
        <f>IFERROR(__xludf.DUMMYFUNCTION("""COMPUTED_VALUE"""),"Score 41.1 ≥ 30; 6-sec 32.1% ≥ 25%")</f>
        <v>Score 41.1 ≥ 30; 6-sec 32.1% ≥ 25%</v>
      </c>
      <c r="M319" s="55" t="str">
        <f>IFERROR(__xludf.DUMMYFUNCTION("""COMPUTED_VALUE"""),"No Ad Data")</f>
        <v>No Ad Data</v>
      </c>
      <c r="N319" s="55"/>
      <c r="O319" s="55"/>
      <c r="P319" s="55">
        <f>IFERROR(__xludf.DUMMYFUNCTION("""COMPUTED_VALUE"""),126.0)</f>
        <v>126</v>
      </c>
      <c r="Q319" s="55">
        <f>IFERROR(__xludf.DUMMYFUNCTION("""COMPUTED_VALUE"""),16.0)</f>
        <v>16</v>
      </c>
      <c r="R319" s="55">
        <f>IFERROR(__xludf.DUMMYFUNCTION("""COMPUTED_VALUE"""),12.0)</f>
        <v>12</v>
      </c>
      <c r="S319" s="55"/>
      <c r="T319" s="55">
        <f>IFERROR(__xludf.DUMMYFUNCTION("""COMPUTED_VALUE"""),32.1)</f>
        <v>32.1</v>
      </c>
      <c r="U319" s="55"/>
      <c r="V319" s="55">
        <f>IFERROR(__xludf.DUMMYFUNCTION("""COMPUTED_VALUE"""),0.253)</f>
        <v>0.253</v>
      </c>
      <c r="W319" s="55">
        <f>IFERROR(__xludf.DUMMYFUNCTION("""COMPUTED_VALUE"""),117.58)</f>
        <v>117.58</v>
      </c>
      <c r="X319" s="55"/>
      <c r="Y319" s="55"/>
      <c r="Z319" s="55"/>
      <c r="AA319" s="55"/>
      <c r="AB319" s="55"/>
      <c r="AC319" s="55"/>
      <c r="AD319" s="55"/>
      <c r="AE319" s="55"/>
      <c r="AF319" s="55"/>
      <c r="AG319" s="55"/>
      <c r="AH319" s="55"/>
      <c r="AI319" s="55"/>
      <c r="AJ319" s="55"/>
      <c r="AK319" s="55"/>
      <c r="AL319" s="55"/>
      <c r="AM319" s="55" t="str">
        <f>IFERROR(__xludf.DUMMYFUNCTION("""COMPUTED_VALUE"""),"#nIochq0X+WLXWxCJXtvJbGof+sSsfaOJuyYvFbqpPxiGeiQnjdBmElkK6M2hmaw=")</f>
        <v>#nIochq0X+WLXWxCJXtvJbGof+sSsfaOJuyYvFbqpPxiGeiQnjdBmElkK6M2hmaw=</v>
      </c>
      <c r="AN319" s="55"/>
      <c r="AO319" s="55"/>
      <c r="AP319" s="55"/>
      <c r="AQ319" s="55"/>
      <c r="AR319" s="55"/>
      <c r="AS319" s="55"/>
      <c r="AT319" s="55"/>
      <c r="AU319" s="55"/>
      <c r="AV319" s="55"/>
      <c r="AW319" s="35"/>
      <c r="AX319" s="35"/>
      <c r="AY319" s="35"/>
      <c r="AZ319" s="35"/>
      <c r="BA319" s="35"/>
      <c r="BB319" s="35"/>
      <c r="BC319" s="35"/>
      <c r="BD319" s="35"/>
      <c r="BE319" s="35"/>
      <c r="BF319" s="35"/>
      <c r="BG319" s="35"/>
    </row>
    <row r="320" ht="15.75" customHeight="1">
      <c r="A320" s="55" t="str">
        <f>IFERROR(__xludf.DUMMYFUNCTION("""COMPUTED_VALUE"""),"Tiktok")</f>
        <v>Tiktok</v>
      </c>
      <c r="B320" s="56">
        <f>IFERROR(__xludf.DUMMYFUNCTION("""COMPUTED_VALUE"""),46205.0)</f>
        <v>46205</v>
      </c>
      <c r="C320" s="55" t="str">
        <f>IFERROR(__xludf.DUMMYFUNCTION("""COMPUTED_VALUE"""),"July")</f>
        <v>July</v>
      </c>
      <c r="D320" s="58" t="str">
        <f>IFERROR(__xludf.DUMMYFUNCTION("""COMPUTED_VALUE"""),"https://www.tiktok.com/@jaque_conci/video/7657711239367232781")</f>
        <v>https://www.tiktok.com/@jaque_conci/video/7657711239367232781</v>
      </c>
      <c r="E320" s="55" t="str">
        <f>IFERROR(__xludf.DUMMYFUNCTION("""COMPUTED_VALUE"""),"@jaque_conci")</f>
        <v>@jaque_conci</v>
      </c>
      <c r="F320" s="55"/>
      <c r="G320" s="55" t="str">
        <f>IFERROR(__xludf.DUMMYFUNCTION("""COMPUTED_VALUE"""),"Countering Mushroom Coffee Trend")</f>
        <v>Countering Mushroom Coffee Trend</v>
      </c>
      <c r="H320" s="55"/>
      <c r="I320" s="55">
        <f>IFERROR(__xludf.DUMMYFUNCTION("""COMPUTED_VALUE"""),38.9)</f>
        <v>38.9</v>
      </c>
      <c r="J320" s="55" t="str">
        <f>IFERROR(__xludf.DUMMYFUNCTION("""COMPUTED_VALUE"""),"Yes – Recommend")</f>
        <v>Yes – Recommend</v>
      </c>
      <c r="K320" s="55" t="str">
        <f>IFERROR(__xludf.DUMMYFUNCTION("""COMPUTED_VALUE"""),"Review before running ads")</f>
        <v>Review before running ads</v>
      </c>
      <c r="L320" s="55" t="str">
        <f>IFERROR(__xludf.DUMMYFUNCTION("""COMPUTED_VALUE"""),"Score 40.8 ≥ 30")</f>
        <v>Score 40.8 ≥ 30</v>
      </c>
      <c r="M320" s="55" t="str">
        <f>IFERROR(__xludf.DUMMYFUNCTION("""COMPUTED_VALUE"""),"No Ad Data")</f>
        <v>No Ad Data</v>
      </c>
      <c r="N320" s="55"/>
      <c r="O320" s="55"/>
      <c r="P320" s="55">
        <f>IFERROR(__xludf.DUMMYFUNCTION("""COMPUTED_VALUE"""),199.0)</f>
        <v>199</v>
      </c>
      <c r="Q320" s="55">
        <f>IFERROR(__xludf.DUMMYFUNCTION("""COMPUTED_VALUE"""),25.0)</f>
        <v>25</v>
      </c>
      <c r="R320" s="55">
        <f>IFERROR(__xludf.DUMMYFUNCTION("""COMPUTED_VALUE"""),16.0)</f>
        <v>16</v>
      </c>
      <c r="S320" s="55"/>
      <c r="T320" s="55">
        <f>IFERROR(__xludf.DUMMYFUNCTION("""COMPUTED_VALUE"""),23.3)</f>
        <v>23.3</v>
      </c>
      <c r="U320" s="55"/>
      <c r="V320" s="55">
        <f>IFERROR(__xludf.DUMMYFUNCTION("""COMPUTED_VALUE"""),0.241)</f>
        <v>0.241</v>
      </c>
      <c r="W320" s="55">
        <f>IFERROR(__xludf.DUMMYFUNCTION("""COMPUTED_VALUE"""),117.58)</f>
        <v>117.58</v>
      </c>
      <c r="X320" s="55"/>
      <c r="Y320" s="55"/>
      <c r="Z320" s="55"/>
      <c r="AA320" s="55"/>
      <c r="AB320" s="55"/>
      <c r="AC320" s="55"/>
      <c r="AD320" s="55"/>
      <c r="AE320" s="55"/>
      <c r="AF320" s="55"/>
      <c r="AG320" s="55"/>
      <c r="AH320" s="55"/>
      <c r="AI320" s="55"/>
      <c r="AJ320" s="55"/>
      <c r="AK320" s="55"/>
      <c r="AL320" s="55"/>
      <c r="AM320" s="55" t="str">
        <f>IFERROR(__xludf.DUMMYFUNCTION("""COMPUTED_VALUE"""),"#BOc1TFYYF/3lawvzvNcFOwxRY+IUHRvUx+IA7VXT9YSJpGu2Bsb7xmE6elNmqxU=")</f>
        <v>#BOc1TFYYF/3lawvzvNcFOwxRY+IUHRvUx+IA7VXT9YSJpGu2Bsb7xmE6elNmqxU=</v>
      </c>
      <c r="AN320" s="55"/>
      <c r="AO320" s="55"/>
      <c r="AP320" s="55"/>
      <c r="AQ320" s="55"/>
      <c r="AR320" s="55"/>
      <c r="AS320" s="55"/>
      <c r="AT320" s="55"/>
      <c r="AU320" s="55"/>
      <c r="AV320" s="55"/>
      <c r="AW320" s="35"/>
      <c r="AX320" s="35"/>
      <c r="AY320" s="35"/>
      <c r="AZ320" s="35"/>
      <c r="BA320" s="35"/>
      <c r="BB320" s="35"/>
      <c r="BC320" s="35"/>
      <c r="BD320" s="35"/>
      <c r="BE320" s="35"/>
      <c r="BF320" s="35"/>
      <c r="BG320" s="35"/>
    </row>
    <row r="321" ht="15.75" customHeight="1">
      <c r="A321" s="55" t="str">
        <f>IFERROR(__xludf.DUMMYFUNCTION("""COMPUTED_VALUE"""),"Instagram")</f>
        <v>Instagram</v>
      </c>
      <c r="B321" s="56">
        <f>IFERROR(__xludf.DUMMYFUNCTION("""COMPUTED_VALUE"""),46206.0)</f>
        <v>46206</v>
      </c>
      <c r="C321" s="55" t="str">
        <f>IFERROR(__xludf.DUMMYFUNCTION("""COMPUTED_VALUE"""),"July")</f>
        <v>July</v>
      </c>
      <c r="D321" s="58" t="str">
        <f>IFERROR(__xludf.DUMMYFUNCTION("""COMPUTED_VALUE"""),"https://www.instagram.com/reel/DaTmC0uBhLI/")</f>
        <v>https://www.instagram.com/reel/DaTmC0uBhLI/</v>
      </c>
      <c r="E321" s="55" t="str">
        <f>IFERROR(__xludf.DUMMYFUNCTION("""COMPUTED_VALUE"""),"@na")</f>
        <v>@na</v>
      </c>
      <c r="F321" s="55"/>
      <c r="G321" s="55" t="str">
        <f>IFERROR(__xludf.DUMMYFUNCTION("""COMPUTED_VALUE"""),"Cortisol")</f>
        <v>Cortisol</v>
      </c>
      <c r="H321" s="55"/>
      <c r="I321" s="55">
        <f>IFERROR(__xludf.DUMMYFUNCTION("""COMPUTED_VALUE"""),63.8)</f>
        <v>63.8</v>
      </c>
      <c r="J321" s="55" t="str">
        <f>IFERROR(__xludf.DUMMYFUNCTION("""COMPUTED_VALUE"""),"Yes – Recommend")</f>
        <v>Yes – Recommend</v>
      </c>
      <c r="K321" s="55" t="str">
        <f>IFERROR(__xludf.DUMMYFUNCTION("""COMPUTED_VALUE"""),"Review before running ads")</f>
        <v>Review before running ads</v>
      </c>
      <c r="L321" s="55" t="str">
        <f>IFERROR(__xludf.DUMMYFUNCTION("""COMPUTED_VALUE"""),"Score 21.6 ≥ 20 threshold")</f>
        <v>Score 21.6 ≥ 20 threshold</v>
      </c>
      <c r="M321" s="55" t="str">
        <f>IFERROR(__xludf.DUMMYFUNCTION("""COMPUTED_VALUE"""),"No Ad Data")</f>
        <v>No Ad Data</v>
      </c>
      <c r="N321" s="55"/>
      <c r="O321" s="55"/>
      <c r="P321" s="55">
        <f>IFERROR(__xludf.DUMMYFUNCTION("""COMPUTED_VALUE"""),1400.0)</f>
        <v>1400</v>
      </c>
      <c r="Q321" s="55">
        <f>IFERROR(__xludf.DUMMYFUNCTION("""COMPUTED_VALUE"""),88.0)</f>
        <v>88</v>
      </c>
      <c r="R321" s="55">
        <f>IFERROR(__xludf.DUMMYFUNCTION("""COMPUTED_VALUE"""),76.0)</f>
        <v>76</v>
      </c>
      <c r="S321" s="55"/>
      <c r="T321" s="55"/>
      <c r="U321" s="55"/>
      <c r="V321" s="55" t="str">
        <f>IFERROR(__xludf.DUMMYFUNCTION("""COMPUTED_VALUE"""),"#NUM!")</f>
        <v>#NUM!</v>
      </c>
      <c r="W321" s="55">
        <f>IFERROR(__xludf.DUMMYFUNCTION("""COMPUTED_VALUE"""),117.58)</f>
        <v>117.58</v>
      </c>
      <c r="X321" s="55"/>
      <c r="Y321" s="55"/>
      <c r="Z321" s="55"/>
      <c r="AA321" s="55"/>
      <c r="AB321" s="55"/>
      <c r="AC321" s="55"/>
      <c r="AD321" s="55"/>
      <c r="AE321" s="55"/>
      <c r="AF321" s="55"/>
      <c r="AG321" s="55"/>
      <c r="AH321" s="55"/>
      <c r="AI321" s="55"/>
      <c r="AJ321" s="55"/>
      <c r="AK321" s="55"/>
      <c r="AL321" s="55"/>
      <c r="AM321" s="55" t="str">
        <f>IFERROR(__xludf.DUMMYFUNCTION("""COMPUTED_VALUE"""),"Q9jTBBVhbKchx0vI-OsiBPdPRlQhQe4HE3DuYicFq41w0aCUnj-RM7VrdW2G7Kwe7sE")</f>
        <v>Q9jTBBVhbKchx0vI-OsiBPdPRlQhQe4HE3DuYicFq41w0aCUnj-RM7VrdW2G7Kwe7sE</v>
      </c>
      <c r="AN321" s="55"/>
      <c r="AO321" s="55"/>
      <c r="AP321" s="55"/>
      <c r="AQ321" s="55"/>
      <c r="AR321" s="55"/>
      <c r="AS321" s="55"/>
      <c r="AT321" s="55"/>
      <c r="AU321" s="55"/>
      <c r="AV321" s="55"/>
      <c r="AW321" s="35"/>
      <c r="AX321" s="35"/>
      <c r="AY321" s="35"/>
      <c r="AZ321" s="35"/>
      <c r="BA321" s="35"/>
      <c r="BB321" s="35"/>
      <c r="BC321" s="35"/>
      <c r="BD321" s="35"/>
      <c r="BE321" s="35"/>
      <c r="BF321" s="35"/>
      <c r="BG321" s="35"/>
    </row>
    <row r="322" ht="15.75" customHeight="1">
      <c r="A322" s="55" t="str">
        <f>IFERROR(__xludf.DUMMYFUNCTION("""COMPUTED_VALUE"""),"Tiktok")</f>
        <v>Tiktok</v>
      </c>
      <c r="B322" s="56">
        <f>IFERROR(__xludf.DUMMYFUNCTION("""COMPUTED_VALUE"""),46205.0)</f>
        <v>46205</v>
      </c>
      <c r="C322" s="55" t="str">
        <f>IFERROR(__xludf.DUMMYFUNCTION("""COMPUTED_VALUE"""),"July")</f>
        <v>July</v>
      </c>
      <c r="D322" s="58" t="str">
        <f>IFERROR(__xludf.DUMMYFUNCTION("""COMPUTED_VALUE"""),"https://www.tiktok.com/@sha_hmn3/video/7657787338046655764")</f>
        <v>https://www.tiktok.com/@sha_hmn3/video/7657787338046655764</v>
      </c>
      <c r="E322" s="55" t="str">
        <f>IFERROR(__xludf.DUMMYFUNCTION("""COMPUTED_VALUE"""),"@sha_hmn3")</f>
        <v>@sha_hmn3</v>
      </c>
      <c r="F322" s="55"/>
      <c r="G322" s="55" t="str">
        <f>IFERROR(__xludf.DUMMYFUNCTION("""COMPUTED_VALUE"""),"Gummies vs Coffee")</f>
        <v>Gummies vs Coffee</v>
      </c>
      <c r="H322" s="55"/>
      <c r="I322" s="55">
        <f>IFERROR(__xludf.DUMMYFUNCTION("""COMPUTED_VALUE"""),36.4)</f>
        <v>36.4</v>
      </c>
      <c r="J322" s="55" t="str">
        <f>IFERROR(__xludf.DUMMYFUNCTION("""COMPUTED_VALUE"""),"Yes – Recommend")</f>
        <v>Yes – Recommend</v>
      </c>
      <c r="K322" s="55" t="str">
        <f>IFERROR(__xludf.DUMMYFUNCTION("""COMPUTED_VALUE"""),"Review before running ads")</f>
        <v>Review before running ads</v>
      </c>
      <c r="L322" s="55" t="str">
        <f>IFERROR(__xludf.DUMMYFUNCTION("""COMPUTED_VALUE"""),"Score 38.2 ≥ 30")</f>
        <v>Score 38.2 ≥ 30</v>
      </c>
      <c r="M322" s="55" t="str">
        <f>IFERROR(__xludf.DUMMYFUNCTION("""COMPUTED_VALUE"""),"No Ad Data")</f>
        <v>No Ad Data</v>
      </c>
      <c r="N322" s="55"/>
      <c r="O322" s="55"/>
      <c r="P322" s="55">
        <f>IFERROR(__xludf.DUMMYFUNCTION("""COMPUTED_VALUE"""),175.0)</f>
        <v>175</v>
      </c>
      <c r="Q322" s="55">
        <f>IFERROR(__xludf.DUMMYFUNCTION("""COMPUTED_VALUE"""),15.0)</f>
        <v>15</v>
      </c>
      <c r="R322" s="55">
        <f>IFERROR(__xludf.DUMMYFUNCTION("""COMPUTED_VALUE"""),2.0)</f>
        <v>2</v>
      </c>
      <c r="S322" s="55"/>
      <c r="T322" s="55">
        <f>IFERROR(__xludf.DUMMYFUNCTION("""COMPUTED_VALUE"""),23.4)</f>
        <v>23.4</v>
      </c>
      <c r="U322" s="55"/>
      <c r="V322" s="55">
        <f>IFERROR(__xludf.DUMMYFUNCTION("""COMPUTED_VALUE"""),0.102)</f>
        <v>0.102</v>
      </c>
      <c r="W322" s="55">
        <f>IFERROR(__xludf.DUMMYFUNCTION("""COMPUTED_VALUE"""),72.99)</f>
        <v>72.99</v>
      </c>
      <c r="X322" s="55"/>
      <c r="Y322" s="55"/>
      <c r="Z322" s="55"/>
      <c r="AA322" s="55"/>
      <c r="AB322" s="55"/>
      <c r="AC322" s="55"/>
      <c r="AD322" s="55"/>
      <c r="AE322" s="55"/>
      <c r="AF322" s="55"/>
      <c r="AG322" s="55"/>
      <c r="AH322" s="55"/>
      <c r="AI322" s="55"/>
      <c r="AJ322" s="55"/>
      <c r="AK322" s="55"/>
      <c r="AL322" s="55"/>
      <c r="AM322" s="55" t="str">
        <f>IFERROR(__xludf.DUMMYFUNCTION("""COMPUTED_VALUE"""),"#ZdnegEMKZybcyZZmUU5JVN+Ca9zXp3ltmn/p6DwBWsFzBcB/PNOVhfc9szpeYbE=")</f>
        <v>#ZdnegEMKZybcyZZmUU5JVN+Ca9zXp3ltmn/p6DwBWsFzBcB/PNOVhfc9szpeYbE=</v>
      </c>
      <c r="AN322" s="55"/>
      <c r="AO322" s="55"/>
      <c r="AP322" s="55"/>
      <c r="AQ322" s="55"/>
      <c r="AR322" s="55"/>
      <c r="AS322" s="55"/>
      <c r="AT322" s="55"/>
      <c r="AU322" s="55"/>
      <c r="AV322" s="55"/>
      <c r="AW322" s="35"/>
      <c r="AX322" s="35"/>
      <c r="AY322" s="35"/>
      <c r="AZ322" s="35"/>
      <c r="BA322" s="35"/>
      <c r="BB322" s="35"/>
      <c r="BC322" s="35"/>
      <c r="BD322" s="35"/>
      <c r="BE322" s="35"/>
      <c r="BF322" s="35"/>
      <c r="BG322" s="35"/>
    </row>
    <row r="323" ht="15.75" customHeight="1">
      <c r="A323" s="55" t="str">
        <f>IFERROR(__xludf.DUMMYFUNCTION("""COMPUTED_VALUE"""),"Tiktok")</f>
        <v>Tiktok</v>
      </c>
      <c r="B323" s="56">
        <f>IFERROR(__xludf.DUMMYFUNCTION("""COMPUTED_VALUE"""),46199.0)</f>
        <v>46199</v>
      </c>
      <c r="C323" s="55" t="str">
        <f>IFERROR(__xludf.DUMMYFUNCTION("""COMPUTED_VALUE"""),"June")</f>
        <v>June</v>
      </c>
      <c r="D323" s="58" t="str">
        <f>IFERROR(__xludf.DUMMYFUNCTION("""COMPUTED_VALUE"""),"https://www.tiktok.com/@sashdigitalmuse/video/7654768951204793613")</f>
        <v>https://www.tiktok.com/@sashdigitalmuse/video/7654768951204793613</v>
      </c>
      <c r="E323" s="55" t="str">
        <f>IFERROR(__xludf.DUMMYFUNCTION("""COMPUTED_VALUE"""),"@sashdigitalmuse")</f>
        <v>@sashdigitalmuse</v>
      </c>
      <c r="F323" s="55"/>
      <c r="G323" s="55" t="str">
        <f>IFERROR(__xludf.DUMMYFUNCTION("""COMPUTED_VALUE"""),"Cortisol")</f>
        <v>Cortisol</v>
      </c>
      <c r="H323" s="55"/>
      <c r="I323" s="55">
        <f>IFERROR(__xludf.DUMMYFUNCTION("""COMPUTED_VALUE"""),36.4)</f>
        <v>36.4</v>
      </c>
      <c r="J323" s="55" t="str">
        <f>IFERROR(__xludf.DUMMYFUNCTION("""COMPUTED_VALUE"""),"Yes – Recommend")</f>
        <v>Yes – Recommend</v>
      </c>
      <c r="K323" s="55" t="str">
        <f>IFERROR(__xludf.DUMMYFUNCTION("""COMPUTED_VALUE"""),"Review before running ads")</f>
        <v>Review before running ads</v>
      </c>
      <c r="L323" s="55" t="str">
        <f>IFERROR(__xludf.DUMMYFUNCTION("""COMPUTED_VALUE"""),"Score 38.1 ≥ 30; 6-sec 29.7% ≥ 25%")</f>
        <v>Score 38.1 ≥ 30; 6-sec 29.7% ≥ 25%</v>
      </c>
      <c r="M323" s="55" t="str">
        <f>IFERROR(__xludf.DUMMYFUNCTION("""COMPUTED_VALUE"""),"No Ad Data")</f>
        <v>No Ad Data</v>
      </c>
      <c r="N323" s="55"/>
      <c r="O323" s="55"/>
      <c r="P323" s="55">
        <f>IFERROR(__xludf.DUMMYFUNCTION("""COMPUTED_VALUE"""),108.0)</f>
        <v>108</v>
      </c>
      <c r="Q323" s="55">
        <f>IFERROR(__xludf.DUMMYFUNCTION("""COMPUTED_VALUE"""),7.0)</f>
        <v>7</v>
      </c>
      <c r="R323" s="55">
        <f>IFERROR(__xludf.DUMMYFUNCTION("""COMPUTED_VALUE"""),5.0)</f>
        <v>5</v>
      </c>
      <c r="S323" s="55"/>
      <c r="T323" s="55">
        <f>IFERROR(__xludf.DUMMYFUNCTION("""COMPUTED_VALUE"""),29.7)</f>
        <v>29.7</v>
      </c>
      <c r="U323" s="55"/>
      <c r="V323" s="55">
        <f>IFERROR(__xludf.DUMMYFUNCTION("""COMPUTED_VALUE"""),0.111)</f>
        <v>0.111</v>
      </c>
      <c r="W323" s="55">
        <f>IFERROR(__xludf.DUMMYFUNCTION("""COMPUTED_VALUE"""),117.58)</f>
        <v>117.58</v>
      </c>
      <c r="X323" s="55"/>
      <c r="Y323" s="55"/>
      <c r="Z323" s="55"/>
      <c r="AA323" s="55"/>
      <c r="AB323" s="55"/>
      <c r="AC323" s="55"/>
      <c r="AD323" s="55"/>
      <c r="AE323" s="55"/>
      <c r="AF323" s="55"/>
      <c r="AG323" s="55"/>
      <c r="AH323" s="55"/>
      <c r="AI323" s="55"/>
      <c r="AJ323" s="55"/>
      <c r="AK323" s="55"/>
      <c r="AL323" s="55"/>
      <c r="AM323" s="55" t="str">
        <f>IFERROR(__xludf.DUMMYFUNCTION("""COMPUTED_VALUE"""),"#w+KZZA7U6F7qwnd2s0nAHmlB0xn7ii5IE6VyTHqGws5DNfLD0OAXoUH0kk9qUIg=")</f>
        <v>#w+KZZA7U6F7qwnd2s0nAHmlB0xn7ii5IE6VyTHqGws5DNfLD0OAXoUH0kk9qUIg=</v>
      </c>
      <c r="AN323" s="55"/>
      <c r="AO323" s="55"/>
      <c r="AP323" s="55"/>
      <c r="AQ323" s="55"/>
      <c r="AR323" s="55"/>
      <c r="AS323" s="55"/>
      <c r="AT323" s="55"/>
      <c r="AU323" s="55"/>
      <c r="AV323" s="55"/>
      <c r="AW323" s="35"/>
      <c r="AX323" s="35"/>
      <c r="AY323" s="35"/>
      <c r="AZ323" s="35"/>
      <c r="BA323" s="35"/>
      <c r="BB323" s="35"/>
      <c r="BC323" s="35"/>
      <c r="BD323" s="35"/>
      <c r="BE323" s="35"/>
      <c r="BF323" s="35"/>
      <c r="BG323" s="35"/>
    </row>
    <row r="324" ht="15.75" customHeight="1">
      <c r="A324" s="55" t="str">
        <f>IFERROR(__xludf.DUMMYFUNCTION("""COMPUTED_VALUE"""),"Tiktok")</f>
        <v>Tiktok</v>
      </c>
      <c r="B324" s="56">
        <f>IFERROR(__xludf.DUMMYFUNCTION("""COMPUTED_VALUE"""),46203.0)</f>
        <v>46203</v>
      </c>
      <c r="C324" s="55" t="str">
        <f>IFERROR(__xludf.DUMMYFUNCTION("""COMPUTED_VALUE"""),"June")</f>
        <v>June</v>
      </c>
      <c r="D324" s="58" t="str">
        <f>IFERROR(__xludf.DUMMYFUNCTION("""COMPUTED_VALUE"""),"https://www.tiktok.com/@therealsandraarmacost/video/7657158217977498893")</f>
        <v>https://www.tiktok.com/@therealsandraarmacost/video/7657158217977498893</v>
      </c>
      <c r="E324" s="55" t="str">
        <f>IFERROR(__xludf.DUMMYFUNCTION("""COMPUTED_VALUE"""),"@therealsandraarmacost")</f>
        <v>@therealsandraarmacost</v>
      </c>
      <c r="F324" s="55"/>
      <c r="G324" s="55" t="str">
        <f>IFERROR(__xludf.DUMMYFUNCTION("""COMPUTED_VALUE"""),"Gummies vs Coffee")</f>
        <v>Gummies vs Coffee</v>
      </c>
      <c r="H324" s="55"/>
      <c r="I324" s="55">
        <f>IFERROR(__xludf.DUMMYFUNCTION("""COMPUTED_VALUE"""),36.1)</f>
        <v>36.1</v>
      </c>
      <c r="J324" s="55" t="str">
        <f>IFERROR(__xludf.DUMMYFUNCTION("""COMPUTED_VALUE"""),"Yes – Recommend")</f>
        <v>Yes – Recommend</v>
      </c>
      <c r="K324" s="55" t="str">
        <f>IFERROR(__xludf.DUMMYFUNCTION("""COMPUTED_VALUE"""),"Review before running ads")</f>
        <v>Review before running ads</v>
      </c>
      <c r="L324" s="55" t="str">
        <f>IFERROR(__xludf.DUMMYFUNCTION("""COMPUTED_VALUE"""),"Score 38.0 ≥ 30; 6-sec 32.5% ≥ 25%")</f>
        <v>Score 38.0 ≥ 30; 6-sec 32.5% ≥ 25%</v>
      </c>
      <c r="M324" s="55" t="str">
        <f>IFERROR(__xludf.DUMMYFUNCTION("""COMPUTED_VALUE"""),"No Ad Data")</f>
        <v>No Ad Data</v>
      </c>
      <c r="N324" s="55"/>
      <c r="O324" s="55"/>
      <c r="P324" s="55">
        <f>IFERROR(__xludf.DUMMYFUNCTION("""COMPUTED_VALUE"""),165.0)</f>
        <v>165</v>
      </c>
      <c r="Q324" s="55">
        <f>IFERROR(__xludf.DUMMYFUNCTION("""COMPUTED_VALUE"""),5.0)</f>
        <v>5</v>
      </c>
      <c r="R324" s="55">
        <f>IFERROR(__xludf.DUMMYFUNCTION("""COMPUTED_VALUE"""),2.0)</f>
        <v>2</v>
      </c>
      <c r="S324" s="55"/>
      <c r="T324" s="55">
        <f>IFERROR(__xludf.DUMMYFUNCTION("""COMPUTED_VALUE"""),32.5)</f>
        <v>32.5</v>
      </c>
      <c r="U324" s="55"/>
      <c r="V324" s="55">
        <f>IFERROR(__xludf.DUMMYFUNCTION("""COMPUTED_VALUE"""),0.042)</f>
        <v>0.042</v>
      </c>
      <c r="W324" s="55">
        <f>IFERROR(__xludf.DUMMYFUNCTION("""COMPUTED_VALUE"""),72.99)</f>
        <v>72.99</v>
      </c>
      <c r="X324" s="55"/>
      <c r="Y324" s="55"/>
      <c r="Z324" s="55"/>
      <c r="AA324" s="55"/>
      <c r="AB324" s="55"/>
      <c r="AC324" s="55"/>
      <c r="AD324" s="55"/>
      <c r="AE324" s="55"/>
      <c r="AF324" s="55"/>
      <c r="AG324" s="55"/>
      <c r="AH324" s="55"/>
      <c r="AI324" s="55"/>
      <c r="AJ324" s="55"/>
      <c r="AK324" s="55"/>
      <c r="AL324" s="55"/>
      <c r="AM324" s="55" t="str">
        <f>IFERROR(__xludf.DUMMYFUNCTION("""COMPUTED_VALUE"""),"#f70Q2WAWdQ6Cm1382cVpczkFWiqx+gY6Kz93LxmzOWOlXV7tIO8NGyR7mVO29mM=")</f>
        <v>#f70Q2WAWdQ6Cm1382cVpczkFWiqx+gY6Kz93LxmzOWOlXV7tIO8NGyR7mVO29mM=</v>
      </c>
      <c r="AN324" s="55"/>
      <c r="AO324" s="55"/>
      <c r="AP324" s="55"/>
      <c r="AQ324" s="55"/>
      <c r="AR324" s="55"/>
      <c r="AS324" s="55"/>
      <c r="AT324" s="55"/>
      <c r="AU324" s="55"/>
      <c r="AV324" s="55"/>
      <c r="AW324" s="35"/>
      <c r="AX324" s="35"/>
      <c r="AY324" s="35"/>
      <c r="AZ324" s="35"/>
      <c r="BA324" s="35"/>
      <c r="BB324" s="35"/>
      <c r="BC324" s="35"/>
      <c r="BD324" s="35"/>
      <c r="BE324" s="35"/>
      <c r="BF324" s="35"/>
      <c r="BG324" s="35"/>
    </row>
    <row r="325" ht="15.75" customHeight="1">
      <c r="A325" s="55" t="str">
        <f>IFERROR(__xludf.DUMMYFUNCTION("""COMPUTED_VALUE"""),"Tiktok")</f>
        <v>Tiktok</v>
      </c>
      <c r="B325" s="56">
        <f>IFERROR(__xludf.DUMMYFUNCTION("""COMPUTED_VALUE"""),46204.0)</f>
        <v>46204</v>
      </c>
      <c r="C325" s="55" t="str">
        <f>IFERROR(__xludf.DUMMYFUNCTION("""COMPUTED_VALUE"""),"July")</f>
        <v>July</v>
      </c>
      <c r="D325" s="58" t="str">
        <f>IFERROR(__xludf.DUMMYFUNCTION("""COMPUTED_VALUE"""),"https://www.tiktok.com/@patykarini/video/7657511139101707550")</f>
        <v>https://www.tiktok.com/@patykarini/video/7657511139101707550</v>
      </c>
      <c r="E325" s="55" t="str">
        <f>IFERROR(__xludf.DUMMYFUNCTION("""COMPUTED_VALUE"""),"@patykarini")</f>
        <v>@patykarini</v>
      </c>
      <c r="F325" s="55"/>
      <c r="G325" s="55" t="str">
        <f>IFERROR(__xludf.DUMMYFUNCTION("""COMPUTED_VALUE"""),"Over 40/ High Performer")</f>
        <v>Over 40/ High Performer</v>
      </c>
      <c r="H325" s="55"/>
      <c r="I325" s="55">
        <f>IFERROR(__xludf.DUMMYFUNCTION("""COMPUTED_VALUE"""),36.2)</f>
        <v>36.2</v>
      </c>
      <c r="J325" s="55" t="str">
        <f>IFERROR(__xludf.DUMMYFUNCTION("""COMPUTED_VALUE"""),"Yes – Recommend")</f>
        <v>Yes – Recommend</v>
      </c>
      <c r="K325" s="55" t="str">
        <f>IFERROR(__xludf.DUMMYFUNCTION("""COMPUTED_VALUE"""),"Review before running ads")</f>
        <v>Review before running ads</v>
      </c>
      <c r="L325" s="55" t="str">
        <f>IFERROR(__xludf.DUMMYFUNCTION("""COMPUTED_VALUE"""),"Score 37.8 ≥ 30")</f>
        <v>Score 37.8 ≥ 30</v>
      </c>
      <c r="M325" s="55" t="str">
        <f>IFERROR(__xludf.DUMMYFUNCTION("""COMPUTED_VALUE"""),"No Ad Data")</f>
        <v>No Ad Data</v>
      </c>
      <c r="N325" s="55"/>
      <c r="O325" s="55"/>
      <c r="P325" s="55">
        <f>IFERROR(__xludf.DUMMYFUNCTION("""COMPUTED_VALUE"""),105.0)</f>
        <v>105</v>
      </c>
      <c r="Q325" s="55">
        <f>IFERROR(__xludf.DUMMYFUNCTION("""COMPUTED_VALUE"""),14.0)</f>
        <v>14</v>
      </c>
      <c r="R325" s="55">
        <f>IFERROR(__xludf.DUMMYFUNCTION("""COMPUTED_VALUE"""),11.0)</f>
        <v>11</v>
      </c>
      <c r="S325" s="55"/>
      <c r="T325" s="55">
        <f>IFERROR(__xludf.DUMMYFUNCTION("""COMPUTED_VALUE"""),21.3)</f>
        <v>21.3</v>
      </c>
      <c r="U325" s="55"/>
      <c r="V325" s="55">
        <f>IFERROR(__xludf.DUMMYFUNCTION("""COMPUTED_VALUE"""),0.257)</f>
        <v>0.257</v>
      </c>
      <c r="W325" s="55">
        <f>IFERROR(__xludf.DUMMYFUNCTION("""COMPUTED_VALUE"""),117.58)</f>
        <v>117.58</v>
      </c>
      <c r="X325" s="55"/>
      <c r="Y325" s="55"/>
      <c r="Z325" s="55"/>
      <c r="AA325" s="55"/>
      <c r="AB325" s="55"/>
      <c r="AC325" s="55"/>
      <c r="AD325" s="55"/>
      <c r="AE325" s="55"/>
      <c r="AF325" s="55"/>
      <c r="AG325" s="55"/>
      <c r="AH325" s="55"/>
      <c r="AI325" s="55"/>
      <c r="AJ325" s="55"/>
      <c r="AK325" s="55"/>
      <c r="AL325" s="55"/>
      <c r="AM325" s="55" t="str">
        <f>IFERROR(__xludf.DUMMYFUNCTION("""COMPUTED_VALUE"""),"#iD8Q2RZgQBcSZ4iHOvcfNDtPuLtf0Mrr2UpSMq3GWPcBGHzYwMMZzUSfjo7yPxI=")</f>
        <v>#iD8Q2RZgQBcSZ4iHOvcfNDtPuLtf0Mrr2UpSMq3GWPcBGHzYwMMZzUSfjo7yPxI=</v>
      </c>
      <c r="AN325" s="55"/>
      <c r="AO325" s="55"/>
      <c r="AP325" s="55"/>
      <c r="AQ325" s="55"/>
      <c r="AR325" s="55"/>
      <c r="AS325" s="55"/>
      <c r="AT325" s="55"/>
      <c r="AU325" s="55"/>
      <c r="AV325" s="55"/>
      <c r="AW325" s="35"/>
      <c r="AX325" s="35"/>
      <c r="AY325" s="35"/>
      <c r="AZ325" s="35"/>
      <c r="BA325" s="35"/>
      <c r="BB325" s="35"/>
      <c r="BC325" s="35"/>
      <c r="BD325" s="35"/>
      <c r="BE325" s="35"/>
      <c r="BF325" s="35"/>
      <c r="BG325" s="35"/>
    </row>
    <row r="326" ht="15.75" customHeight="1">
      <c r="A326" s="55" t="str">
        <f>IFERROR(__xludf.DUMMYFUNCTION("""COMPUTED_VALUE"""),"Instagram")</f>
        <v>Instagram</v>
      </c>
      <c r="B326" s="56">
        <f>IFERROR(__xludf.DUMMYFUNCTION("""COMPUTED_VALUE"""),46203.0)</f>
        <v>46203</v>
      </c>
      <c r="C326" s="55" t="str">
        <f>IFERROR(__xludf.DUMMYFUNCTION("""COMPUTED_VALUE"""),"June")</f>
        <v>June</v>
      </c>
      <c r="D326" s="58" t="str">
        <f>IFERROR(__xludf.DUMMYFUNCTION("""COMPUTED_VALUE"""),"https://www.instagram.com/reel/DaNUUqlvRaQ/?utm_source=ig_web_copy_link&amp;igsh=MzRlODBiNWFlZA==")</f>
        <v>https://www.instagram.com/reel/DaNUUqlvRaQ/?utm_source=ig_web_copy_link&amp;igsh=MzRlODBiNWFlZA==</v>
      </c>
      <c r="E326" s="55" t="str">
        <f>IFERROR(__xludf.DUMMYFUNCTION("""COMPUTED_VALUE"""),"@na")</f>
        <v>@na</v>
      </c>
      <c r="F326" s="55"/>
      <c r="G326" s="55" t="str">
        <f>IFERROR(__xludf.DUMMYFUNCTION("""COMPUTED_VALUE"""),"Over 40/ High Performer")</f>
        <v>Over 40/ High Performer</v>
      </c>
      <c r="H326" s="55"/>
      <c r="I326" s="55">
        <f>IFERROR(__xludf.DUMMYFUNCTION("""COMPUTED_VALUE"""),36.8)</f>
        <v>36.8</v>
      </c>
      <c r="J326" s="55" t="str">
        <f>IFERROR(__xludf.DUMMYFUNCTION("""COMPUTED_VALUE"""),"Yes – Recommend")</f>
        <v>Yes – Recommend</v>
      </c>
      <c r="K326" s="55" t="str">
        <f>IFERROR(__xludf.DUMMYFUNCTION("""COMPUTED_VALUE"""),"Review before running ads")</f>
        <v>Review before running ads</v>
      </c>
      <c r="L326" s="55" t="str">
        <f>IFERROR(__xludf.DUMMYFUNCTION("""COMPUTED_VALUE"""),"Score 38.6 ≥ 20 threshold")</f>
        <v>Score 38.6 ≥ 20 threshold</v>
      </c>
      <c r="M326" s="55" t="str">
        <f>IFERROR(__xludf.DUMMYFUNCTION("""COMPUTED_VALUE"""),"No Ad Data")</f>
        <v>No Ad Data</v>
      </c>
      <c r="N326" s="55"/>
      <c r="O326" s="55"/>
      <c r="P326" s="55">
        <f>IFERROR(__xludf.DUMMYFUNCTION("""COMPUTED_VALUE"""),246.0)</f>
        <v>246</v>
      </c>
      <c r="Q326" s="55">
        <f>IFERROR(__xludf.DUMMYFUNCTION("""COMPUTED_VALUE"""),32.0)</f>
        <v>32</v>
      </c>
      <c r="R326" s="55">
        <f>IFERROR(__xludf.DUMMYFUNCTION("""COMPUTED_VALUE"""),27.0)</f>
        <v>27</v>
      </c>
      <c r="S326" s="55"/>
      <c r="T326" s="55"/>
      <c r="U326" s="55"/>
      <c r="V326" s="55"/>
      <c r="W326" s="55">
        <f>IFERROR(__xludf.DUMMYFUNCTION("""COMPUTED_VALUE"""),117.58)</f>
        <v>117.58</v>
      </c>
      <c r="X326" s="55"/>
      <c r="Y326" s="55"/>
      <c r="Z326" s="55"/>
      <c r="AA326" s="55"/>
      <c r="AB326" s="55"/>
      <c r="AC326" s="55"/>
      <c r="AD326" s="55"/>
      <c r="AE326" s="55"/>
      <c r="AF326" s="55"/>
      <c r="AG326" s="55"/>
      <c r="AH326" s="55"/>
      <c r="AI326" s="55"/>
      <c r="AJ326" s="55"/>
      <c r="AK326" s="55"/>
      <c r="AL326" s="55"/>
      <c r="AM326" s="55" t="str">
        <f>IFERROR(__xludf.DUMMYFUNCTION("""COMPUTED_VALUE"""),"Q9jTBBVS2QnDonjRdr720HZkZz5xNYVqRwM7hxmUBuExOZHvnznhmj8HHDeaetfhVA")</f>
        <v>Q9jTBBVS2QnDonjRdr720HZkZz5xNYVqRwM7hxmUBuExOZHvnznhmj8HHDeaetfhVA</v>
      </c>
      <c r="AN326" s="55"/>
      <c r="AO326" s="55"/>
      <c r="AP326" s="55"/>
      <c r="AQ326" s="55"/>
      <c r="AR326" s="55"/>
      <c r="AS326" s="55"/>
      <c r="AT326" s="55"/>
      <c r="AU326" s="55"/>
      <c r="AV326" s="55"/>
      <c r="AW326" s="35"/>
      <c r="AX326" s="35"/>
      <c r="AY326" s="35"/>
      <c r="AZ326" s="35"/>
      <c r="BA326" s="35"/>
      <c r="BB326" s="35"/>
      <c r="BC326" s="35"/>
      <c r="BD326" s="35"/>
      <c r="BE326" s="35"/>
      <c r="BF326" s="35"/>
      <c r="BG326" s="35"/>
    </row>
    <row r="327" ht="15.75" customHeight="1">
      <c r="A327" s="55" t="str">
        <f>IFERROR(__xludf.DUMMYFUNCTION("""COMPUTED_VALUE"""),"Tiktok")</f>
        <v>Tiktok</v>
      </c>
      <c r="B327" s="56">
        <f>IFERROR(__xludf.DUMMYFUNCTION("""COMPUTED_VALUE"""),46204.0)</f>
        <v>46204</v>
      </c>
      <c r="C327" s="55" t="str">
        <f>IFERROR(__xludf.DUMMYFUNCTION("""COMPUTED_VALUE"""),"July")</f>
        <v>July</v>
      </c>
      <c r="D327" s="58" t="str">
        <f>IFERROR(__xludf.DUMMYFUNCTION("""COMPUTED_VALUE"""),"https://www.tiktok.com/@marshell_wfhmom/video/7657552733519514910")</f>
        <v>https://www.tiktok.com/@marshell_wfhmom/video/7657552733519514910</v>
      </c>
      <c r="E327" s="55" t="str">
        <f>IFERROR(__xludf.DUMMYFUNCTION("""COMPUTED_VALUE"""),"@marshell_wfhmom")</f>
        <v>@marshell_wfhmom</v>
      </c>
      <c r="F327" s="55"/>
      <c r="G327" s="55" t="str">
        <f>IFERROR(__xludf.DUMMYFUNCTION("""COMPUTED_VALUE"""),"Taste")</f>
        <v>Taste</v>
      </c>
      <c r="H327" s="55"/>
      <c r="I327" s="55">
        <f>IFERROR(__xludf.DUMMYFUNCTION("""COMPUTED_VALUE"""),32.7)</f>
        <v>32.7</v>
      </c>
      <c r="J327" s="55" t="str">
        <f>IFERROR(__xludf.DUMMYFUNCTION("""COMPUTED_VALUE"""),"Yes – Recommend")</f>
        <v>Yes – Recommend</v>
      </c>
      <c r="K327" s="55" t="str">
        <f>IFERROR(__xludf.DUMMYFUNCTION("""COMPUTED_VALUE"""),"Review before running ads")</f>
        <v>Review before running ads</v>
      </c>
      <c r="L327" s="55" t="str">
        <f>IFERROR(__xludf.DUMMYFUNCTION("""COMPUTED_VALUE"""),"Score 34.5 ≥ 30")</f>
        <v>Score 34.5 ≥ 30</v>
      </c>
      <c r="M327" s="55" t="str">
        <f>IFERROR(__xludf.DUMMYFUNCTION("""COMPUTED_VALUE"""),"No Ad Data")</f>
        <v>No Ad Data</v>
      </c>
      <c r="N327" s="55"/>
      <c r="O327" s="55"/>
      <c r="P327" s="55">
        <f>IFERROR(__xludf.DUMMYFUNCTION("""COMPUTED_VALUE"""),147.0)</f>
        <v>147</v>
      </c>
      <c r="Q327" s="55">
        <f>IFERROR(__xludf.DUMMYFUNCTION("""COMPUTED_VALUE"""),8.0)</f>
        <v>8</v>
      </c>
      <c r="R327" s="55">
        <f>IFERROR(__xludf.DUMMYFUNCTION("""COMPUTED_VALUE"""),2.0)</f>
        <v>2</v>
      </c>
      <c r="S327" s="55"/>
      <c r="T327" s="55">
        <f>IFERROR(__xludf.DUMMYFUNCTION("""COMPUTED_VALUE"""),17.1)</f>
        <v>17.1</v>
      </c>
      <c r="U327" s="55"/>
      <c r="V327" s="55">
        <f>IFERROR(__xludf.DUMMYFUNCTION("""COMPUTED_VALUE"""),0.088)</f>
        <v>0.088</v>
      </c>
      <c r="W327" s="55">
        <f>IFERROR(__xludf.DUMMYFUNCTION("""COMPUTED_VALUE"""),117.58)</f>
        <v>117.58</v>
      </c>
      <c r="X327" s="55"/>
      <c r="Y327" s="55"/>
      <c r="Z327" s="55"/>
      <c r="AA327" s="55"/>
      <c r="AB327" s="55"/>
      <c r="AC327" s="55"/>
      <c r="AD327" s="55"/>
      <c r="AE327" s="55"/>
      <c r="AF327" s="55"/>
      <c r="AG327" s="55"/>
      <c r="AH327" s="55"/>
      <c r="AI327" s="55"/>
      <c r="AJ327" s="55"/>
      <c r="AK327" s="55"/>
      <c r="AL327" s="55"/>
      <c r="AM327" s="55" t="str">
        <f>IFERROR(__xludf.DUMMYFUNCTION("""COMPUTED_VALUE"""),"#gGODGopM+oNQglA92kdtrfBwq1cQnJp4CJe56/aJqzlp+vnUblLlSRk6rNbslAw=")</f>
        <v>#gGODGopM+oNQglA92kdtrfBwq1cQnJp4CJe56/aJqzlp+vnUblLlSRk6rNbslAw=</v>
      </c>
      <c r="AN327" s="55"/>
      <c r="AO327" s="55"/>
      <c r="AP327" s="55"/>
      <c r="AQ327" s="55"/>
      <c r="AR327" s="55"/>
      <c r="AS327" s="55"/>
      <c r="AT327" s="55"/>
      <c r="AU327" s="55"/>
      <c r="AV327" s="55"/>
      <c r="AW327" s="35"/>
      <c r="AX327" s="35"/>
      <c r="AY327" s="35"/>
      <c r="AZ327" s="35"/>
      <c r="BA327" s="35"/>
      <c r="BB327" s="35"/>
      <c r="BC327" s="35"/>
      <c r="BD327" s="35"/>
      <c r="BE327" s="35"/>
      <c r="BF327" s="35"/>
      <c r="BG327" s="35"/>
    </row>
    <row r="328" ht="15.75" customHeight="1">
      <c r="A328" s="55" t="str">
        <f>IFERROR(__xludf.DUMMYFUNCTION("""COMPUTED_VALUE"""),"Tiktok")</f>
        <v>Tiktok</v>
      </c>
      <c r="B328" s="56">
        <f>IFERROR(__xludf.DUMMYFUNCTION("""COMPUTED_VALUE"""),46206.0)</f>
        <v>46206</v>
      </c>
      <c r="C328" s="55" t="str">
        <f>IFERROR(__xludf.DUMMYFUNCTION("""COMPUTED_VALUE"""),"July")</f>
        <v>July</v>
      </c>
      <c r="D328" s="58" t="str">
        <f>IFERROR(__xludf.DUMMYFUNCTION("""COMPUTED_VALUE"""),"https://www.tiktok.com/@riggs.cassie/video/7658075937648577823")</f>
        <v>https://www.tiktok.com/@riggs.cassie/video/7658075937648577823</v>
      </c>
      <c r="E328" s="55" t="str">
        <f>IFERROR(__xludf.DUMMYFUNCTION("""COMPUTED_VALUE"""),"@riggs.cassie")</f>
        <v>@riggs.cassie</v>
      </c>
      <c r="F328" s="55"/>
      <c r="G328" s="55" t="str">
        <f>IFERROR(__xludf.DUMMYFUNCTION("""COMPUTED_VALUE"""),"Over 40/ High Performer")</f>
        <v>Over 40/ High Performer</v>
      </c>
      <c r="H328" s="55"/>
      <c r="I328" s="55">
        <f>IFERROR(__xludf.DUMMYFUNCTION("""COMPUTED_VALUE"""),31.7)</f>
        <v>31.7</v>
      </c>
      <c r="J328" s="55" t="str">
        <f>IFERROR(__xludf.DUMMYFUNCTION("""COMPUTED_VALUE"""),"Yes – Recommend")</f>
        <v>Yes – Recommend</v>
      </c>
      <c r="K328" s="55" t="str">
        <f>IFERROR(__xludf.DUMMYFUNCTION("""COMPUTED_VALUE"""),"Review before running ads")</f>
        <v>Review before running ads</v>
      </c>
      <c r="L328" s="55" t="str">
        <f>IFERROR(__xludf.DUMMYFUNCTION("""COMPUTED_VALUE"""),"Score 33.6 ≥ 30")</f>
        <v>Score 33.6 ≥ 30</v>
      </c>
      <c r="M328" s="55" t="str">
        <f>IFERROR(__xludf.DUMMYFUNCTION("""COMPUTED_VALUE"""),"No Ad Data")</f>
        <v>No Ad Data</v>
      </c>
      <c r="N328" s="55"/>
      <c r="O328" s="55"/>
      <c r="P328" s="55">
        <f>IFERROR(__xludf.DUMMYFUNCTION("""COMPUTED_VALUE"""),164.0)</f>
        <v>164</v>
      </c>
      <c r="Q328" s="55">
        <f>IFERROR(__xludf.DUMMYFUNCTION("""COMPUTED_VALUE"""),5.0)</f>
        <v>5</v>
      </c>
      <c r="R328" s="55">
        <f>IFERROR(__xludf.DUMMYFUNCTION("""COMPUTED_VALUE"""),4.0)</f>
        <v>4</v>
      </c>
      <c r="S328" s="55"/>
      <c r="T328" s="55">
        <f>IFERROR(__xludf.DUMMYFUNCTION("""COMPUTED_VALUE"""),15.0)</f>
        <v>15</v>
      </c>
      <c r="U328" s="55"/>
      <c r="V328" s="55">
        <f>IFERROR(__xludf.DUMMYFUNCTION("""COMPUTED_VALUE"""),0.054)</f>
        <v>0.054</v>
      </c>
      <c r="W328" s="55">
        <f>IFERROR(__xludf.DUMMYFUNCTION("""COMPUTED_VALUE"""),117.58)</f>
        <v>117.58</v>
      </c>
      <c r="X328" s="55"/>
      <c r="Y328" s="55"/>
      <c r="Z328" s="55"/>
      <c r="AA328" s="55"/>
      <c r="AB328" s="55"/>
      <c r="AC328" s="55"/>
      <c r="AD328" s="55"/>
      <c r="AE328" s="55"/>
      <c r="AF328" s="55"/>
      <c r="AG328" s="55"/>
      <c r="AH328" s="55"/>
      <c r="AI328" s="55"/>
      <c r="AJ328" s="55"/>
      <c r="AK328" s="55"/>
      <c r="AL328" s="55"/>
      <c r="AM328" s="55" t="str">
        <f>IFERROR(__xludf.DUMMYFUNCTION("""COMPUTED_VALUE"""),"#x2StIQb9ACXYI9azIA2SUp7DT0sRh0wyy4N1VdAZHbBPCQw0Qe+dZVIdIXAZ9As=")</f>
        <v>#x2StIQb9ACXYI9azIA2SUp7DT0sRh0wyy4N1VdAZHbBPCQw0Qe+dZVIdIXAZ9As=</v>
      </c>
      <c r="AN328" s="55"/>
      <c r="AO328" s="55"/>
      <c r="AP328" s="55"/>
      <c r="AQ328" s="55"/>
      <c r="AR328" s="55"/>
      <c r="AS328" s="55"/>
      <c r="AT328" s="55"/>
      <c r="AU328" s="55"/>
      <c r="AV328" s="55"/>
      <c r="AW328" s="35"/>
      <c r="AX328" s="35"/>
      <c r="AY328" s="35"/>
      <c r="AZ328" s="35"/>
      <c r="BA328" s="35"/>
      <c r="BB328" s="35"/>
      <c r="BC328" s="35"/>
      <c r="BD328" s="35"/>
      <c r="BE328" s="35"/>
      <c r="BF328" s="35"/>
      <c r="BG328" s="35"/>
    </row>
    <row r="329" ht="15.75" customHeight="1">
      <c r="A329" s="55" t="str">
        <f>IFERROR(__xludf.DUMMYFUNCTION("""COMPUTED_VALUE"""),"Tiktok")</f>
        <v>Tiktok</v>
      </c>
      <c r="B329" s="56">
        <f>IFERROR(__xludf.DUMMYFUNCTION("""COMPUTED_VALUE"""),46206.0)</f>
        <v>46206</v>
      </c>
      <c r="C329" s="55" t="str">
        <f>IFERROR(__xludf.DUMMYFUNCTION("""COMPUTED_VALUE"""),"July")</f>
        <v>July</v>
      </c>
      <c r="D329" s="58" t="str">
        <f>IFERROR(__xludf.DUMMYFUNCTION("""COMPUTED_VALUE"""),"https://www.tiktok.com/@astoldbybri2/video/7658241329713007903")</f>
        <v>https://www.tiktok.com/@astoldbybri2/video/7658241329713007903</v>
      </c>
      <c r="E329" s="55" t="str">
        <f>IFERROR(__xludf.DUMMYFUNCTION("""COMPUTED_VALUE"""),"@astoldbybri2")</f>
        <v>@astoldbybri2</v>
      </c>
      <c r="F329" s="55"/>
      <c r="G329" s="55" t="str">
        <f>IFERROR(__xludf.DUMMYFUNCTION("""COMPUTED_VALUE"""),"Target Shelf Showdown")</f>
        <v>Target Shelf Showdown</v>
      </c>
      <c r="H329" s="55"/>
      <c r="I329" s="55">
        <f>IFERROR(__xludf.DUMMYFUNCTION("""COMPUTED_VALUE"""),31.3)</f>
        <v>31.3</v>
      </c>
      <c r="J329" s="55" t="str">
        <f>IFERROR(__xludf.DUMMYFUNCTION("""COMPUTED_VALUE"""),"Yes – Recommend")</f>
        <v>Yes – Recommend</v>
      </c>
      <c r="K329" s="55" t="str">
        <f>IFERROR(__xludf.DUMMYFUNCTION("""COMPUTED_VALUE"""),"Review before running ads")</f>
        <v>Review before running ads</v>
      </c>
      <c r="L329" s="55" t="str">
        <f>IFERROR(__xludf.DUMMYFUNCTION("""COMPUTED_VALUE"""),"Score 33.1 ≥ 30; 6-sec 25.1% ≥ 25%")</f>
        <v>Score 33.1 ≥ 30; 6-sec 25.1% ≥ 25%</v>
      </c>
      <c r="M329" s="55" t="str">
        <f>IFERROR(__xludf.DUMMYFUNCTION("""COMPUTED_VALUE"""),"No Ad Data")</f>
        <v>No Ad Data</v>
      </c>
      <c r="N329" s="55"/>
      <c r="O329" s="55"/>
      <c r="P329" s="55">
        <f>IFERROR(__xludf.DUMMYFUNCTION("""COMPUTED_VALUE"""),131.0)</f>
        <v>131</v>
      </c>
      <c r="Q329" s="55">
        <f>IFERROR(__xludf.DUMMYFUNCTION("""COMPUTED_VALUE"""),2.0)</f>
        <v>2</v>
      </c>
      <c r="R329" s="55"/>
      <c r="S329" s="55"/>
      <c r="T329" s="55">
        <f>IFERROR(__xludf.DUMMYFUNCTION("""COMPUTED_VALUE"""),25.1)</f>
        <v>25.1</v>
      </c>
      <c r="U329" s="55"/>
      <c r="V329" s="55">
        <f>IFERROR(__xludf.DUMMYFUNCTION("""COMPUTED_VALUE"""),0.03)</f>
        <v>0.03</v>
      </c>
      <c r="W329" s="55">
        <f>IFERROR(__xludf.DUMMYFUNCTION("""COMPUTED_VALUE"""),72.99)</f>
        <v>72.99</v>
      </c>
      <c r="X329" s="55"/>
      <c r="Y329" s="55"/>
      <c r="Z329" s="55"/>
      <c r="AA329" s="55"/>
      <c r="AB329" s="55"/>
      <c r="AC329" s="55"/>
      <c r="AD329" s="55"/>
      <c r="AE329" s="55"/>
      <c r="AF329" s="55"/>
      <c r="AG329" s="55"/>
      <c r="AH329" s="55"/>
      <c r="AI329" s="55"/>
      <c r="AJ329" s="55"/>
      <c r="AK329" s="55"/>
      <c r="AL329" s="55"/>
      <c r="AM329" s="55" t="str">
        <f>IFERROR(__xludf.DUMMYFUNCTION("""COMPUTED_VALUE"""),"#4feN3gd0IDV+7cfED5Dfm1yHKHfQmPha7jKPz8rOLGx33SaJdSOUekhpWO6Fi0M=")</f>
        <v>#4feN3gd0IDV+7cfED5Dfm1yHKHfQmPha7jKPz8rOLGx33SaJdSOUekhpWO6Fi0M=</v>
      </c>
      <c r="AN329" s="55"/>
      <c r="AO329" s="55"/>
      <c r="AP329" s="55"/>
      <c r="AQ329" s="55"/>
      <c r="AR329" s="55"/>
      <c r="AS329" s="55"/>
      <c r="AT329" s="55"/>
      <c r="AU329" s="55"/>
      <c r="AV329" s="55"/>
      <c r="AW329" s="35"/>
      <c r="AX329" s="35"/>
      <c r="AY329" s="35"/>
      <c r="AZ329" s="35"/>
      <c r="BA329" s="35"/>
      <c r="BB329" s="35"/>
      <c r="BC329" s="35"/>
      <c r="BD329" s="35"/>
      <c r="BE329" s="35"/>
      <c r="BF329" s="35"/>
      <c r="BG329" s="35"/>
    </row>
    <row r="330" ht="15.75" customHeight="1">
      <c r="A330" s="55" t="str">
        <f>IFERROR(__xludf.DUMMYFUNCTION("""COMPUTED_VALUE"""),"Tiktok")</f>
        <v>Tiktok</v>
      </c>
      <c r="B330" s="56">
        <f>IFERROR(__xludf.DUMMYFUNCTION("""COMPUTED_VALUE"""),46210.0)</f>
        <v>46210</v>
      </c>
      <c r="C330" s="55" t="str">
        <f>IFERROR(__xludf.DUMMYFUNCTION("""COMPUTED_VALUE"""),"July")</f>
        <v>July</v>
      </c>
      <c r="D330" s="58" t="str">
        <f>IFERROR(__xludf.DUMMYFUNCTION("""COMPUTED_VALUE"""),"https://www.tiktok.com/@liz63785/video/7659771029333576991")</f>
        <v>https://www.tiktok.com/@liz63785/video/7659771029333576991</v>
      </c>
      <c r="E330" s="55" t="str">
        <f>IFERROR(__xludf.DUMMYFUNCTION("""COMPUTED_VALUE"""),"@liz63785")</f>
        <v>@liz63785</v>
      </c>
      <c r="F330" s="55"/>
      <c r="G330" s="55" t="str">
        <f>IFERROR(__xludf.DUMMYFUNCTION("""COMPUTED_VALUE"""),"Mushroom Trend")</f>
        <v>Mushroom Trend</v>
      </c>
      <c r="H330" s="55"/>
      <c r="I330" s="55">
        <f>IFERROR(__xludf.DUMMYFUNCTION("""COMPUTED_VALUE"""),31.3)</f>
        <v>31.3</v>
      </c>
      <c r="J330" s="55" t="str">
        <f>IFERROR(__xludf.DUMMYFUNCTION("""COMPUTED_VALUE"""),"Yes – Recommend")</f>
        <v>Yes – Recommend</v>
      </c>
      <c r="K330" s="55" t="str">
        <f>IFERROR(__xludf.DUMMYFUNCTION("""COMPUTED_VALUE"""),"Review before running ads")</f>
        <v>Review before running ads</v>
      </c>
      <c r="L330" s="55" t="str">
        <f>IFERROR(__xludf.DUMMYFUNCTION("""COMPUTED_VALUE"""),"Score 33.0 ≥ 30; 6-sec 30.2% ≥ 25%")</f>
        <v>Score 33.0 ≥ 30; 6-sec 30.2% ≥ 25%</v>
      </c>
      <c r="M330" s="55" t="str">
        <f>IFERROR(__xludf.DUMMYFUNCTION("""COMPUTED_VALUE"""),"No Ad Data")</f>
        <v>No Ad Data</v>
      </c>
      <c r="N330" s="55"/>
      <c r="O330" s="55"/>
      <c r="P330" s="55">
        <f>IFERROR(__xludf.DUMMYFUNCTION("""COMPUTED_VALUE"""),119.0)</f>
        <v>119</v>
      </c>
      <c r="Q330" s="55">
        <f>IFERROR(__xludf.DUMMYFUNCTION("""COMPUTED_VALUE"""),1.0)</f>
        <v>1</v>
      </c>
      <c r="R330" s="55"/>
      <c r="S330" s="55"/>
      <c r="T330" s="55">
        <f>IFERROR(__xludf.DUMMYFUNCTION("""COMPUTED_VALUE"""),30.2)</f>
        <v>30.2</v>
      </c>
      <c r="U330" s="55"/>
      <c r="V330" s="55"/>
      <c r="W330" s="55">
        <f>IFERROR(__xludf.DUMMYFUNCTION("""COMPUTED_VALUE"""),117.58)</f>
        <v>117.58</v>
      </c>
      <c r="X330" s="55"/>
      <c r="Y330" s="55"/>
      <c r="Z330" s="55"/>
      <c r="AA330" s="55"/>
      <c r="AB330" s="55"/>
      <c r="AC330" s="55"/>
      <c r="AD330" s="55"/>
      <c r="AE330" s="55"/>
      <c r="AF330" s="55"/>
      <c r="AG330" s="55"/>
      <c r="AH330" s="55"/>
      <c r="AI330" s="55"/>
      <c r="AJ330" s="55"/>
      <c r="AK330" s="55"/>
      <c r="AL330" s="55"/>
      <c r="AM330" s="55" t="str">
        <f>IFERROR(__xludf.DUMMYFUNCTION("""COMPUTED_VALUE"""),"#OjrujbsRAc4qGqg8Yxg1kVHqQpbI4Mphl6yuvbACjcqVTbAbpfNvdXZ+QY11dB0=")</f>
        <v>#OjrujbsRAc4qGqg8Yxg1kVHqQpbI4Mphl6yuvbACjcqVTbAbpfNvdXZ+QY11dB0=</v>
      </c>
      <c r="AN330" s="55"/>
      <c r="AO330" s="55"/>
      <c r="AP330" s="55"/>
      <c r="AQ330" s="55"/>
      <c r="AR330" s="55"/>
      <c r="AS330" s="55"/>
      <c r="AT330" s="55"/>
      <c r="AU330" s="55"/>
      <c r="AV330" s="55"/>
      <c r="AW330" s="35"/>
      <c r="AX330" s="35"/>
      <c r="AY330" s="35"/>
      <c r="AZ330" s="35"/>
      <c r="BA330" s="35"/>
      <c r="BB330" s="35"/>
      <c r="BC330" s="35"/>
      <c r="BD330" s="35"/>
      <c r="BE330" s="35"/>
      <c r="BF330" s="35"/>
      <c r="BG330" s="35"/>
    </row>
    <row r="331" ht="15.75" customHeight="1">
      <c r="A331" s="55" t="str">
        <f>IFERROR(__xludf.DUMMYFUNCTION("""COMPUTED_VALUE"""),"Instagram")</f>
        <v>Instagram</v>
      </c>
      <c r="B331" s="56">
        <f>IFERROR(__xludf.DUMMYFUNCTION("""COMPUTED_VALUE"""),46203.0)</f>
        <v>46203</v>
      </c>
      <c r="C331" s="55" t="str">
        <f>IFERROR(__xludf.DUMMYFUNCTION("""COMPUTED_VALUE"""),"June")</f>
        <v>June</v>
      </c>
      <c r="D331" s="58" t="str">
        <f>IFERROR(__xludf.DUMMYFUNCTION("""COMPUTED_VALUE"""),"https://www.instagram.com/reel/DaNyRIlxWiY/?utm_source=ig_web_copy_link&amp;igsh=MzRlODBiNWFlZA==")</f>
        <v>https://www.instagram.com/reel/DaNyRIlxWiY/?utm_source=ig_web_copy_link&amp;igsh=MzRlODBiNWFlZA==</v>
      </c>
      <c r="E331" s="55" t="str">
        <f>IFERROR(__xludf.DUMMYFUNCTION("""COMPUTED_VALUE"""),"@na")</f>
        <v>@na</v>
      </c>
      <c r="F331" s="55"/>
      <c r="G331" s="55" t="str">
        <f>IFERROR(__xludf.DUMMYFUNCTION("""COMPUTED_VALUE"""),"Over 40/ High Performer")</f>
        <v>Over 40/ High Performer</v>
      </c>
      <c r="H331" s="55"/>
      <c r="I331" s="55">
        <f>IFERROR(__xludf.DUMMYFUNCTION("""COMPUTED_VALUE"""),31.8)</f>
        <v>31.8</v>
      </c>
      <c r="J331" s="55" t="str">
        <f>IFERROR(__xludf.DUMMYFUNCTION("""COMPUTED_VALUE"""),"Yes – Recommend")</f>
        <v>Yes – Recommend</v>
      </c>
      <c r="K331" s="55" t="str">
        <f>IFERROR(__xludf.DUMMYFUNCTION("""COMPUTED_VALUE"""),"Review before running ads")</f>
        <v>Review before running ads</v>
      </c>
      <c r="L331" s="55" t="str">
        <f>IFERROR(__xludf.DUMMYFUNCTION("""COMPUTED_VALUE"""),"Score 33.5 ≥ 20 threshold")</f>
        <v>Score 33.5 ≥ 20 threshold</v>
      </c>
      <c r="M331" s="55" t="str">
        <f>IFERROR(__xludf.DUMMYFUNCTION("""COMPUTED_VALUE"""),"No Ad Data")</f>
        <v>No Ad Data</v>
      </c>
      <c r="N331" s="55"/>
      <c r="O331" s="55"/>
      <c r="P331" s="55">
        <f>IFERROR(__xludf.DUMMYFUNCTION("""COMPUTED_VALUE"""),423.0)</f>
        <v>423</v>
      </c>
      <c r="Q331" s="55">
        <f>IFERROR(__xludf.DUMMYFUNCTION("""COMPUTED_VALUE"""),26.0)</f>
        <v>26</v>
      </c>
      <c r="R331" s="55">
        <f>IFERROR(__xludf.DUMMYFUNCTION("""COMPUTED_VALUE"""),2.0)</f>
        <v>2</v>
      </c>
      <c r="S331" s="55"/>
      <c r="T331" s="55"/>
      <c r="U331" s="55"/>
      <c r="V331" s="55"/>
      <c r="W331" s="55">
        <f>IFERROR(__xludf.DUMMYFUNCTION("""COMPUTED_VALUE"""),117.58)</f>
        <v>117.58</v>
      </c>
      <c r="X331" s="55"/>
      <c r="Y331" s="55"/>
      <c r="Z331" s="55"/>
      <c r="AA331" s="55"/>
      <c r="AB331" s="55"/>
      <c r="AC331" s="55"/>
      <c r="AD331" s="55"/>
      <c r="AE331" s="55"/>
      <c r="AF331" s="55"/>
      <c r="AG331" s="55"/>
      <c r="AH331" s="55"/>
      <c r="AI331" s="55"/>
      <c r="AJ331" s="55"/>
      <c r="AK331" s="55"/>
      <c r="AL331" s="55"/>
      <c r="AM331" s="55" t="str">
        <f>IFERROR(__xludf.DUMMYFUNCTION("""COMPUTED_VALUE"""),"Q9jTBBVaVgQBQhi8EAalnUy_rOp9k23bd9W_ENcOc6fuGdykYxzqw0sBBKmANBMLqw")</f>
        <v>Q9jTBBVaVgQBQhi8EAalnUy_rOp9k23bd9W_ENcOc6fuGdykYxzqw0sBBKmANBMLqw</v>
      </c>
      <c r="AN331" s="55"/>
      <c r="AO331" s="55"/>
      <c r="AP331" s="55"/>
      <c r="AQ331" s="55"/>
      <c r="AR331" s="55"/>
      <c r="AS331" s="55"/>
      <c r="AT331" s="55"/>
      <c r="AU331" s="55"/>
      <c r="AV331" s="55"/>
      <c r="AW331" s="35"/>
      <c r="AX331" s="35"/>
      <c r="AY331" s="35"/>
      <c r="AZ331" s="35"/>
      <c r="BA331" s="35"/>
      <c r="BB331" s="35"/>
      <c r="BC331" s="35"/>
      <c r="BD331" s="35"/>
      <c r="BE331" s="35"/>
      <c r="BF331" s="35"/>
      <c r="BG331" s="35"/>
    </row>
    <row r="332" ht="15.75" customHeight="1">
      <c r="A332" s="55" t="str">
        <f>IFERROR(__xludf.DUMMYFUNCTION("""COMPUTED_VALUE"""),"Tiktok")</f>
        <v>Tiktok</v>
      </c>
      <c r="B332" s="56">
        <f>IFERROR(__xludf.DUMMYFUNCTION("""COMPUTED_VALUE"""),46203.0)</f>
        <v>46203</v>
      </c>
      <c r="C332" s="55" t="str">
        <f>IFERROR(__xludf.DUMMYFUNCTION("""COMPUTED_VALUE"""),"June")</f>
        <v>June</v>
      </c>
      <c r="D332" s="58" t="str">
        <f>IFERROR(__xludf.DUMMYFUNCTION("""COMPUTED_VALUE"""),"https://www.tiktok.com/@daniela.amaduci/video/7657232746225405215")</f>
        <v>https://www.tiktok.com/@daniela.amaduci/video/7657232746225405215</v>
      </c>
      <c r="E332" s="55" t="str">
        <f>IFERROR(__xludf.DUMMYFUNCTION("""COMPUTED_VALUE"""),"@daniela.amaduci")</f>
        <v>@daniela.amaduci</v>
      </c>
      <c r="F332" s="55"/>
      <c r="G332" s="55" t="str">
        <f>IFERROR(__xludf.DUMMYFUNCTION("""COMPUTED_VALUE"""),"Taste")</f>
        <v>Taste</v>
      </c>
      <c r="H332" s="55"/>
      <c r="I332" s="55">
        <f>IFERROR(__xludf.DUMMYFUNCTION("""COMPUTED_VALUE"""),30.6)</f>
        <v>30.6</v>
      </c>
      <c r="J332" s="55" t="str">
        <f>IFERROR(__xludf.DUMMYFUNCTION("""COMPUTED_VALUE"""),"Yes – Recommend")</f>
        <v>Yes – Recommend</v>
      </c>
      <c r="K332" s="55" t="str">
        <f>IFERROR(__xludf.DUMMYFUNCTION("""COMPUTED_VALUE"""),"Review before running ads")</f>
        <v>Review before running ads</v>
      </c>
      <c r="L332" s="55" t="str">
        <f>IFERROR(__xludf.DUMMYFUNCTION("""COMPUTED_VALUE"""),"Score 32.3 ≥ 30")</f>
        <v>Score 32.3 ≥ 30</v>
      </c>
      <c r="M332" s="55" t="str">
        <f>IFERROR(__xludf.DUMMYFUNCTION("""COMPUTED_VALUE"""),"No Ad Data")</f>
        <v>No Ad Data</v>
      </c>
      <c r="N332" s="55"/>
      <c r="O332" s="55"/>
      <c r="P332" s="55">
        <f>IFERROR(__xludf.DUMMYFUNCTION("""COMPUTED_VALUE"""),95.0)</f>
        <v>95</v>
      </c>
      <c r="Q332" s="55">
        <f>IFERROR(__xludf.DUMMYFUNCTION("""COMPUTED_VALUE"""),6.0)</f>
        <v>6</v>
      </c>
      <c r="R332" s="55"/>
      <c r="S332" s="55"/>
      <c r="T332" s="55">
        <f>IFERROR(__xludf.DUMMYFUNCTION("""COMPUTED_VALUE"""),16.4)</f>
        <v>16.4</v>
      </c>
      <c r="U332" s="55"/>
      <c r="V332" s="55">
        <f>IFERROR(__xludf.DUMMYFUNCTION("""COMPUTED_VALUE"""),0.063)</f>
        <v>0.063</v>
      </c>
      <c r="W332" s="55">
        <f>IFERROR(__xludf.DUMMYFUNCTION("""COMPUTED_VALUE"""),117.58)</f>
        <v>117.58</v>
      </c>
      <c r="X332" s="55"/>
      <c r="Y332" s="55"/>
      <c r="Z332" s="55"/>
      <c r="AA332" s="55"/>
      <c r="AB332" s="55"/>
      <c r="AC332" s="55"/>
      <c r="AD332" s="55"/>
      <c r="AE332" s="55"/>
      <c r="AF332" s="55"/>
      <c r="AG332" s="55"/>
      <c r="AH332" s="55"/>
      <c r="AI332" s="55"/>
      <c r="AJ332" s="55"/>
      <c r="AK332" s="55"/>
      <c r="AL332" s="55"/>
      <c r="AM332" s="55" t="str">
        <f>IFERROR(__xludf.DUMMYFUNCTION("""COMPUTED_VALUE"""),"#zAAtJYPSGBBgHKjx5zvXINZuaACRKFi2fc4EfHIZGSk/bJGK2tOXJzVioirJ8t4=")</f>
        <v>#zAAtJYPSGBBgHKjx5zvXINZuaACRKFi2fc4EfHIZGSk/bJGK2tOXJzVioirJ8t4=</v>
      </c>
      <c r="AN332" s="55"/>
      <c r="AO332" s="55"/>
      <c r="AP332" s="55"/>
      <c r="AQ332" s="55"/>
      <c r="AR332" s="55"/>
      <c r="AS332" s="55"/>
      <c r="AT332" s="55"/>
      <c r="AU332" s="55"/>
      <c r="AV332" s="55"/>
      <c r="AW332" s="35"/>
      <c r="AX332" s="35"/>
      <c r="AY332" s="35"/>
      <c r="AZ332" s="35"/>
      <c r="BA332" s="35"/>
      <c r="BB332" s="35"/>
      <c r="BC332" s="35"/>
      <c r="BD332" s="35"/>
      <c r="BE332" s="35"/>
      <c r="BF332" s="35"/>
      <c r="BG332" s="35"/>
    </row>
    <row r="333" ht="15.75" customHeight="1">
      <c r="A333" s="55" t="str">
        <f>IFERROR(__xludf.DUMMYFUNCTION("""COMPUTED_VALUE"""),"Tiktok")</f>
        <v>Tiktok</v>
      </c>
      <c r="B333" s="56">
        <f>IFERROR(__xludf.DUMMYFUNCTION("""COMPUTED_VALUE"""),46205.0)</f>
        <v>46205</v>
      </c>
      <c r="C333" s="55" t="str">
        <f>IFERROR(__xludf.DUMMYFUNCTION("""COMPUTED_VALUE"""),"July")</f>
        <v>July</v>
      </c>
      <c r="D333" s="58" t="str">
        <f>IFERROR(__xludf.DUMMYFUNCTION("""COMPUTED_VALUE"""),"https://www.tiktok.com/@astoldbybri2/video/7657654259705564430")</f>
        <v>https://www.tiktok.com/@astoldbybri2/video/7657654259705564430</v>
      </c>
      <c r="E333" s="55" t="str">
        <f>IFERROR(__xludf.DUMMYFUNCTION("""COMPUTED_VALUE"""),"@astoldbybri2")</f>
        <v>@astoldbybri2</v>
      </c>
      <c r="F333" s="55"/>
      <c r="G333" s="55" t="str">
        <f>IFERROR(__xludf.DUMMYFUNCTION("""COMPUTED_VALUE"""),"Over 40/ High Performer")</f>
        <v>Over 40/ High Performer</v>
      </c>
      <c r="H333" s="55"/>
      <c r="I333" s="55">
        <f>IFERROR(__xludf.DUMMYFUNCTION("""COMPUTED_VALUE"""),30.5)</f>
        <v>30.5</v>
      </c>
      <c r="J333" s="55" t="str">
        <f>IFERROR(__xludf.DUMMYFUNCTION("""COMPUTED_VALUE"""),"Yes – Recommend")</f>
        <v>Yes – Recommend</v>
      </c>
      <c r="K333" s="55" t="str">
        <f>IFERROR(__xludf.DUMMYFUNCTION("""COMPUTED_VALUE"""),"Review before running ads")</f>
        <v>Review before running ads</v>
      </c>
      <c r="L333" s="55" t="str">
        <f>IFERROR(__xludf.DUMMYFUNCTION("""COMPUTED_VALUE"""),"Score 32.1 ≥ 30")</f>
        <v>Score 32.1 ≥ 30</v>
      </c>
      <c r="M333" s="55" t="str">
        <f>IFERROR(__xludf.DUMMYFUNCTION("""COMPUTED_VALUE"""),"No Ad Data")</f>
        <v>No Ad Data</v>
      </c>
      <c r="N333" s="55"/>
      <c r="O333" s="55"/>
      <c r="P333" s="55">
        <f>IFERROR(__xludf.DUMMYFUNCTION("""COMPUTED_VALUE"""),76.0)</f>
        <v>76</v>
      </c>
      <c r="Q333" s="55">
        <f>IFERROR(__xludf.DUMMYFUNCTION("""COMPUTED_VALUE"""),4.0)</f>
        <v>4</v>
      </c>
      <c r="R333" s="55"/>
      <c r="S333" s="55"/>
      <c r="T333" s="55">
        <f>IFERROR(__xludf.DUMMYFUNCTION("""COMPUTED_VALUE"""),19.5)</f>
        <v>19.5</v>
      </c>
      <c r="U333" s="55"/>
      <c r="V333" s="55">
        <f>IFERROR(__xludf.DUMMYFUNCTION("""COMPUTED_VALUE"""),0.092)</f>
        <v>0.092</v>
      </c>
      <c r="W333" s="55">
        <f>IFERROR(__xludf.DUMMYFUNCTION("""COMPUTED_VALUE"""),117.58)</f>
        <v>117.58</v>
      </c>
      <c r="X333" s="55"/>
      <c r="Y333" s="55"/>
      <c r="Z333" s="55"/>
      <c r="AA333" s="55"/>
      <c r="AB333" s="55"/>
      <c r="AC333" s="55"/>
      <c r="AD333" s="55"/>
      <c r="AE333" s="55"/>
      <c r="AF333" s="55"/>
      <c r="AG333" s="55"/>
      <c r="AH333" s="55"/>
      <c r="AI333" s="55"/>
      <c r="AJ333" s="55"/>
      <c r="AK333" s="55"/>
      <c r="AL333" s="55"/>
      <c r="AM333" s="55" t="str">
        <f>IFERROR(__xludf.DUMMYFUNCTION("""COMPUTED_VALUE"""),"#h8bpeZwfiGqgpwrAwOvUctGyZjG0iBvjl22r2yrJ7Tqeup/Lc4VNjdVpnMswdWA=")</f>
        <v>#h8bpeZwfiGqgpwrAwOvUctGyZjG0iBvjl22r2yrJ7Tqeup/Lc4VNjdVpnMswdWA=</v>
      </c>
      <c r="AN333" s="55"/>
      <c r="AO333" s="55"/>
      <c r="AP333" s="55"/>
      <c r="AQ333" s="55"/>
      <c r="AR333" s="55"/>
      <c r="AS333" s="55"/>
      <c r="AT333" s="55"/>
      <c r="AU333" s="55"/>
      <c r="AV333" s="55"/>
      <c r="AW333" s="35"/>
      <c r="AX333" s="35"/>
      <c r="AY333" s="35"/>
      <c r="AZ333" s="35"/>
      <c r="BA333" s="35"/>
      <c r="BB333" s="35"/>
      <c r="BC333" s="35"/>
      <c r="BD333" s="35"/>
      <c r="BE333" s="35"/>
      <c r="BF333" s="35"/>
      <c r="BG333" s="35"/>
    </row>
    <row r="334" ht="15.75" customHeight="1">
      <c r="A334" s="55" t="str">
        <f>IFERROR(__xludf.DUMMYFUNCTION("""COMPUTED_VALUE"""),"Tiktok")</f>
        <v>Tiktok</v>
      </c>
      <c r="B334" s="56">
        <f>IFERROR(__xludf.DUMMYFUNCTION("""COMPUTED_VALUE"""),46203.0)</f>
        <v>46203</v>
      </c>
      <c r="C334" s="55" t="str">
        <f>IFERROR(__xludf.DUMMYFUNCTION("""COMPUTED_VALUE"""),"June")</f>
        <v>June</v>
      </c>
      <c r="D334" s="58" t="str">
        <f>IFERROR(__xludf.DUMMYFUNCTION("""COMPUTED_VALUE"""),"https://www.tiktok.com/@ugcbybrandi/video/7657207697678322975")</f>
        <v>https://www.tiktok.com/@ugcbybrandi/video/7657207697678322975</v>
      </c>
      <c r="E334" s="55" t="str">
        <f>IFERROR(__xludf.DUMMYFUNCTION("""COMPUTED_VALUE"""),"@ugcbybrandi")</f>
        <v>@ugcbybrandi</v>
      </c>
      <c r="F334" s="55"/>
      <c r="G334" s="55" t="str">
        <f>IFERROR(__xludf.DUMMYFUNCTION("""COMPUTED_VALUE"""),"Gummies vs Coffee")</f>
        <v>Gummies vs Coffee</v>
      </c>
      <c r="H334" s="55"/>
      <c r="I334" s="55">
        <f>IFERROR(__xludf.DUMMYFUNCTION("""COMPUTED_VALUE"""),30.4)</f>
        <v>30.4</v>
      </c>
      <c r="J334" s="55" t="str">
        <f>IFERROR(__xludf.DUMMYFUNCTION("""COMPUTED_VALUE"""),"Yes – Recommend")</f>
        <v>Yes – Recommend</v>
      </c>
      <c r="K334" s="55" t="str">
        <f>IFERROR(__xludf.DUMMYFUNCTION("""COMPUTED_VALUE"""),"Review before running ads")</f>
        <v>Review before running ads</v>
      </c>
      <c r="L334" s="55" t="str">
        <f>IFERROR(__xludf.DUMMYFUNCTION("""COMPUTED_VALUE"""),"Score 31.9 ≥ 30")</f>
        <v>Score 31.9 ≥ 30</v>
      </c>
      <c r="M334" s="55" t="str">
        <f>IFERROR(__xludf.DUMMYFUNCTION("""COMPUTED_VALUE"""),"No Ad Data")</f>
        <v>No Ad Data</v>
      </c>
      <c r="N334" s="55"/>
      <c r="O334" s="55"/>
      <c r="P334" s="55">
        <f>IFERROR(__xludf.DUMMYFUNCTION("""COMPUTED_VALUE"""),63.0)</f>
        <v>63</v>
      </c>
      <c r="Q334" s="55">
        <f>IFERROR(__xludf.DUMMYFUNCTION("""COMPUTED_VALUE"""),3.0)</f>
        <v>3</v>
      </c>
      <c r="R334" s="55"/>
      <c r="S334" s="55"/>
      <c r="T334" s="55">
        <f>IFERROR(__xludf.DUMMYFUNCTION("""COMPUTED_VALUE"""),22.0)</f>
        <v>22</v>
      </c>
      <c r="U334" s="55"/>
      <c r="V334" s="55">
        <f>IFERROR(__xludf.DUMMYFUNCTION("""COMPUTED_VALUE"""),0.047)</f>
        <v>0.047</v>
      </c>
      <c r="W334" s="55">
        <f>IFERROR(__xludf.DUMMYFUNCTION("""COMPUTED_VALUE"""),72.99)</f>
        <v>72.99</v>
      </c>
      <c r="X334" s="55"/>
      <c r="Y334" s="55"/>
      <c r="Z334" s="55"/>
      <c r="AA334" s="55"/>
      <c r="AB334" s="55"/>
      <c r="AC334" s="55"/>
      <c r="AD334" s="55"/>
      <c r="AE334" s="55"/>
      <c r="AF334" s="55"/>
      <c r="AG334" s="55"/>
      <c r="AH334" s="55"/>
      <c r="AI334" s="55"/>
      <c r="AJ334" s="55"/>
      <c r="AK334" s="55"/>
      <c r="AL334" s="55"/>
      <c r="AM334" s="55" t="str">
        <f>IFERROR(__xludf.DUMMYFUNCTION("""COMPUTED_VALUE"""),"#BcMw8otxl4KvkTMsPmcBlXOqP/3fkA0Mz3ZlIx6YQTMGD8R65PWSJD1Tva8iSL8=")</f>
        <v>#BcMw8otxl4KvkTMsPmcBlXOqP/3fkA0Mz3ZlIx6YQTMGD8R65PWSJD1Tva8iSL8=</v>
      </c>
      <c r="AN334" s="55"/>
      <c r="AO334" s="55"/>
      <c r="AP334" s="55"/>
      <c r="AQ334" s="55"/>
      <c r="AR334" s="55"/>
      <c r="AS334" s="55"/>
      <c r="AT334" s="55"/>
      <c r="AU334" s="55"/>
      <c r="AV334" s="55"/>
      <c r="AW334" s="35"/>
      <c r="AX334" s="35"/>
      <c r="AY334" s="35"/>
      <c r="AZ334" s="35"/>
      <c r="BA334" s="35"/>
      <c r="BB334" s="35"/>
      <c r="BC334" s="35"/>
      <c r="BD334" s="35"/>
      <c r="BE334" s="35"/>
      <c r="BF334" s="35"/>
      <c r="BG334" s="35"/>
    </row>
    <row r="335" ht="15.75" customHeight="1">
      <c r="A335" s="55" t="str">
        <f>IFERROR(__xludf.DUMMYFUNCTION("""COMPUTED_VALUE"""),"Tiktok")</f>
        <v>Tiktok</v>
      </c>
      <c r="B335" s="56">
        <f>IFERROR(__xludf.DUMMYFUNCTION("""COMPUTED_VALUE"""),46204.0)</f>
        <v>46204</v>
      </c>
      <c r="C335" s="55" t="str">
        <f>IFERROR(__xludf.DUMMYFUNCTION("""COMPUTED_VALUE"""),"July")</f>
        <v>July</v>
      </c>
      <c r="D335" s="58" t="str">
        <f>IFERROR(__xludf.DUMMYFUNCTION("""COMPUTED_VALUE"""),"https://www.tiktok.com/@liz63785/video/7657328231405620511")</f>
        <v>https://www.tiktok.com/@liz63785/video/7657328231405620511</v>
      </c>
      <c r="E335" s="55" t="str">
        <f>IFERROR(__xludf.DUMMYFUNCTION("""COMPUTED_VALUE"""),"@liz63785")</f>
        <v>@liz63785</v>
      </c>
      <c r="F335" s="55"/>
      <c r="G335" s="55" t="str">
        <f>IFERROR(__xludf.DUMMYFUNCTION("""COMPUTED_VALUE"""),"Taste")</f>
        <v>Taste</v>
      </c>
      <c r="H335" s="55"/>
      <c r="I335" s="55">
        <f>IFERROR(__xludf.DUMMYFUNCTION("""COMPUTED_VALUE"""),29.7)</f>
        <v>29.7</v>
      </c>
      <c r="J335" s="55" t="str">
        <f>IFERROR(__xludf.DUMMYFUNCTION("""COMPUTED_VALUE"""),"Yes – Recommend")</f>
        <v>Yes – Recommend</v>
      </c>
      <c r="K335" s="55" t="str">
        <f>IFERROR(__xludf.DUMMYFUNCTION("""COMPUTED_VALUE"""),"Review before running ads")</f>
        <v>Review before running ads</v>
      </c>
      <c r="L335" s="55" t="str">
        <f>IFERROR(__xludf.DUMMYFUNCTION("""COMPUTED_VALUE"""),"Score 31.4 ≥ 30")</f>
        <v>Score 31.4 ≥ 30</v>
      </c>
      <c r="M335" s="55" t="str">
        <f>IFERROR(__xludf.DUMMYFUNCTION("""COMPUTED_VALUE"""),"No Ad Data")</f>
        <v>No Ad Data</v>
      </c>
      <c r="N335" s="55"/>
      <c r="O335" s="55"/>
      <c r="P335" s="55">
        <f>IFERROR(__xludf.DUMMYFUNCTION("""COMPUTED_VALUE"""),138.0)</f>
        <v>138</v>
      </c>
      <c r="Q335" s="55">
        <f>IFERROR(__xludf.DUMMYFUNCTION("""COMPUTED_VALUE"""),4.0)</f>
        <v>4</v>
      </c>
      <c r="R335" s="55"/>
      <c r="S335" s="55"/>
      <c r="T335" s="55">
        <f>IFERROR(__xludf.DUMMYFUNCTION("""COMPUTED_VALUE"""),15.3)</f>
        <v>15.3</v>
      </c>
      <c r="U335" s="55"/>
      <c r="V335" s="55">
        <f>IFERROR(__xludf.DUMMYFUNCTION("""COMPUTED_VALUE"""),0.028)</f>
        <v>0.028</v>
      </c>
      <c r="W335" s="55">
        <f>IFERROR(__xludf.DUMMYFUNCTION("""COMPUTED_VALUE"""),117.58)</f>
        <v>117.58</v>
      </c>
      <c r="X335" s="55"/>
      <c r="Y335" s="55"/>
      <c r="Z335" s="55"/>
      <c r="AA335" s="55"/>
      <c r="AB335" s="55"/>
      <c r="AC335" s="55"/>
      <c r="AD335" s="55"/>
      <c r="AE335" s="55"/>
      <c r="AF335" s="55"/>
      <c r="AG335" s="55"/>
      <c r="AH335" s="55"/>
      <c r="AI335" s="55"/>
      <c r="AJ335" s="55"/>
      <c r="AK335" s="55"/>
      <c r="AL335" s="55"/>
      <c r="AM335" s="55" t="str">
        <f>IFERROR(__xludf.DUMMYFUNCTION("""COMPUTED_VALUE"""),"#Okl3WyYn2oWstdOhOrUFeOMg0GqHvkP2zrW1LJvuMV68nq1F7rswGz4RfByhDeA=")</f>
        <v>#Okl3WyYn2oWstdOhOrUFeOMg0GqHvkP2zrW1LJvuMV68nq1F7rswGz4RfByhDeA=</v>
      </c>
      <c r="AN335" s="55"/>
      <c r="AO335" s="55"/>
      <c r="AP335" s="55"/>
      <c r="AQ335" s="55"/>
      <c r="AR335" s="55"/>
      <c r="AS335" s="55"/>
      <c r="AT335" s="55"/>
      <c r="AU335" s="55"/>
      <c r="AV335" s="55"/>
      <c r="AW335" s="35"/>
      <c r="AX335" s="35"/>
      <c r="AY335" s="35"/>
      <c r="AZ335" s="35"/>
      <c r="BA335" s="35"/>
      <c r="BB335" s="35"/>
      <c r="BC335" s="35"/>
      <c r="BD335" s="35"/>
      <c r="BE335" s="35"/>
      <c r="BF335" s="35"/>
      <c r="BG335" s="35"/>
    </row>
    <row r="336" ht="15.75" customHeight="1">
      <c r="A336" s="55" t="str">
        <f>IFERROR(__xludf.DUMMYFUNCTION("""COMPUTED_VALUE"""),"Tiktok")</f>
        <v>Tiktok</v>
      </c>
      <c r="B336" s="56">
        <f>IFERROR(__xludf.DUMMYFUNCTION("""COMPUTED_VALUE"""),46205.0)</f>
        <v>46205</v>
      </c>
      <c r="C336" s="55" t="str">
        <f>IFERROR(__xludf.DUMMYFUNCTION("""COMPUTED_VALUE"""),"July")</f>
        <v>July</v>
      </c>
      <c r="D336" s="58" t="str">
        <f>IFERROR(__xludf.DUMMYFUNCTION("""COMPUTED_VALUE"""),"https://www.tiktok.com/@hopedealer74/video/7657967804854881549")</f>
        <v>https://www.tiktok.com/@hopedealer74/video/7657967804854881549</v>
      </c>
      <c r="E336" s="55" t="str">
        <f>IFERROR(__xludf.DUMMYFUNCTION("""COMPUTED_VALUE"""),"@hopedealer74")</f>
        <v>@hopedealer74</v>
      </c>
      <c r="F336" s="55"/>
      <c r="G336" s="55" t="str">
        <f>IFERROR(__xludf.DUMMYFUNCTION("""COMPUTED_VALUE"""),"Countering Mushroom Coffee Trend")</f>
        <v>Countering Mushroom Coffee Trend</v>
      </c>
      <c r="H336" s="55"/>
      <c r="I336" s="55">
        <f>IFERROR(__xludf.DUMMYFUNCTION("""COMPUTED_VALUE"""),28.4)</f>
        <v>28.4</v>
      </c>
      <c r="J336" s="55" t="str">
        <f>IFERROR(__xludf.DUMMYFUNCTION("""COMPUTED_VALUE"""),"Yes – Recommend")</f>
        <v>Yes – Recommend</v>
      </c>
      <c r="K336" s="55" t="str">
        <f>IFERROR(__xludf.DUMMYFUNCTION("""COMPUTED_VALUE"""),"Review before running ads")</f>
        <v>Review before running ads</v>
      </c>
      <c r="L336" s="55" t="str">
        <f>IFERROR(__xludf.DUMMYFUNCTION("""COMPUTED_VALUE"""),"Score 31.6 ≥ 30")</f>
        <v>Score 31.6 ≥ 30</v>
      </c>
      <c r="M336" s="55" t="str">
        <f>IFERROR(__xludf.DUMMYFUNCTION("""COMPUTED_VALUE"""),"No Ad Data")</f>
        <v>No Ad Data</v>
      </c>
      <c r="N336" s="55"/>
      <c r="O336" s="55"/>
      <c r="P336" s="55">
        <f>IFERROR(__xludf.DUMMYFUNCTION("""COMPUTED_VALUE"""),579.0)</f>
        <v>579</v>
      </c>
      <c r="Q336" s="55">
        <f>IFERROR(__xludf.DUMMYFUNCTION("""COMPUTED_VALUE"""),2.0)</f>
        <v>2</v>
      </c>
      <c r="R336" s="55"/>
      <c r="S336" s="55"/>
      <c r="T336" s="55">
        <f>IFERROR(__xludf.DUMMYFUNCTION("""COMPUTED_VALUE"""),2.7)</f>
        <v>2.7</v>
      </c>
      <c r="U336" s="55"/>
      <c r="V336" s="55">
        <f>IFERROR(__xludf.DUMMYFUNCTION("""COMPUTED_VALUE"""),0.0034)</f>
        <v>0.0034</v>
      </c>
      <c r="W336" s="55">
        <f>IFERROR(__xludf.DUMMYFUNCTION("""COMPUTED_VALUE"""),117.58)</f>
        <v>117.58</v>
      </c>
      <c r="X336" s="55"/>
      <c r="Y336" s="55"/>
      <c r="Z336" s="55"/>
      <c r="AA336" s="55"/>
      <c r="AB336" s="55"/>
      <c r="AC336" s="55"/>
      <c r="AD336" s="55"/>
      <c r="AE336" s="55"/>
      <c r="AF336" s="55"/>
      <c r="AG336" s="55"/>
      <c r="AH336" s="55"/>
      <c r="AI336" s="55"/>
      <c r="AJ336" s="55"/>
      <c r="AK336" s="55"/>
      <c r="AL336" s="55"/>
      <c r="AM336" s="55" t="str">
        <f>IFERROR(__xludf.DUMMYFUNCTION("""COMPUTED_VALUE"""),"#/FW5TL0zXqjtziU4azGgNJaUiII+CDNDBi4CLUg2ZdCCIoKF5n3wjFCKdGeWklE=")</f>
        <v>#/FW5TL0zXqjtziU4azGgNJaUiII+CDNDBi4CLUg2ZdCCIoKF5n3wjFCKdGeWklE=</v>
      </c>
      <c r="AN336" s="55"/>
      <c r="AO336" s="55"/>
      <c r="AP336" s="55"/>
      <c r="AQ336" s="55"/>
      <c r="AR336" s="55"/>
      <c r="AS336" s="55"/>
      <c r="AT336" s="55"/>
      <c r="AU336" s="55"/>
      <c r="AV336" s="55"/>
      <c r="AW336" s="35"/>
      <c r="AX336" s="35"/>
      <c r="AY336" s="35"/>
      <c r="AZ336" s="35"/>
      <c r="BA336" s="35"/>
      <c r="BB336" s="35"/>
      <c r="BC336" s="35"/>
      <c r="BD336" s="35"/>
      <c r="BE336" s="35"/>
      <c r="BF336" s="35"/>
      <c r="BG336" s="35"/>
    </row>
    <row r="337" ht="15.75" customHeight="1">
      <c r="A337" s="55" t="str">
        <f>IFERROR(__xludf.DUMMYFUNCTION("""COMPUTED_VALUE"""),"Instagram")</f>
        <v>Instagram</v>
      </c>
      <c r="B337" s="56">
        <f>IFERROR(__xludf.DUMMYFUNCTION("""COMPUTED_VALUE"""),46212.0)</f>
        <v>46212</v>
      </c>
      <c r="C337" s="55" t="str">
        <f>IFERROR(__xludf.DUMMYFUNCTION("""COMPUTED_VALUE"""),"July")</f>
        <v>July</v>
      </c>
      <c r="D337" s="58" t="str">
        <f>IFERROR(__xludf.DUMMYFUNCTION("""COMPUTED_VALUE"""),"https://www.instagram.com/reels/DakvMWHRUnx/")</f>
        <v>https://www.instagram.com/reels/DakvMWHRUnx/</v>
      </c>
      <c r="E337" s="55" t="str">
        <f>IFERROR(__xludf.DUMMYFUNCTION("""COMPUTED_VALUE"""),"@na")</f>
        <v>@na</v>
      </c>
      <c r="F337" s="55"/>
      <c r="G337" s="55" t="str">
        <f>IFERROR(__xludf.DUMMYFUNCTION("""COMPUTED_VALUE"""),"Taste")</f>
        <v>Taste</v>
      </c>
      <c r="H337" s="55"/>
      <c r="I337" s="55">
        <f>IFERROR(__xludf.DUMMYFUNCTION("""COMPUTED_VALUE"""),30.4)</f>
        <v>30.4</v>
      </c>
      <c r="J337" s="55" t="str">
        <f>IFERROR(__xludf.DUMMYFUNCTION("""COMPUTED_VALUE"""),"Yes – Recommend")</f>
        <v>Yes – Recommend</v>
      </c>
      <c r="K337" s="55" t="str">
        <f>IFERROR(__xludf.DUMMYFUNCTION("""COMPUTED_VALUE"""),"Review before running ads")</f>
        <v>Review before running ads</v>
      </c>
      <c r="L337" s="55" t="str">
        <f>IFERROR(__xludf.DUMMYFUNCTION("""COMPUTED_VALUE"""),"Score 31.8 ≥ 20 threshold")</f>
        <v>Score 31.8 ≥ 20 threshold</v>
      </c>
      <c r="M337" s="55" t="str">
        <f>IFERROR(__xludf.DUMMYFUNCTION("""COMPUTED_VALUE"""),"No Ad Data")</f>
        <v>No Ad Data</v>
      </c>
      <c r="N337" s="55"/>
      <c r="O337" s="55"/>
      <c r="P337" s="55">
        <f>IFERROR(__xludf.DUMMYFUNCTION("""COMPUTED_VALUE"""),355.0)</f>
        <v>355</v>
      </c>
      <c r="Q337" s="55">
        <f>IFERROR(__xludf.DUMMYFUNCTION("""COMPUTED_VALUE"""),15.0)</f>
        <v>15</v>
      </c>
      <c r="R337" s="55">
        <f>IFERROR(__xludf.DUMMYFUNCTION("""COMPUTED_VALUE"""),4.0)</f>
        <v>4</v>
      </c>
      <c r="S337" s="55"/>
      <c r="T337" s="55"/>
      <c r="U337" s="55"/>
      <c r="V337" s="55"/>
      <c r="W337" s="55">
        <f>IFERROR(__xludf.DUMMYFUNCTION("""COMPUTED_VALUE"""),117.58)</f>
        <v>117.58</v>
      </c>
      <c r="X337" s="55"/>
      <c r="Y337" s="55"/>
      <c r="Z337" s="55"/>
      <c r="AA337" s="55"/>
      <c r="AB337" s="55"/>
      <c r="AC337" s="55"/>
      <c r="AD337" s="55"/>
      <c r="AE337" s="55"/>
      <c r="AF337" s="55"/>
      <c r="AG337" s="55"/>
      <c r="AH337" s="55"/>
      <c r="AI337" s="55"/>
      <c r="AJ337" s="55"/>
      <c r="AK337" s="55"/>
      <c r="AL337" s="55"/>
      <c r="AM337" s="55" t="str">
        <f>IFERROR(__xludf.DUMMYFUNCTION("""COMPUTED_VALUE"""),"Q9jTBBYkan1e7LA-k8OTFjeiLC_iPbSpAuU6Mun75D8sjJoBGEXeKOTWKRiwWYuZdw")</f>
        <v>Q9jTBBYkan1e7LA-k8OTFjeiLC_iPbSpAuU6Mun75D8sjJoBGEXeKOTWKRiwWYuZdw</v>
      </c>
      <c r="AN337" s="55"/>
      <c r="AO337" s="55"/>
      <c r="AP337" s="55"/>
      <c r="AQ337" s="55"/>
      <c r="AR337" s="55"/>
      <c r="AS337" s="55"/>
      <c r="AT337" s="55"/>
      <c r="AU337" s="55"/>
      <c r="AV337" s="55"/>
      <c r="AW337" s="35"/>
      <c r="AX337" s="35"/>
      <c r="AY337" s="35"/>
      <c r="AZ337" s="35"/>
      <c r="BA337" s="35"/>
      <c r="BB337" s="35"/>
      <c r="BC337" s="35"/>
      <c r="BD337" s="35"/>
      <c r="BE337" s="35"/>
      <c r="BF337" s="35"/>
      <c r="BG337" s="35"/>
    </row>
    <row r="338" ht="15.75" customHeight="1">
      <c r="A338" s="55" t="str">
        <f>IFERROR(__xludf.DUMMYFUNCTION("""COMPUTED_VALUE"""),"Tiktok")</f>
        <v>Tiktok</v>
      </c>
      <c r="B338" s="56">
        <f>IFERROR(__xludf.DUMMYFUNCTION("""COMPUTED_VALUE"""),46203.0)</f>
        <v>46203</v>
      </c>
      <c r="C338" s="55" t="str">
        <f>IFERROR(__xludf.DUMMYFUNCTION("""COMPUTED_VALUE"""),"June")</f>
        <v>June</v>
      </c>
      <c r="D338" s="58" t="str">
        <f>IFERROR(__xludf.DUMMYFUNCTION("""COMPUTED_VALUE"""),"https://www.tiktok.com/@chersugc/video/7657227528972602638")</f>
        <v>https://www.tiktok.com/@chersugc/video/7657227528972602638</v>
      </c>
      <c r="E338" s="55" t="str">
        <f>IFERROR(__xludf.DUMMYFUNCTION("""COMPUTED_VALUE"""),"@chersugc")</f>
        <v>@chersugc</v>
      </c>
      <c r="F338" s="55"/>
      <c r="G338" s="55" t="str">
        <f>IFERROR(__xludf.DUMMYFUNCTION("""COMPUTED_VALUE"""),"Taste")</f>
        <v>Taste</v>
      </c>
      <c r="H338" s="55"/>
      <c r="I338" s="55">
        <f>IFERROR(__xludf.DUMMYFUNCTION("""COMPUTED_VALUE"""),29.1)</f>
        <v>29.1</v>
      </c>
      <c r="J338" s="55" t="str">
        <f>IFERROR(__xludf.DUMMYFUNCTION("""COMPUTED_VALUE"""),"Yes – Recommend")</f>
        <v>Yes – Recommend</v>
      </c>
      <c r="K338" s="55" t="str">
        <f>IFERROR(__xludf.DUMMYFUNCTION("""COMPUTED_VALUE"""),"Review before running ads")</f>
        <v>Review before running ads</v>
      </c>
      <c r="L338" s="55" t="str">
        <f>IFERROR(__xludf.DUMMYFUNCTION("""COMPUTED_VALUE"""),"Score 30.7 ≥ 30")</f>
        <v>Score 30.7 ≥ 30</v>
      </c>
      <c r="M338" s="55" t="str">
        <f>IFERROR(__xludf.DUMMYFUNCTION("""COMPUTED_VALUE"""),"No Ad Data")</f>
        <v>No Ad Data</v>
      </c>
      <c r="N338" s="55"/>
      <c r="O338" s="55"/>
      <c r="P338" s="55">
        <f>IFERROR(__xludf.DUMMYFUNCTION("""COMPUTED_VALUE"""),89.0)</f>
        <v>89</v>
      </c>
      <c r="Q338" s="55">
        <f>IFERROR(__xludf.DUMMYFUNCTION("""COMPUTED_VALUE"""),5.0)</f>
        <v>5</v>
      </c>
      <c r="R338" s="55">
        <f>IFERROR(__xludf.DUMMYFUNCTION("""COMPUTED_VALUE"""),1.0)</f>
        <v>1</v>
      </c>
      <c r="S338" s="55"/>
      <c r="T338" s="55">
        <f>IFERROR(__xludf.DUMMYFUNCTION("""COMPUTED_VALUE"""),13.0)</f>
        <v>13</v>
      </c>
      <c r="U338" s="55"/>
      <c r="V338" s="55">
        <f>IFERROR(__xludf.DUMMYFUNCTION("""COMPUTED_VALUE"""),0.067)</f>
        <v>0.067</v>
      </c>
      <c r="W338" s="55">
        <f>IFERROR(__xludf.DUMMYFUNCTION("""COMPUTED_VALUE"""),117.58)</f>
        <v>117.58</v>
      </c>
      <c r="X338" s="55"/>
      <c r="Y338" s="55"/>
      <c r="Z338" s="55"/>
      <c r="AA338" s="55"/>
      <c r="AB338" s="55"/>
      <c r="AC338" s="55"/>
      <c r="AD338" s="55"/>
      <c r="AE338" s="55"/>
      <c r="AF338" s="55"/>
      <c r="AG338" s="55"/>
      <c r="AH338" s="55"/>
      <c r="AI338" s="55"/>
      <c r="AJ338" s="55"/>
      <c r="AK338" s="55"/>
      <c r="AL338" s="55"/>
      <c r="AM338" s="55" t="str">
        <f>IFERROR(__xludf.DUMMYFUNCTION("""COMPUTED_VALUE"""),"#/6o5+S7wxgKPH7QufhwqEX+Kx4FfHpeyx4NUHYnVivYRj2lvR8k2TzZKNskrrXY=")</f>
        <v>#/6o5+S7wxgKPH7QufhwqEX+Kx4FfHpeyx4NUHYnVivYRj2lvR8k2TzZKNskrrXY=</v>
      </c>
      <c r="AN338" s="55"/>
      <c r="AO338" s="55"/>
      <c r="AP338" s="55"/>
      <c r="AQ338" s="55"/>
      <c r="AR338" s="55"/>
      <c r="AS338" s="55"/>
      <c r="AT338" s="55"/>
      <c r="AU338" s="55"/>
      <c r="AV338" s="55"/>
      <c r="AW338" s="35"/>
      <c r="AX338" s="35"/>
      <c r="AY338" s="35"/>
      <c r="AZ338" s="35"/>
      <c r="BA338" s="35"/>
      <c r="BB338" s="35"/>
      <c r="BC338" s="35"/>
      <c r="BD338" s="35"/>
      <c r="BE338" s="35"/>
      <c r="BF338" s="35"/>
      <c r="BG338" s="35"/>
    </row>
    <row r="339" ht="15.75" customHeight="1">
      <c r="A339" s="55" t="str">
        <f>IFERROR(__xludf.DUMMYFUNCTION("""COMPUTED_VALUE"""),"Tiktok")</f>
        <v>Tiktok</v>
      </c>
      <c r="B339" s="56">
        <f>IFERROR(__xludf.DUMMYFUNCTION("""COMPUTED_VALUE"""),46204.0)</f>
        <v>46204</v>
      </c>
      <c r="C339" s="55" t="str">
        <f>IFERROR(__xludf.DUMMYFUNCTION("""COMPUTED_VALUE"""),"July")</f>
        <v>July</v>
      </c>
      <c r="D339" s="58" t="str">
        <f>IFERROR(__xludf.DUMMYFUNCTION("""COMPUTED_VALUE"""),"https://www.tiktok.com/@margobondcollins/video/7658203564040293663")</f>
        <v>https://www.tiktok.com/@margobondcollins/video/7658203564040293663</v>
      </c>
      <c r="E339" s="55" t="str">
        <f>IFERROR(__xludf.DUMMYFUNCTION("""COMPUTED_VALUE"""),"@margobondcollins")</f>
        <v>@margobondcollins</v>
      </c>
      <c r="F339" s="55"/>
      <c r="G339" s="55" t="str">
        <f>IFERROR(__xludf.DUMMYFUNCTION("""COMPUTED_VALUE"""),"Target Shelf Showdown")</f>
        <v>Target Shelf Showdown</v>
      </c>
      <c r="H339" s="55"/>
      <c r="I339" s="55">
        <f>IFERROR(__xludf.DUMMYFUNCTION("""COMPUTED_VALUE"""),28.7)</f>
        <v>28.7</v>
      </c>
      <c r="J339" s="55" t="str">
        <f>IFERROR(__xludf.DUMMYFUNCTION("""COMPUTED_VALUE"""),"Yes – Recommend")</f>
        <v>Yes – Recommend</v>
      </c>
      <c r="K339" s="55" t="str">
        <f>IFERROR(__xludf.DUMMYFUNCTION("""COMPUTED_VALUE"""),"Review before running ads")</f>
        <v>Review before running ads</v>
      </c>
      <c r="L339" s="55" t="str">
        <f>IFERROR(__xludf.DUMMYFUNCTION("""COMPUTED_VALUE"""),"Score 30.3 ≥ 30")</f>
        <v>Score 30.3 ≥ 30</v>
      </c>
      <c r="M339" s="55" t="str">
        <f>IFERROR(__xludf.DUMMYFUNCTION("""COMPUTED_VALUE"""),"No Ad Data")</f>
        <v>No Ad Data</v>
      </c>
      <c r="N339" s="55"/>
      <c r="O339" s="55"/>
      <c r="P339" s="55">
        <f>IFERROR(__xludf.DUMMYFUNCTION("""COMPUTED_VALUE"""),82.0)</f>
        <v>82</v>
      </c>
      <c r="Q339" s="55">
        <f>IFERROR(__xludf.DUMMYFUNCTION("""COMPUTED_VALUE"""),1.0)</f>
        <v>1</v>
      </c>
      <c r="R339" s="55"/>
      <c r="S339" s="55"/>
      <c r="T339" s="55">
        <f>IFERROR(__xludf.DUMMYFUNCTION("""COMPUTED_VALUE"""),21.7)</f>
        <v>21.7</v>
      </c>
      <c r="U339" s="55"/>
      <c r="V339" s="55">
        <f>IFERROR(__xludf.DUMMYFUNCTION("""COMPUTED_VALUE"""),0.012)</f>
        <v>0.012</v>
      </c>
      <c r="W339" s="55">
        <f>IFERROR(__xludf.DUMMYFUNCTION("""COMPUTED_VALUE"""),72.99)</f>
        <v>72.99</v>
      </c>
      <c r="X339" s="55"/>
      <c r="Y339" s="55"/>
      <c r="Z339" s="55"/>
      <c r="AA339" s="55"/>
      <c r="AB339" s="55"/>
      <c r="AC339" s="55"/>
      <c r="AD339" s="55"/>
      <c r="AE339" s="55"/>
      <c r="AF339" s="55"/>
      <c r="AG339" s="55"/>
      <c r="AH339" s="55"/>
      <c r="AI339" s="55"/>
      <c r="AJ339" s="55"/>
      <c r="AK339" s="55"/>
      <c r="AL339" s="55"/>
      <c r="AM339" s="55" t="str">
        <f>IFERROR(__xludf.DUMMYFUNCTION("""COMPUTED_VALUE"""),"#4qq5nsDNzZ45i89tlcYw+lpKDASmRWgSeIcvr33DtVVnm/N6s+E/yrFQtskp56I=")</f>
        <v>#4qq5nsDNzZ45i89tlcYw+lpKDASmRWgSeIcvr33DtVVnm/N6s+E/yrFQtskp56I=</v>
      </c>
      <c r="AN339" s="55"/>
      <c r="AO339" s="55"/>
      <c r="AP339" s="55"/>
      <c r="AQ339" s="55"/>
      <c r="AR339" s="55"/>
      <c r="AS339" s="55"/>
      <c r="AT339" s="55"/>
      <c r="AU339" s="55"/>
      <c r="AV339" s="55"/>
      <c r="AW339" s="35"/>
      <c r="AX339" s="35"/>
      <c r="AY339" s="35"/>
      <c r="AZ339" s="35"/>
      <c r="BA339" s="35"/>
      <c r="BB339" s="35"/>
      <c r="BC339" s="35"/>
      <c r="BD339" s="35"/>
      <c r="BE339" s="35"/>
      <c r="BF339" s="35"/>
      <c r="BG339" s="35"/>
    </row>
    <row r="340" ht="15.75" customHeight="1">
      <c r="A340" s="55" t="str">
        <f>IFERROR(__xludf.DUMMYFUNCTION("""COMPUTED_VALUE"""),"Tiktok")</f>
        <v>Tiktok</v>
      </c>
      <c r="B340" s="56">
        <f>IFERROR(__xludf.DUMMYFUNCTION("""COMPUTED_VALUE"""),46204.0)</f>
        <v>46204</v>
      </c>
      <c r="C340" s="55" t="str">
        <f>IFERROR(__xludf.DUMMYFUNCTION("""COMPUTED_VALUE"""),"July")</f>
        <v>July</v>
      </c>
      <c r="D340" s="58" t="str">
        <f>IFERROR(__xludf.DUMMYFUNCTION("""COMPUTED_VALUE"""),"https://www.tiktok.com/@user2107304073112/video/7657286360855743774")</f>
        <v>https://www.tiktok.com/@user2107304073112/video/7657286360855743774</v>
      </c>
      <c r="E340" s="55" t="str">
        <f>IFERROR(__xludf.DUMMYFUNCTION("""COMPUTED_VALUE"""),"@user2107304073112")</f>
        <v>@user2107304073112</v>
      </c>
      <c r="F340" s="55"/>
      <c r="G340" s="55" t="str">
        <f>IFERROR(__xludf.DUMMYFUNCTION("""COMPUTED_VALUE"""),"Countering Mushroom Coffee Trend")</f>
        <v>Countering Mushroom Coffee Trend</v>
      </c>
      <c r="H340" s="55"/>
      <c r="I340" s="55">
        <f>IFERROR(__xludf.DUMMYFUNCTION("""COMPUTED_VALUE"""),28.6)</f>
        <v>28.6</v>
      </c>
      <c r="J340" s="55" t="str">
        <f>IFERROR(__xludf.DUMMYFUNCTION("""COMPUTED_VALUE"""),"Yes – Recommend")</f>
        <v>Yes – Recommend</v>
      </c>
      <c r="K340" s="55" t="str">
        <f>IFERROR(__xludf.DUMMYFUNCTION("""COMPUTED_VALUE"""),"Review before running ads")</f>
        <v>Review before running ads</v>
      </c>
      <c r="L340" s="55" t="str">
        <f>IFERROR(__xludf.DUMMYFUNCTION("""COMPUTED_VALUE"""),"Score 30.1 ≥ 30")</f>
        <v>Score 30.1 ≥ 30</v>
      </c>
      <c r="M340" s="55" t="str">
        <f>IFERROR(__xludf.DUMMYFUNCTION("""COMPUTED_VALUE"""),"No Ad Data")</f>
        <v>No Ad Data</v>
      </c>
      <c r="N340" s="55"/>
      <c r="O340" s="55"/>
      <c r="P340" s="55">
        <f>IFERROR(__xludf.DUMMYFUNCTION("""COMPUTED_VALUE"""),72.0)</f>
        <v>72</v>
      </c>
      <c r="Q340" s="55">
        <f>IFERROR(__xludf.DUMMYFUNCTION("""COMPUTED_VALUE"""),3.0)</f>
        <v>3</v>
      </c>
      <c r="R340" s="55"/>
      <c r="S340" s="55"/>
      <c r="T340" s="55">
        <f>IFERROR(__xludf.DUMMYFUNCTION("""COMPUTED_VALUE"""),16.1)</f>
        <v>16.1</v>
      </c>
      <c r="U340" s="55"/>
      <c r="V340" s="55">
        <f>IFERROR(__xludf.DUMMYFUNCTION("""COMPUTED_VALUE"""),0.041)</f>
        <v>0.041</v>
      </c>
      <c r="W340" s="55">
        <f>IFERROR(__xludf.DUMMYFUNCTION("""COMPUTED_VALUE"""),117.58)</f>
        <v>117.58</v>
      </c>
      <c r="X340" s="55"/>
      <c r="Y340" s="55"/>
      <c r="Z340" s="55"/>
      <c r="AA340" s="55"/>
      <c r="AB340" s="55"/>
      <c r="AC340" s="55"/>
      <c r="AD340" s="55"/>
      <c r="AE340" s="55"/>
      <c r="AF340" s="55"/>
      <c r="AG340" s="55"/>
      <c r="AH340" s="55"/>
      <c r="AI340" s="55"/>
      <c r="AJ340" s="55"/>
      <c r="AK340" s="55"/>
      <c r="AL340" s="55"/>
      <c r="AM340" s="55" t="str">
        <f>IFERROR(__xludf.DUMMYFUNCTION("""COMPUTED_VALUE"""),"#yp/y70rTVwSph1BhKmj7ux/ry8H/5pme2WtU6/XYtoEo4oxkzV64SSUPVr23xCs=")</f>
        <v>#yp/y70rTVwSph1BhKmj7ux/ry8H/5pme2WtU6/XYtoEo4oxkzV64SSUPVr23xCs=</v>
      </c>
      <c r="AN340" s="55"/>
      <c r="AO340" s="55"/>
      <c r="AP340" s="55"/>
      <c r="AQ340" s="55"/>
      <c r="AR340" s="55"/>
      <c r="AS340" s="55"/>
      <c r="AT340" s="55"/>
      <c r="AU340" s="55"/>
      <c r="AV340" s="55"/>
      <c r="AW340" s="35"/>
      <c r="AX340" s="35"/>
      <c r="AY340" s="35"/>
      <c r="AZ340" s="35"/>
      <c r="BA340" s="35"/>
      <c r="BB340" s="35"/>
      <c r="BC340" s="35"/>
      <c r="BD340" s="35"/>
      <c r="BE340" s="35"/>
      <c r="BF340" s="35"/>
      <c r="BG340" s="35"/>
    </row>
    <row r="341" ht="15.75" customHeight="1">
      <c r="A341" s="55" t="str">
        <f>IFERROR(__xludf.DUMMYFUNCTION("""COMPUTED_VALUE"""),"Instagram")</f>
        <v>Instagram</v>
      </c>
      <c r="B341" s="56">
        <f>IFERROR(__xludf.DUMMYFUNCTION("""COMPUTED_VALUE"""),46212.0)</f>
        <v>46212</v>
      </c>
      <c r="C341" s="55" t="str">
        <f>IFERROR(__xludf.DUMMYFUNCTION("""COMPUTED_VALUE"""),"July")</f>
        <v>July</v>
      </c>
      <c r="D341" s="58" t="str">
        <f>IFERROR(__xludf.DUMMYFUNCTION("""COMPUTED_VALUE"""),"https://www.instagram.com/reels/DalftEbxjd7/")</f>
        <v>https://www.instagram.com/reels/DalftEbxjd7/</v>
      </c>
      <c r="E341" s="55" t="str">
        <f>IFERROR(__xludf.DUMMYFUNCTION("""COMPUTED_VALUE"""),"@na")</f>
        <v>@na</v>
      </c>
      <c r="F341" s="55"/>
      <c r="G341" s="55" t="str">
        <f>IFERROR(__xludf.DUMMYFUNCTION("""COMPUTED_VALUE"""),"Over 40/ High Performer")</f>
        <v>Over 40/ High Performer</v>
      </c>
      <c r="H341" s="55"/>
      <c r="I341" s="55">
        <f>IFERROR(__xludf.DUMMYFUNCTION("""COMPUTED_VALUE"""),27.9)</f>
        <v>27.9</v>
      </c>
      <c r="J341" s="55" t="str">
        <f>IFERROR(__xludf.DUMMYFUNCTION("""COMPUTED_VALUE"""),"Yes – Recommend")</f>
        <v>Yes – Recommend</v>
      </c>
      <c r="K341" s="55" t="str">
        <f>IFERROR(__xludf.DUMMYFUNCTION("""COMPUTED_VALUE"""),"Review before running ads")</f>
        <v>Review before running ads</v>
      </c>
      <c r="L341" s="55" t="str">
        <f>IFERROR(__xludf.DUMMYFUNCTION("""COMPUTED_VALUE"""),"Score 29.5 ≥ 20 threshold")</f>
        <v>Score 29.5 ≥ 20 threshold</v>
      </c>
      <c r="M341" s="55" t="str">
        <f>IFERROR(__xludf.DUMMYFUNCTION("""COMPUTED_VALUE"""),"No Ad Data")</f>
        <v>No Ad Data</v>
      </c>
      <c r="N341" s="55"/>
      <c r="O341" s="55"/>
      <c r="P341" s="55">
        <f>IFERROR(__xludf.DUMMYFUNCTION("""COMPUTED_VALUE"""),312.0)</f>
        <v>312</v>
      </c>
      <c r="Q341" s="55">
        <f>IFERROR(__xludf.DUMMYFUNCTION("""COMPUTED_VALUE"""),23.0)</f>
        <v>23</v>
      </c>
      <c r="R341" s="55"/>
      <c r="S341" s="55"/>
      <c r="T341" s="55"/>
      <c r="U341" s="55"/>
      <c r="V341" s="55"/>
      <c r="W341" s="55">
        <f>IFERROR(__xludf.DUMMYFUNCTION("""COMPUTED_VALUE"""),117.58)</f>
        <v>117.58</v>
      </c>
      <c r="X341" s="55"/>
      <c r="Y341" s="55"/>
      <c r="Z341" s="55"/>
      <c r="AA341" s="55"/>
      <c r="AB341" s="55"/>
      <c r="AC341" s="55"/>
      <c r="AD341" s="55"/>
      <c r="AE341" s="55"/>
      <c r="AF341" s="55"/>
      <c r="AG341" s="55"/>
      <c r="AH341" s="55"/>
      <c r="AI341" s="55"/>
      <c r="AJ341" s="55"/>
      <c r="AK341" s="55"/>
      <c r="AL341" s="55"/>
      <c r="AM341" s="55" t="str">
        <f>IFERROR(__xludf.DUMMYFUNCTION("""COMPUTED_VALUE"""),"Q9jTBBYW4JY2Za1aoKpcEbkr0SEVwRQ5hoUm7Bnj-Cfxs9qDv-vKCiLc3HXggf_rGDM")</f>
        <v>Q9jTBBYW4JY2Za1aoKpcEbkr0SEVwRQ5hoUm7Bnj-Cfxs9qDv-vKCiLc3HXggf_rGDM</v>
      </c>
      <c r="AN341" s="55"/>
      <c r="AO341" s="55"/>
      <c r="AP341" s="55"/>
      <c r="AQ341" s="55"/>
      <c r="AR341" s="55"/>
      <c r="AS341" s="55"/>
      <c r="AT341" s="55"/>
      <c r="AU341" s="55"/>
      <c r="AV341" s="55"/>
      <c r="AW341" s="35"/>
      <c r="AX341" s="35"/>
      <c r="AY341" s="35"/>
      <c r="AZ341" s="35"/>
      <c r="BA341" s="35"/>
      <c r="BB341" s="35"/>
      <c r="BC341" s="35"/>
      <c r="BD341" s="35"/>
      <c r="BE341" s="35"/>
      <c r="BF341" s="35"/>
      <c r="BG341" s="35"/>
    </row>
    <row r="342" ht="15.75" customHeight="1">
      <c r="A342" s="55" t="str">
        <f>IFERROR(__xludf.DUMMYFUNCTION("""COMPUTED_VALUE"""),"Instagram")</f>
        <v>Instagram</v>
      </c>
      <c r="B342" s="56">
        <f>IFERROR(__xludf.DUMMYFUNCTION("""COMPUTED_VALUE"""),46206.0)</f>
        <v>46206</v>
      </c>
      <c r="C342" s="55" t="str">
        <f>IFERROR(__xludf.DUMMYFUNCTION("""COMPUTED_VALUE"""),"July")</f>
        <v>July</v>
      </c>
      <c r="D342" s="58" t="str">
        <f>IFERROR(__xludf.DUMMYFUNCTION("""COMPUTED_VALUE"""),"https://www.instagram.com/reel/DaUGULcgv0h/")</f>
        <v>https://www.instagram.com/reel/DaUGULcgv0h/</v>
      </c>
      <c r="E342" s="55" t="str">
        <f>IFERROR(__xludf.DUMMYFUNCTION("""COMPUTED_VALUE"""),"@na")</f>
        <v>@na</v>
      </c>
      <c r="F342" s="55"/>
      <c r="G342" s="55" t="str">
        <f>IFERROR(__xludf.DUMMYFUNCTION("""COMPUTED_VALUE"""),"Over 40/ High Performer")</f>
        <v>Over 40/ High Performer</v>
      </c>
      <c r="H342" s="55"/>
      <c r="I342" s="55">
        <f>IFERROR(__xludf.DUMMYFUNCTION("""COMPUTED_VALUE"""),26.6)</f>
        <v>26.6</v>
      </c>
      <c r="J342" s="55" t="str">
        <f>IFERROR(__xludf.DUMMYFUNCTION("""COMPUTED_VALUE"""),"Yes – Recommend")</f>
        <v>Yes – Recommend</v>
      </c>
      <c r="K342" s="55" t="str">
        <f>IFERROR(__xludf.DUMMYFUNCTION("""COMPUTED_VALUE"""),"Review before running ads")</f>
        <v>Review before running ads</v>
      </c>
      <c r="L342" s="55" t="str">
        <f>IFERROR(__xludf.DUMMYFUNCTION("""COMPUTED_VALUE"""),"Score 27.8 ≥ 20 threshold")</f>
        <v>Score 27.8 ≥ 20 threshold</v>
      </c>
      <c r="M342" s="55" t="str">
        <f>IFERROR(__xludf.DUMMYFUNCTION("""COMPUTED_VALUE"""),"No Ad Data")</f>
        <v>No Ad Data</v>
      </c>
      <c r="N342" s="55"/>
      <c r="O342" s="55"/>
      <c r="P342" s="55">
        <f>IFERROR(__xludf.DUMMYFUNCTION("""COMPUTED_VALUE"""),184.0)</f>
        <v>184</v>
      </c>
      <c r="Q342" s="55">
        <f>IFERROR(__xludf.DUMMYFUNCTION("""COMPUTED_VALUE"""),10.0)</f>
        <v>10</v>
      </c>
      <c r="R342" s="55">
        <f>IFERROR(__xludf.DUMMYFUNCTION("""COMPUTED_VALUE"""),3.0)</f>
        <v>3</v>
      </c>
      <c r="S342" s="55"/>
      <c r="T342" s="55"/>
      <c r="U342" s="55"/>
      <c r="V342" s="55"/>
      <c r="W342" s="55">
        <f>IFERROR(__xludf.DUMMYFUNCTION("""COMPUTED_VALUE"""),117.58)</f>
        <v>117.58</v>
      </c>
      <c r="X342" s="55"/>
      <c r="Y342" s="55"/>
      <c r="Z342" s="55"/>
      <c r="AA342" s="55"/>
      <c r="AB342" s="55"/>
      <c r="AC342" s="55"/>
      <c r="AD342" s="55"/>
      <c r="AE342" s="55"/>
      <c r="AF342" s="55"/>
      <c r="AG342" s="55"/>
      <c r="AH342" s="55"/>
      <c r="AI342" s="55"/>
      <c r="AJ342" s="55"/>
      <c r="AK342" s="55"/>
      <c r="AL342" s="55"/>
      <c r="AM342" s="55" t="str">
        <f>IFERROR(__xludf.DUMMYFUNCTION("""COMPUTED_VALUE"""),"Q9jTBBUZiIc-9S_ghWZ8nwSipbZ-iAvHNfUeUMmgtZC-LdGM76Cxhq_7NDuIGA_YrUc")</f>
        <v>Q9jTBBUZiIc-9S_ghWZ8nwSipbZ-iAvHNfUeUMmgtZC-LdGM76Cxhq_7NDuIGA_YrUc</v>
      </c>
      <c r="AN342" s="55"/>
      <c r="AO342" s="55"/>
      <c r="AP342" s="55"/>
      <c r="AQ342" s="55"/>
      <c r="AR342" s="55"/>
      <c r="AS342" s="55"/>
      <c r="AT342" s="55"/>
      <c r="AU342" s="55"/>
      <c r="AV342" s="55"/>
      <c r="AW342" s="35"/>
      <c r="AX342" s="35"/>
      <c r="AY342" s="35"/>
      <c r="AZ342" s="35"/>
      <c r="BA342" s="35"/>
      <c r="BB342" s="35"/>
      <c r="BC342" s="35"/>
      <c r="BD342" s="35"/>
      <c r="BE342" s="35"/>
      <c r="BF342" s="35"/>
      <c r="BG342" s="35"/>
    </row>
    <row r="343" ht="15.75" customHeight="1">
      <c r="A343" s="55" t="str">
        <f>IFERROR(__xludf.DUMMYFUNCTION("""COMPUTED_VALUE"""),"Instagram")</f>
        <v>Instagram</v>
      </c>
      <c r="B343" s="56">
        <f>IFERROR(__xludf.DUMMYFUNCTION("""COMPUTED_VALUE"""),46212.0)</f>
        <v>46212</v>
      </c>
      <c r="C343" s="55" t="str">
        <f>IFERROR(__xludf.DUMMYFUNCTION("""COMPUTED_VALUE"""),"July")</f>
        <v>July</v>
      </c>
      <c r="D343" s="58" t="str">
        <f>IFERROR(__xludf.DUMMYFUNCTION("""COMPUTED_VALUE"""),"https://www.instagram.com/reels/DafpskSzjbo/")</f>
        <v>https://www.instagram.com/reels/DafpskSzjbo/</v>
      </c>
      <c r="E343" s="55" t="str">
        <f>IFERROR(__xludf.DUMMYFUNCTION("""COMPUTED_VALUE"""),"@na")</f>
        <v>@na</v>
      </c>
      <c r="F343" s="55"/>
      <c r="G343" s="55" t="str">
        <f>IFERROR(__xludf.DUMMYFUNCTION("""COMPUTED_VALUE"""),"Mushroom Trend")</f>
        <v>Mushroom Trend</v>
      </c>
      <c r="H343" s="55"/>
      <c r="I343" s="55">
        <f>IFERROR(__xludf.DUMMYFUNCTION("""COMPUTED_VALUE"""),25.5)</f>
        <v>25.5</v>
      </c>
      <c r="J343" s="55" t="str">
        <f>IFERROR(__xludf.DUMMYFUNCTION("""COMPUTED_VALUE"""),"Yes – Recommend")</f>
        <v>Yes – Recommend</v>
      </c>
      <c r="K343" s="55" t="str">
        <f>IFERROR(__xludf.DUMMYFUNCTION("""COMPUTED_VALUE"""),"Review before running ads")</f>
        <v>Review before running ads</v>
      </c>
      <c r="L343" s="55" t="str">
        <f>IFERROR(__xludf.DUMMYFUNCTION("""COMPUTED_VALUE"""),"Score 26.8 ≥ 20 threshold")</f>
        <v>Score 26.8 ≥ 20 threshold</v>
      </c>
      <c r="M343" s="55" t="str">
        <f>IFERROR(__xludf.DUMMYFUNCTION("""COMPUTED_VALUE"""),"No Ad Data")</f>
        <v>No Ad Data</v>
      </c>
      <c r="N343" s="55"/>
      <c r="O343" s="55"/>
      <c r="P343" s="55">
        <f>IFERROR(__xludf.DUMMYFUNCTION("""COMPUTED_VALUE"""),173.0)</f>
        <v>173</v>
      </c>
      <c r="Q343" s="55">
        <f>IFERROR(__xludf.DUMMYFUNCTION("""COMPUTED_VALUE"""),12.0)</f>
        <v>12</v>
      </c>
      <c r="R343" s="55">
        <f>IFERROR(__xludf.DUMMYFUNCTION("""COMPUTED_VALUE"""),1.0)</f>
        <v>1</v>
      </c>
      <c r="S343" s="55"/>
      <c r="T343" s="55"/>
      <c r="U343" s="55"/>
      <c r="V343" s="55"/>
      <c r="W343" s="55">
        <f>IFERROR(__xludf.DUMMYFUNCTION("""COMPUTED_VALUE"""),117.58)</f>
        <v>117.58</v>
      </c>
      <c r="X343" s="55"/>
      <c r="Y343" s="55"/>
      <c r="Z343" s="55"/>
      <c r="AA343" s="55"/>
      <c r="AB343" s="55"/>
      <c r="AC343" s="55"/>
      <c r="AD343" s="55"/>
      <c r="AE343" s="55"/>
      <c r="AF343" s="55"/>
      <c r="AG343" s="55"/>
      <c r="AH343" s="55"/>
      <c r="AI343" s="55"/>
      <c r="AJ343" s="55"/>
      <c r="AK343" s="55"/>
      <c r="AL343" s="55"/>
      <c r="AM343" s="55" t="str">
        <f>IFERROR(__xludf.DUMMYFUNCTION("""COMPUTED_VALUE"""),"Q9jTBBZVlwRIZjxOVvlvx2PfYUQDbNyx2NyZi3cAYTpyYFatGpmA3EinlJaEmioNrQ")</f>
        <v>Q9jTBBZVlwRIZjxOVvlvx2PfYUQDbNyx2NyZi3cAYTpyYFatGpmA3EinlJaEmioNrQ</v>
      </c>
      <c r="AN343" s="55"/>
      <c r="AO343" s="55"/>
      <c r="AP343" s="55"/>
      <c r="AQ343" s="55"/>
      <c r="AR343" s="55"/>
      <c r="AS343" s="55"/>
      <c r="AT343" s="55"/>
      <c r="AU343" s="55"/>
      <c r="AV343" s="55"/>
      <c r="AW343" s="35"/>
      <c r="AX343" s="35"/>
      <c r="AY343" s="35"/>
      <c r="AZ343" s="35"/>
      <c r="BA343" s="35"/>
      <c r="BB343" s="35"/>
      <c r="BC343" s="35"/>
      <c r="BD343" s="35"/>
      <c r="BE343" s="35"/>
      <c r="BF343" s="35"/>
      <c r="BG343" s="35"/>
    </row>
    <row r="344" ht="15.75" customHeight="1">
      <c r="A344" s="55" t="str">
        <f>IFERROR(__xludf.DUMMYFUNCTION("""COMPUTED_VALUE"""),"Instagram")</f>
        <v>Instagram</v>
      </c>
      <c r="B344" s="56">
        <f>IFERROR(__xludf.DUMMYFUNCTION("""COMPUTED_VALUE"""),46209.0)</f>
        <v>46209</v>
      </c>
      <c r="C344" s="55" t="str">
        <f>IFERROR(__xludf.DUMMYFUNCTION("""COMPUTED_VALUE"""),"July")</f>
        <v>July</v>
      </c>
      <c r="D344" s="58" t="str">
        <f>IFERROR(__xludf.DUMMYFUNCTION("""COMPUTED_VALUE"""),"https://www.instagram.com/reel/DaWNeyJh2c_/")</f>
        <v>https://www.instagram.com/reel/DaWNeyJh2c_/</v>
      </c>
      <c r="E344" s="55" t="str">
        <f>IFERROR(__xludf.DUMMYFUNCTION("""COMPUTED_VALUE"""),"@na")</f>
        <v>@na</v>
      </c>
      <c r="F344" s="55"/>
      <c r="G344" s="55" t="str">
        <f>IFERROR(__xludf.DUMMYFUNCTION("""COMPUTED_VALUE"""),"Over 40/ High Performer")</f>
        <v>Over 40/ High Performer</v>
      </c>
      <c r="H344" s="55"/>
      <c r="I344" s="55">
        <f>IFERROR(__xludf.DUMMYFUNCTION("""COMPUTED_VALUE"""),23.4)</f>
        <v>23.4</v>
      </c>
      <c r="J344" s="55" t="str">
        <f>IFERROR(__xludf.DUMMYFUNCTION("""COMPUTED_VALUE"""),"Yes – Recommend")</f>
        <v>Yes – Recommend</v>
      </c>
      <c r="K344" s="55" t="str">
        <f>IFERROR(__xludf.DUMMYFUNCTION("""COMPUTED_VALUE"""),"Review before running ads")</f>
        <v>Review before running ads</v>
      </c>
      <c r="L344" s="55" t="str">
        <f>IFERROR(__xludf.DUMMYFUNCTION("""COMPUTED_VALUE"""),"Score 24.5 ≥ 20 threshold")</f>
        <v>Score 24.5 ≥ 20 threshold</v>
      </c>
      <c r="M344" s="55" t="str">
        <f>IFERROR(__xludf.DUMMYFUNCTION("""COMPUTED_VALUE"""),"No Ad Data")</f>
        <v>No Ad Data</v>
      </c>
      <c r="N344" s="55"/>
      <c r="O344" s="55"/>
      <c r="P344" s="55">
        <f>IFERROR(__xludf.DUMMYFUNCTION("""COMPUTED_VALUE"""),281.0)</f>
        <v>281</v>
      </c>
      <c r="Q344" s="55">
        <f>IFERROR(__xludf.DUMMYFUNCTION("""COMPUTED_VALUE"""),8.0)</f>
        <v>8</v>
      </c>
      <c r="R344" s="55"/>
      <c r="S344" s="55"/>
      <c r="T344" s="55"/>
      <c r="U344" s="55"/>
      <c r="V344" s="55"/>
      <c r="W344" s="55">
        <f>IFERROR(__xludf.DUMMYFUNCTION("""COMPUTED_VALUE"""),117.58)</f>
        <v>117.58</v>
      </c>
      <c r="X344" s="55"/>
      <c r="Y344" s="55"/>
      <c r="Z344" s="55"/>
      <c r="AA344" s="55"/>
      <c r="AB344" s="55"/>
      <c r="AC344" s="55"/>
      <c r="AD344" s="55"/>
      <c r="AE344" s="55"/>
      <c r="AF344" s="55"/>
      <c r="AG344" s="55"/>
      <c r="AH344" s="55"/>
      <c r="AI344" s="55"/>
      <c r="AJ344" s="55"/>
      <c r="AK344" s="55"/>
      <c r="AL344" s="55"/>
      <c r="AM344" s="55" t="str">
        <f>IFERROR(__xludf.DUMMYFUNCTION("""COMPUTED_VALUE"""),"Q9jTBBWLr-UxW7wOG-7ZEDhpHYcEJLSJ9rB4MP28W5Hr6l6vlMsKXMGn7orKfTTPhQ")</f>
        <v>Q9jTBBWLr-UxW7wOG-7ZEDhpHYcEJLSJ9rB4MP28W5Hr6l6vlMsKXMGn7orKfTTPhQ</v>
      </c>
      <c r="AN344" s="55"/>
      <c r="AO344" s="55"/>
      <c r="AP344" s="55"/>
      <c r="AQ344" s="55"/>
      <c r="AR344" s="55"/>
      <c r="AS344" s="55"/>
      <c r="AT344" s="55"/>
      <c r="AU344" s="55"/>
      <c r="AV344" s="55"/>
      <c r="AW344" s="35"/>
      <c r="AX344" s="35"/>
      <c r="AY344" s="35"/>
      <c r="AZ344" s="35"/>
      <c r="BA344" s="35"/>
      <c r="BB344" s="35"/>
      <c r="BC344" s="35"/>
      <c r="BD344" s="35"/>
      <c r="BE344" s="35"/>
      <c r="BF344" s="35"/>
      <c r="BG344" s="35"/>
    </row>
    <row r="345" ht="15.75" customHeight="1">
      <c r="A345" s="55" t="str">
        <f>IFERROR(__xludf.DUMMYFUNCTION("""COMPUTED_VALUE"""),"Instagram")</f>
        <v>Instagram</v>
      </c>
      <c r="B345" s="56">
        <f>IFERROR(__xludf.DUMMYFUNCTION("""COMPUTED_VALUE"""),46212.0)</f>
        <v>46212</v>
      </c>
      <c r="C345" s="55" t="str">
        <f>IFERROR(__xludf.DUMMYFUNCTION("""COMPUTED_VALUE"""),"July")</f>
        <v>July</v>
      </c>
      <c r="D345" s="58" t="str">
        <f>IFERROR(__xludf.DUMMYFUNCTION("""COMPUTED_VALUE"""),"https://www.instagram.com/reels/DamFh5uMtQI/")</f>
        <v>https://www.instagram.com/reels/DamFh5uMtQI/</v>
      </c>
      <c r="E345" s="55" t="str">
        <f>IFERROR(__xludf.DUMMYFUNCTION("""COMPUTED_VALUE"""),"@na")</f>
        <v>@na</v>
      </c>
      <c r="F345" s="55"/>
      <c r="G345" s="55" t="str">
        <f>IFERROR(__xludf.DUMMYFUNCTION("""COMPUTED_VALUE"""),"Over 40/ High Performer")</f>
        <v>Over 40/ High Performer</v>
      </c>
      <c r="H345" s="55"/>
      <c r="I345" s="55">
        <f>IFERROR(__xludf.DUMMYFUNCTION("""COMPUTED_VALUE"""),23.1)</f>
        <v>23.1</v>
      </c>
      <c r="J345" s="55" t="str">
        <f>IFERROR(__xludf.DUMMYFUNCTION("""COMPUTED_VALUE"""),"Yes – Recommend")</f>
        <v>Yes – Recommend</v>
      </c>
      <c r="K345" s="55" t="str">
        <f>IFERROR(__xludf.DUMMYFUNCTION("""COMPUTED_VALUE"""),"Review before running ads")</f>
        <v>Review before running ads</v>
      </c>
      <c r="L345" s="55" t="str">
        <f>IFERROR(__xludf.DUMMYFUNCTION("""COMPUTED_VALUE"""),"Score 24.1 ≥ 20 threshold")</f>
        <v>Score 24.1 ≥ 20 threshold</v>
      </c>
      <c r="M345" s="55" t="str">
        <f>IFERROR(__xludf.DUMMYFUNCTION("""COMPUTED_VALUE"""),"No Ad Data")</f>
        <v>No Ad Data</v>
      </c>
      <c r="N345" s="55"/>
      <c r="O345" s="55"/>
      <c r="P345" s="55">
        <f>IFERROR(__xludf.DUMMYFUNCTION("""COMPUTED_VALUE"""),194.0)</f>
        <v>194</v>
      </c>
      <c r="Q345" s="55">
        <f>IFERROR(__xludf.DUMMYFUNCTION("""COMPUTED_VALUE"""),6.0)</f>
        <v>6</v>
      </c>
      <c r="R345" s="55">
        <f>IFERROR(__xludf.DUMMYFUNCTION("""COMPUTED_VALUE"""),1.0)</f>
        <v>1</v>
      </c>
      <c r="S345" s="55"/>
      <c r="T345" s="55"/>
      <c r="U345" s="55"/>
      <c r="V345" s="55"/>
      <c r="W345" s="55">
        <f>IFERROR(__xludf.DUMMYFUNCTION("""COMPUTED_VALUE"""),117.58)</f>
        <v>117.58</v>
      </c>
      <c r="X345" s="55"/>
      <c r="Y345" s="55"/>
      <c r="Z345" s="55"/>
      <c r="AA345" s="55"/>
      <c r="AB345" s="55"/>
      <c r="AC345" s="55"/>
      <c r="AD345" s="55"/>
      <c r="AE345" s="55"/>
      <c r="AF345" s="55"/>
      <c r="AG345" s="55"/>
      <c r="AH345" s="55"/>
      <c r="AI345" s="55"/>
      <c r="AJ345" s="55"/>
      <c r="AK345" s="55"/>
      <c r="AL345" s="55"/>
      <c r="AM345" s="55" t="str">
        <f>IFERROR(__xludf.DUMMYFUNCTION("""COMPUTED_VALUE"""),"Q9jTBBbTNH0ys4g1XKxAuoWja0zd6VJ4kK3tNCzv5x7SShWr5mabB0LRfzKjk5SPP4M")</f>
        <v>Q9jTBBbTNH0ys4g1XKxAuoWja0zd6VJ4kK3tNCzv5x7SShWr5mabB0LRfzKjk5SPP4M</v>
      </c>
      <c r="AN345" s="55"/>
      <c r="AO345" s="55"/>
      <c r="AP345" s="55"/>
      <c r="AQ345" s="55"/>
      <c r="AR345" s="55"/>
      <c r="AS345" s="55"/>
      <c r="AT345" s="55"/>
      <c r="AU345" s="55"/>
      <c r="AV345" s="55"/>
      <c r="AW345" s="35"/>
      <c r="AX345" s="35"/>
      <c r="AY345" s="35"/>
      <c r="AZ345" s="35"/>
      <c r="BA345" s="35"/>
      <c r="BB345" s="35"/>
      <c r="BC345" s="35"/>
      <c r="BD345" s="35"/>
      <c r="BE345" s="35"/>
      <c r="BF345" s="35"/>
      <c r="BG345" s="35"/>
    </row>
    <row r="346" ht="15.75" customHeight="1">
      <c r="A346" s="55" t="str">
        <f>IFERROR(__xludf.DUMMYFUNCTION("""COMPUTED_VALUE"""),"Instagram")</f>
        <v>Instagram</v>
      </c>
      <c r="B346" s="56">
        <f>IFERROR(__xludf.DUMMYFUNCTION("""COMPUTED_VALUE"""),46205.0)</f>
        <v>46205</v>
      </c>
      <c r="C346" s="55" t="str">
        <f>IFERROR(__xludf.DUMMYFUNCTION("""COMPUTED_VALUE"""),"July")</f>
        <v>July</v>
      </c>
      <c r="D346" s="58" t="str">
        <f>IFERROR(__xludf.DUMMYFUNCTION("""COMPUTED_VALUE"""),"https://www.instagram.com/reel/DaRfDm1Rtgv/")</f>
        <v>https://www.instagram.com/reel/DaRfDm1Rtgv/</v>
      </c>
      <c r="E346" s="55" t="str">
        <f>IFERROR(__xludf.DUMMYFUNCTION("""COMPUTED_VALUE"""),"@na")</f>
        <v>@na</v>
      </c>
      <c r="F346" s="55"/>
      <c r="G346" s="55" t="str">
        <f>IFERROR(__xludf.DUMMYFUNCTION("""COMPUTED_VALUE"""),"Countering Mushroom Coffee Trend")</f>
        <v>Countering Mushroom Coffee Trend</v>
      </c>
      <c r="H346" s="55"/>
      <c r="I346" s="55">
        <f>IFERROR(__xludf.DUMMYFUNCTION("""COMPUTED_VALUE"""),23.0)</f>
        <v>23</v>
      </c>
      <c r="J346" s="55" t="str">
        <f>IFERROR(__xludf.DUMMYFUNCTION("""COMPUTED_VALUE"""),"Yes – Recommend")</f>
        <v>Yes – Recommend</v>
      </c>
      <c r="K346" s="55" t="str">
        <f>IFERROR(__xludf.DUMMYFUNCTION("""COMPUTED_VALUE"""),"Review before running ads")</f>
        <v>Review before running ads</v>
      </c>
      <c r="L346" s="55" t="str">
        <f>IFERROR(__xludf.DUMMYFUNCTION("""COMPUTED_VALUE"""),"Score 24.2 ≥ 20 threshold")</f>
        <v>Score 24.2 ≥ 20 threshold</v>
      </c>
      <c r="M346" s="55" t="str">
        <f>IFERROR(__xludf.DUMMYFUNCTION("""COMPUTED_VALUE"""),"No Ad Data")</f>
        <v>No Ad Data</v>
      </c>
      <c r="N346" s="55"/>
      <c r="O346" s="55"/>
      <c r="P346" s="55">
        <f>IFERROR(__xludf.DUMMYFUNCTION("""COMPUTED_VALUE"""),243.0)</f>
        <v>243</v>
      </c>
      <c r="Q346" s="55">
        <f>IFERROR(__xludf.DUMMYFUNCTION("""COMPUTED_VALUE"""),8.0)</f>
        <v>8</v>
      </c>
      <c r="R346" s="55"/>
      <c r="S346" s="55"/>
      <c r="T346" s="55"/>
      <c r="U346" s="55"/>
      <c r="V346" s="55"/>
      <c r="W346" s="55">
        <f>IFERROR(__xludf.DUMMYFUNCTION("""COMPUTED_VALUE"""),117.58)</f>
        <v>117.58</v>
      </c>
      <c r="X346" s="55"/>
      <c r="Y346" s="55"/>
      <c r="Z346" s="55"/>
      <c r="AA346" s="55"/>
      <c r="AB346" s="55"/>
      <c r="AC346" s="55"/>
      <c r="AD346" s="55"/>
      <c r="AE346" s="55"/>
      <c r="AF346" s="55"/>
      <c r="AG346" s="55"/>
      <c r="AH346" s="55"/>
      <c r="AI346" s="55"/>
      <c r="AJ346" s="55"/>
      <c r="AK346" s="55"/>
      <c r="AL346" s="55"/>
      <c r="AM346" s="55" t="str">
        <f>IFERROR(__xludf.DUMMYFUNCTION("""COMPUTED_VALUE"""),"Q9jTBBXftkjqJGG59Xd1Pc8nCbwHwQMLAzmovmpDC0cnONanE09A4QkAv4wPzLsg9Mk")</f>
        <v>Q9jTBBXftkjqJGG59Xd1Pc8nCbwHwQMLAzmovmpDC0cnONanE09A4QkAv4wPzLsg9Mk</v>
      </c>
      <c r="AN346" s="55"/>
      <c r="AO346" s="55"/>
      <c r="AP346" s="55"/>
      <c r="AQ346" s="55"/>
      <c r="AR346" s="55"/>
      <c r="AS346" s="55"/>
      <c r="AT346" s="55"/>
      <c r="AU346" s="55"/>
      <c r="AV346" s="55"/>
      <c r="AW346" s="35"/>
      <c r="AX346" s="35"/>
      <c r="AY346" s="35"/>
      <c r="AZ346" s="35"/>
      <c r="BA346" s="35"/>
      <c r="BB346" s="35"/>
      <c r="BC346" s="35"/>
      <c r="BD346" s="35"/>
      <c r="BE346" s="35"/>
      <c r="BF346" s="35"/>
      <c r="BG346" s="35"/>
    </row>
    <row r="347" ht="15.75" customHeight="1">
      <c r="A347" s="55" t="str">
        <f>IFERROR(__xludf.DUMMYFUNCTION("""COMPUTED_VALUE"""),"Instagram")</f>
        <v>Instagram</v>
      </c>
      <c r="B347" s="56">
        <f>IFERROR(__xludf.DUMMYFUNCTION("""COMPUTED_VALUE"""),46206.0)</f>
        <v>46206</v>
      </c>
      <c r="C347" s="55" t="str">
        <f>IFERROR(__xludf.DUMMYFUNCTION("""COMPUTED_VALUE"""),"July")</f>
        <v>July</v>
      </c>
      <c r="D347" s="58" t="str">
        <f>IFERROR(__xludf.DUMMYFUNCTION("""COMPUTED_VALUE"""),"https://www.instagram.com/reel/DaTosb_xdoI/")</f>
        <v>https://www.instagram.com/reel/DaTosb_xdoI/</v>
      </c>
      <c r="E347" s="55" t="str">
        <f>IFERROR(__xludf.DUMMYFUNCTION("""COMPUTED_VALUE"""),"@na")</f>
        <v>@na</v>
      </c>
      <c r="F347" s="55"/>
      <c r="G347" s="55" t="str">
        <f>IFERROR(__xludf.DUMMYFUNCTION("""COMPUTED_VALUE"""),"Cortisol")</f>
        <v>Cortisol</v>
      </c>
      <c r="H347" s="55"/>
      <c r="I347" s="55">
        <f>IFERROR(__xludf.DUMMYFUNCTION("""COMPUTED_VALUE"""),23.0)</f>
        <v>23</v>
      </c>
      <c r="J347" s="55" t="str">
        <f>IFERROR(__xludf.DUMMYFUNCTION("""COMPUTED_VALUE"""),"Yes – Recommend")</f>
        <v>Yes – Recommend</v>
      </c>
      <c r="K347" s="55" t="str">
        <f>IFERROR(__xludf.DUMMYFUNCTION("""COMPUTED_VALUE"""),"Review before running ads")</f>
        <v>Review before running ads</v>
      </c>
      <c r="L347" s="55" t="str">
        <f>IFERROR(__xludf.DUMMYFUNCTION("""COMPUTED_VALUE"""),"Score 24.0 ≥ 20 threshold")</f>
        <v>Score 24.0 ≥ 20 threshold</v>
      </c>
      <c r="M347" s="55" t="str">
        <f>IFERROR(__xludf.DUMMYFUNCTION("""COMPUTED_VALUE"""),"No Ad Data")</f>
        <v>No Ad Data</v>
      </c>
      <c r="N347" s="55"/>
      <c r="O347" s="55"/>
      <c r="P347" s="55">
        <f>IFERROR(__xludf.DUMMYFUNCTION("""COMPUTED_VALUE"""),373.0)</f>
        <v>373</v>
      </c>
      <c r="Q347" s="55">
        <f>IFERROR(__xludf.DUMMYFUNCTION("""COMPUTED_VALUE"""),6.0)</f>
        <v>6</v>
      </c>
      <c r="R347" s="55"/>
      <c r="S347" s="55"/>
      <c r="T347" s="55"/>
      <c r="U347" s="55"/>
      <c r="V347" s="55"/>
      <c r="W347" s="55">
        <f>IFERROR(__xludf.DUMMYFUNCTION("""COMPUTED_VALUE"""),117.58)</f>
        <v>117.58</v>
      </c>
      <c r="X347" s="55"/>
      <c r="Y347" s="55"/>
      <c r="Z347" s="55"/>
      <c r="AA347" s="55"/>
      <c r="AB347" s="55"/>
      <c r="AC347" s="55"/>
      <c r="AD347" s="55"/>
      <c r="AE347" s="55"/>
      <c r="AF347" s="55"/>
      <c r="AG347" s="55"/>
      <c r="AH347" s="55"/>
      <c r="AI347" s="55"/>
      <c r="AJ347" s="55"/>
      <c r="AK347" s="55"/>
      <c r="AL347" s="55"/>
      <c r="AM347" s="55" t="str">
        <f>IFERROR(__xludf.DUMMYFUNCTION("""COMPUTED_VALUE"""),"Q9jTBBUSfCTvZTRZx5s4WSuaC6DKPIzQBpN1VDwi9O4f9NX6HCQ6yLC_fbmmiv04Abw")</f>
        <v>Q9jTBBUSfCTvZTRZx5s4WSuaC6DKPIzQBpN1VDwi9O4f9NX6HCQ6yLC_fbmmiv04Abw</v>
      </c>
      <c r="AN347" s="55"/>
      <c r="AO347" s="55"/>
      <c r="AP347" s="55"/>
      <c r="AQ347" s="55"/>
      <c r="AR347" s="55"/>
      <c r="AS347" s="55"/>
      <c r="AT347" s="55"/>
      <c r="AU347" s="55"/>
      <c r="AV347" s="55"/>
      <c r="AW347" s="35"/>
      <c r="AX347" s="35"/>
      <c r="AY347" s="35"/>
      <c r="AZ347" s="35"/>
      <c r="BA347" s="35"/>
      <c r="BB347" s="35"/>
      <c r="BC347" s="35"/>
      <c r="BD347" s="35"/>
      <c r="BE347" s="35"/>
      <c r="BF347" s="35"/>
      <c r="BG347" s="35"/>
    </row>
    <row r="348" ht="15.75" customHeight="1">
      <c r="A348" s="55" t="str">
        <f>IFERROR(__xludf.DUMMYFUNCTION("""COMPUTED_VALUE"""),"Instagram")</f>
        <v>Instagram</v>
      </c>
      <c r="B348" s="56">
        <f>IFERROR(__xludf.DUMMYFUNCTION("""COMPUTED_VALUE"""),46207.0)</f>
        <v>46207</v>
      </c>
      <c r="C348" s="55" t="str">
        <f>IFERROR(__xludf.DUMMYFUNCTION("""COMPUTED_VALUE"""),"July")</f>
        <v>July</v>
      </c>
      <c r="D348" s="58" t="str">
        <f>IFERROR(__xludf.DUMMYFUNCTION("""COMPUTED_VALUE"""),"https://www.instagram.com/reel/DaV2xZEx5zz/")</f>
        <v>https://www.instagram.com/reel/DaV2xZEx5zz/</v>
      </c>
      <c r="E348" s="55" t="str">
        <f>IFERROR(__xludf.DUMMYFUNCTION("""COMPUTED_VALUE"""),"@na")</f>
        <v>@na</v>
      </c>
      <c r="F348" s="55"/>
      <c r="G348" s="55" t="str">
        <f>IFERROR(__xludf.DUMMYFUNCTION("""COMPUTED_VALUE"""),"Countering Mushroom Coffee Trend")</f>
        <v>Countering Mushroom Coffee Trend</v>
      </c>
      <c r="H348" s="55"/>
      <c r="I348" s="55">
        <f>IFERROR(__xludf.DUMMYFUNCTION("""COMPUTED_VALUE"""),21.9)</f>
        <v>21.9</v>
      </c>
      <c r="J348" s="55" t="str">
        <f>IFERROR(__xludf.DUMMYFUNCTION("""COMPUTED_VALUE"""),"Yes – Recommend")</f>
        <v>Yes – Recommend</v>
      </c>
      <c r="K348" s="55" t="str">
        <f>IFERROR(__xludf.DUMMYFUNCTION("""COMPUTED_VALUE"""),"Review before running ads")</f>
        <v>Review before running ads</v>
      </c>
      <c r="L348" s="55" t="str">
        <f>IFERROR(__xludf.DUMMYFUNCTION("""COMPUTED_VALUE"""),"Score 22.7 ≥ 20 threshold")</f>
        <v>Score 22.7 ≥ 20 threshold</v>
      </c>
      <c r="M348" s="55" t="str">
        <f>IFERROR(__xludf.DUMMYFUNCTION("""COMPUTED_VALUE"""),"No Ad Data")</f>
        <v>No Ad Data</v>
      </c>
      <c r="N348" s="55"/>
      <c r="O348" s="55"/>
      <c r="P348" s="55">
        <f>IFERROR(__xludf.DUMMYFUNCTION("""COMPUTED_VALUE"""),432.0)</f>
        <v>432</v>
      </c>
      <c r="Q348" s="55">
        <f>IFERROR(__xludf.DUMMYFUNCTION("""COMPUTED_VALUE"""),4.0)</f>
        <v>4</v>
      </c>
      <c r="R348" s="55"/>
      <c r="S348" s="55"/>
      <c r="T348" s="55"/>
      <c r="U348" s="55"/>
      <c r="V348" s="55"/>
      <c r="W348" s="55">
        <f>IFERROR(__xludf.DUMMYFUNCTION("""COMPUTED_VALUE"""),117.58)</f>
        <v>117.58</v>
      </c>
      <c r="X348" s="55"/>
      <c r="Y348" s="55"/>
      <c r="Z348" s="55"/>
      <c r="AA348" s="55"/>
      <c r="AB348" s="55"/>
      <c r="AC348" s="55"/>
      <c r="AD348" s="55"/>
      <c r="AE348" s="55"/>
      <c r="AF348" s="55"/>
      <c r="AG348" s="55"/>
      <c r="AH348" s="55"/>
      <c r="AI348" s="55"/>
      <c r="AJ348" s="55"/>
      <c r="AK348" s="55"/>
      <c r="AL348" s="55"/>
      <c r="AM348" s="55" t="str">
        <f>IFERROR(__xludf.DUMMYFUNCTION("""COMPUTED_VALUE"""),"Q9jTBBUXeQUicgfAHyR1iRKcy5VuKMFPSC4Z9N3gPxdA2LtRyjyfq79sfN7OFWvO8TA")</f>
        <v>Q9jTBBUXeQUicgfAHyR1iRKcy5VuKMFPSC4Z9N3gPxdA2LtRyjyfq79sfN7OFWvO8TA</v>
      </c>
      <c r="AN348" s="55"/>
      <c r="AO348" s="55"/>
      <c r="AP348" s="55"/>
      <c r="AQ348" s="55"/>
      <c r="AR348" s="55"/>
      <c r="AS348" s="55"/>
      <c r="AT348" s="55"/>
      <c r="AU348" s="55"/>
      <c r="AV348" s="55"/>
      <c r="AW348" s="35"/>
      <c r="AX348" s="35"/>
      <c r="AY348" s="35"/>
      <c r="AZ348" s="35"/>
      <c r="BA348" s="35"/>
      <c r="BB348" s="35"/>
      <c r="BC348" s="35"/>
      <c r="BD348" s="35"/>
      <c r="BE348" s="35"/>
      <c r="BF348" s="35"/>
      <c r="BG348" s="35"/>
    </row>
    <row r="349" ht="15.75" customHeight="1">
      <c r="A349" s="55" t="str">
        <f>IFERROR(__xludf.DUMMYFUNCTION("""COMPUTED_VALUE"""),"Instagram")</f>
        <v>Instagram</v>
      </c>
      <c r="B349" s="56">
        <f>IFERROR(__xludf.DUMMYFUNCTION("""COMPUTED_VALUE"""),46212.0)</f>
        <v>46212</v>
      </c>
      <c r="C349" s="55" t="str">
        <f>IFERROR(__xludf.DUMMYFUNCTION("""COMPUTED_VALUE"""),"July")</f>
        <v>July</v>
      </c>
      <c r="D349" s="58" t="str">
        <f>IFERROR(__xludf.DUMMYFUNCTION("""COMPUTED_VALUE"""),"https://www.instagram.com/reels/Dak3NwIxEbK/")</f>
        <v>https://www.instagram.com/reels/Dak3NwIxEbK/</v>
      </c>
      <c r="E349" s="55" t="str">
        <f>IFERROR(__xludf.DUMMYFUNCTION("""COMPUTED_VALUE"""),"@na")</f>
        <v>@na</v>
      </c>
      <c r="F349" s="55"/>
      <c r="G349" s="55" t="str">
        <f>IFERROR(__xludf.DUMMYFUNCTION("""COMPUTED_VALUE"""),"Gummies vs Coffee")</f>
        <v>Gummies vs Coffee</v>
      </c>
      <c r="H349" s="55"/>
      <c r="I349" s="55">
        <f>IFERROR(__xludf.DUMMYFUNCTION("""COMPUTED_VALUE"""),21.9)</f>
        <v>21.9</v>
      </c>
      <c r="J349" s="55" t="str">
        <f>IFERROR(__xludf.DUMMYFUNCTION("""COMPUTED_VALUE"""),"Yes – Recommend")</f>
        <v>Yes – Recommend</v>
      </c>
      <c r="K349" s="55" t="str">
        <f>IFERROR(__xludf.DUMMYFUNCTION("""COMPUTED_VALUE"""),"Review before running ads")</f>
        <v>Review before running ads</v>
      </c>
      <c r="L349" s="55" t="str">
        <f>IFERROR(__xludf.DUMMYFUNCTION("""COMPUTED_VALUE"""),"Score 22.5 ≥ 20 threshold")</f>
        <v>Score 22.5 ≥ 20 threshold</v>
      </c>
      <c r="M349" s="55" t="str">
        <f>IFERROR(__xludf.DUMMYFUNCTION("""COMPUTED_VALUE"""),"No Ad Data")</f>
        <v>No Ad Data</v>
      </c>
      <c r="N349" s="55"/>
      <c r="O349" s="55"/>
      <c r="P349" s="55">
        <f>IFERROR(__xludf.DUMMYFUNCTION("""COMPUTED_VALUE"""),367.0)</f>
        <v>367</v>
      </c>
      <c r="Q349" s="55">
        <f>IFERROR(__xludf.DUMMYFUNCTION("""COMPUTED_VALUE"""),2.0)</f>
        <v>2</v>
      </c>
      <c r="R349" s="55">
        <f>IFERROR(__xludf.DUMMYFUNCTION("""COMPUTED_VALUE"""),2.0)</f>
        <v>2</v>
      </c>
      <c r="S349" s="55"/>
      <c r="T349" s="55"/>
      <c r="U349" s="55"/>
      <c r="V349" s="55"/>
      <c r="W349" s="55">
        <f>IFERROR(__xludf.DUMMYFUNCTION("""COMPUTED_VALUE"""),67.58)</f>
        <v>67.58</v>
      </c>
      <c r="X349" s="55"/>
      <c r="Y349" s="55"/>
      <c r="Z349" s="55"/>
      <c r="AA349" s="55"/>
      <c r="AB349" s="55"/>
      <c r="AC349" s="55"/>
      <c r="AD349" s="55"/>
      <c r="AE349" s="55"/>
      <c r="AF349" s="55"/>
      <c r="AG349" s="55"/>
      <c r="AH349" s="55"/>
      <c r="AI349" s="55"/>
      <c r="AJ349" s="55"/>
      <c r="AK349" s="55"/>
      <c r="AL349" s="55"/>
      <c r="AM349" s="55" t="str">
        <f>IFERROR(__xludf.DUMMYFUNCTION("""COMPUTED_VALUE"""),"Q9jTBBYNq0c1rZSjxzshGPnJXm4ynFjw5Y9_XgbiWayfT8wK50KmdkqSrZnIZoPkMPo")</f>
        <v>Q9jTBBYNq0c1rZSjxzshGPnJXm4ynFjw5Y9_XgbiWayfT8wK50KmdkqSrZnIZoPkMPo</v>
      </c>
      <c r="AN349" s="55"/>
      <c r="AO349" s="55"/>
      <c r="AP349" s="55"/>
      <c r="AQ349" s="55"/>
      <c r="AR349" s="55"/>
      <c r="AS349" s="55"/>
      <c r="AT349" s="55"/>
      <c r="AU349" s="55"/>
      <c r="AV349" s="55"/>
      <c r="AW349" s="35"/>
      <c r="AX349" s="35"/>
      <c r="AY349" s="35"/>
      <c r="AZ349" s="35"/>
      <c r="BA349" s="35"/>
      <c r="BB349" s="35"/>
      <c r="BC349" s="35"/>
      <c r="BD349" s="35"/>
      <c r="BE349" s="35"/>
      <c r="BF349" s="35"/>
      <c r="BG349" s="35"/>
    </row>
    <row r="350" ht="15.75" customHeight="1">
      <c r="A350" s="55" t="str">
        <f>IFERROR(__xludf.DUMMYFUNCTION("""COMPUTED_VALUE"""),"Instagram")</f>
        <v>Instagram</v>
      </c>
      <c r="B350" s="56">
        <f>IFERROR(__xludf.DUMMYFUNCTION("""COMPUTED_VALUE"""),46203.0)</f>
        <v>46203</v>
      </c>
      <c r="C350" s="55" t="str">
        <f>IFERROR(__xludf.DUMMYFUNCTION("""COMPUTED_VALUE"""),"June")</f>
        <v>June</v>
      </c>
      <c r="D350" s="58" t="str">
        <f>IFERROR(__xludf.DUMMYFUNCTION("""COMPUTED_VALUE"""),"https://www.instagram.com/reels/DaNXfRrxLPK/")</f>
        <v>https://www.instagram.com/reels/DaNXfRrxLPK/</v>
      </c>
      <c r="E350" s="55" t="str">
        <f>IFERROR(__xludf.DUMMYFUNCTION("""COMPUTED_VALUE"""),"@na")</f>
        <v>@na</v>
      </c>
      <c r="F350" s="55"/>
      <c r="G350" s="55" t="str">
        <f>IFERROR(__xludf.DUMMYFUNCTION("""COMPUTED_VALUE"""),"Target Shelf Showdown")</f>
        <v>Target Shelf Showdown</v>
      </c>
      <c r="H350" s="55"/>
      <c r="I350" s="55">
        <f>IFERROR(__xludf.DUMMYFUNCTION("""COMPUTED_VALUE"""),20.9)</f>
        <v>20.9</v>
      </c>
      <c r="J350" s="55" t="str">
        <f>IFERROR(__xludf.DUMMYFUNCTION("""COMPUTED_VALUE"""),"Yes – Recommend")</f>
        <v>Yes – Recommend</v>
      </c>
      <c r="K350" s="55" t="str">
        <f>IFERROR(__xludf.DUMMYFUNCTION("""COMPUTED_VALUE"""),"Review before running ads")</f>
        <v>Review before running ads</v>
      </c>
      <c r="L350" s="55" t="str">
        <f>IFERROR(__xludf.DUMMYFUNCTION("""COMPUTED_VALUE"""),"Score 21.6 ≥ 20 threshold")</f>
        <v>Score 21.6 ≥ 20 threshold</v>
      </c>
      <c r="M350" s="55" t="str">
        <f>IFERROR(__xludf.DUMMYFUNCTION("""COMPUTED_VALUE"""),"No Ad Data")</f>
        <v>No Ad Data</v>
      </c>
      <c r="N350" s="55"/>
      <c r="O350" s="55"/>
      <c r="P350" s="55">
        <f>IFERROR(__xludf.DUMMYFUNCTION("""COMPUTED_VALUE"""),435.0)</f>
        <v>435</v>
      </c>
      <c r="Q350" s="55">
        <f>IFERROR(__xludf.DUMMYFUNCTION("""COMPUTED_VALUE"""),3.0)</f>
        <v>3</v>
      </c>
      <c r="R350" s="55"/>
      <c r="S350" s="55"/>
      <c r="T350" s="55"/>
      <c r="U350" s="55"/>
      <c r="V350" s="55"/>
      <c r="W350" s="55">
        <f>IFERROR(__xludf.DUMMYFUNCTION("""COMPUTED_VALUE"""),72.99)</f>
        <v>72.99</v>
      </c>
      <c r="X350" s="55"/>
      <c r="Y350" s="55"/>
      <c r="Z350" s="55"/>
      <c r="AA350" s="55"/>
      <c r="AB350" s="55"/>
      <c r="AC350" s="55"/>
      <c r="AD350" s="55"/>
      <c r="AE350" s="55"/>
      <c r="AF350" s="55"/>
      <c r="AG350" s="55"/>
      <c r="AH350" s="55"/>
      <c r="AI350" s="55"/>
      <c r="AJ350" s="55"/>
      <c r="AK350" s="55"/>
      <c r="AL350" s="55"/>
      <c r="AM350" s="55" t="str">
        <f>IFERROR(__xludf.DUMMYFUNCTION("""COMPUTED_VALUE"""),"Q9jTBBUma4LsBX86lW8afp4wCM8Um48hnwN9fGYK8zY0PyAYmDYH7TVC4PUy3JLPjgk")</f>
        <v>Q9jTBBUma4LsBX86lW8afp4wCM8Um48hnwN9fGYK8zY0PyAYmDYH7TVC4PUy3JLPjgk</v>
      </c>
      <c r="AN350" s="55"/>
      <c r="AO350" s="55"/>
      <c r="AP350" s="55"/>
      <c r="AQ350" s="55"/>
      <c r="AR350" s="55"/>
      <c r="AS350" s="55"/>
      <c r="AT350" s="55"/>
      <c r="AU350" s="55"/>
      <c r="AV350" s="55"/>
      <c r="AW350" s="35"/>
      <c r="AX350" s="35"/>
      <c r="AY350" s="35"/>
      <c r="AZ350" s="35"/>
      <c r="BA350" s="35"/>
      <c r="BB350" s="35"/>
      <c r="BC350" s="35"/>
      <c r="BD350" s="35"/>
      <c r="BE350" s="35"/>
      <c r="BF350" s="35"/>
      <c r="BG350" s="35"/>
    </row>
    <row r="351" ht="15.75" customHeight="1">
      <c r="A351" s="55" t="str">
        <f>IFERROR(__xludf.DUMMYFUNCTION("""COMPUTED_VALUE"""),"Instagram")</f>
        <v>Instagram</v>
      </c>
      <c r="B351" s="56">
        <f>IFERROR(__xludf.DUMMYFUNCTION("""COMPUTED_VALUE"""),46208.0)</f>
        <v>46208</v>
      </c>
      <c r="C351" s="55" t="str">
        <f>IFERROR(__xludf.DUMMYFUNCTION("""COMPUTED_VALUE"""),"July")</f>
        <v>July</v>
      </c>
      <c r="D351" s="58" t="str">
        <f>IFERROR(__xludf.DUMMYFUNCTION("""COMPUTED_VALUE"""),"https://www.instagram.com/reel/DaZNXi-uqSi/")</f>
        <v>https://www.instagram.com/reel/DaZNXi-uqSi/</v>
      </c>
      <c r="E351" s="55" t="str">
        <f>IFERROR(__xludf.DUMMYFUNCTION("""COMPUTED_VALUE"""),"@na")</f>
        <v>@na</v>
      </c>
      <c r="F351" s="55"/>
      <c r="G351" s="55" t="str">
        <f>IFERROR(__xludf.DUMMYFUNCTION("""COMPUTED_VALUE"""),"Countering Mushroom Coffee Trend")</f>
        <v>Countering Mushroom Coffee Trend</v>
      </c>
      <c r="H351" s="55"/>
      <c r="I351" s="55">
        <f>IFERROR(__xludf.DUMMYFUNCTION("""COMPUTED_VALUE"""),20.8)</f>
        <v>20.8</v>
      </c>
      <c r="J351" s="55" t="str">
        <f>IFERROR(__xludf.DUMMYFUNCTION("""COMPUTED_VALUE"""),"Yes – Recommend")</f>
        <v>Yes – Recommend</v>
      </c>
      <c r="K351" s="55" t="str">
        <f>IFERROR(__xludf.DUMMYFUNCTION("""COMPUTED_VALUE"""),"Review before running ads")</f>
        <v>Review before running ads</v>
      </c>
      <c r="L351" s="55" t="str">
        <f>IFERROR(__xludf.DUMMYFUNCTION("""COMPUTED_VALUE"""),"Score 21.8 ≥ 20 threshold")</f>
        <v>Score 21.8 ≥ 20 threshold</v>
      </c>
      <c r="M351" s="55" t="str">
        <f>IFERROR(__xludf.DUMMYFUNCTION("""COMPUTED_VALUE"""),"No Ad Data")</f>
        <v>No Ad Data</v>
      </c>
      <c r="N351" s="55"/>
      <c r="O351" s="55"/>
      <c r="P351" s="55">
        <f>IFERROR(__xludf.DUMMYFUNCTION("""COMPUTED_VALUE"""),205.0)</f>
        <v>205</v>
      </c>
      <c r="Q351" s="55">
        <f>IFERROR(__xludf.DUMMYFUNCTION("""COMPUTED_VALUE"""),5.0)</f>
        <v>5</v>
      </c>
      <c r="R351" s="55"/>
      <c r="S351" s="55"/>
      <c r="T351" s="55"/>
      <c r="U351" s="55"/>
      <c r="V351" s="55"/>
      <c r="W351" s="55">
        <f>IFERROR(__xludf.DUMMYFUNCTION("""COMPUTED_VALUE"""),117.58)</f>
        <v>117.58</v>
      </c>
      <c r="X351" s="55"/>
      <c r="Y351" s="55"/>
      <c r="Z351" s="55"/>
      <c r="AA351" s="55"/>
      <c r="AB351" s="55"/>
      <c r="AC351" s="55"/>
      <c r="AD351" s="55"/>
      <c r="AE351" s="55"/>
      <c r="AF351" s="55"/>
      <c r="AG351" s="55"/>
      <c r="AH351" s="55"/>
      <c r="AI351" s="55"/>
      <c r="AJ351" s="55"/>
      <c r="AK351" s="55"/>
      <c r="AL351" s="55"/>
      <c r="AM351" s="55"/>
      <c r="AN351" s="55"/>
      <c r="AO351" s="55"/>
      <c r="AP351" s="55"/>
      <c r="AQ351" s="55"/>
      <c r="AR351" s="55"/>
      <c r="AS351" s="55"/>
      <c r="AT351" s="55"/>
      <c r="AU351" s="55"/>
      <c r="AV351" s="55"/>
      <c r="AW351" s="35"/>
      <c r="AX351" s="35"/>
      <c r="AY351" s="35"/>
      <c r="AZ351" s="35"/>
      <c r="BA351" s="35"/>
      <c r="BB351" s="35"/>
      <c r="BC351" s="35"/>
      <c r="BD351" s="35"/>
      <c r="BE351" s="35"/>
      <c r="BF351" s="35"/>
      <c r="BG351" s="35"/>
    </row>
    <row r="352" ht="15.75" customHeight="1">
      <c r="A352" s="55" t="str">
        <f>IFERROR(__xludf.DUMMYFUNCTION("""COMPUTED_VALUE"""),"Instagram")</f>
        <v>Instagram</v>
      </c>
      <c r="B352" s="56">
        <f>IFERROR(__xludf.DUMMYFUNCTION("""COMPUTED_VALUE"""),46212.0)</f>
        <v>46212</v>
      </c>
      <c r="C352" s="55" t="str">
        <f>IFERROR(__xludf.DUMMYFUNCTION("""COMPUTED_VALUE"""),"July")</f>
        <v>July</v>
      </c>
      <c r="D352" s="58" t="str">
        <f>IFERROR(__xludf.DUMMYFUNCTION("""COMPUTED_VALUE"""),"https://www.instagram.com/reels/Dakz4KSu9l5/")</f>
        <v>https://www.instagram.com/reels/Dakz4KSu9l5/</v>
      </c>
      <c r="E352" s="55" t="str">
        <f>IFERROR(__xludf.DUMMYFUNCTION("""COMPUTED_VALUE"""),"@na")</f>
        <v>@na</v>
      </c>
      <c r="F352" s="55"/>
      <c r="G352" s="55" t="str">
        <f>IFERROR(__xludf.DUMMYFUNCTION("""COMPUTED_VALUE"""),"Gummies vs Coffee")</f>
        <v>Gummies vs Coffee</v>
      </c>
      <c r="H352" s="55"/>
      <c r="I352" s="55">
        <f>IFERROR(__xludf.DUMMYFUNCTION("""COMPUTED_VALUE"""),20.8)</f>
        <v>20.8</v>
      </c>
      <c r="J352" s="55" t="str">
        <f>IFERROR(__xludf.DUMMYFUNCTION("""COMPUTED_VALUE"""),"Yes – Recommend")</f>
        <v>Yes – Recommend</v>
      </c>
      <c r="K352" s="55" t="str">
        <f>IFERROR(__xludf.DUMMYFUNCTION("""COMPUTED_VALUE"""),"Review before running ads")</f>
        <v>Review before running ads</v>
      </c>
      <c r="L352" s="55" t="str">
        <f>IFERROR(__xludf.DUMMYFUNCTION("""COMPUTED_VALUE"""),"Score 21.5 ≥ 20 threshold")</f>
        <v>Score 21.5 ≥ 20 threshold</v>
      </c>
      <c r="M352" s="55" t="str">
        <f>IFERROR(__xludf.DUMMYFUNCTION("""COMPUTED_VALUE"""),"No Ad Data")</f>
        <v>No Ad Data</v>
      </c>
      <c r="N352" s="55"/>
      <c r="O352" s="55"/>
      <c r="P352" s="55">
        <f>IFERROR(__xludf.DUMMYFUNCTION("""COMPUTED_VALUE"""),210.0)</f>
        <v>210</v>
      </c>
      <c r="Q352" s="55">
        <f>IFERROR(__xludf.DUMMYFUNCTION("""COMPUTED_VALUE"""),3.0)</f>
        <v>3</v>
      </c>
      <c r="R352" s="55">
        <f>IFERROR(__xludf.DUMMYFUNCTION("""COMPUTED_VALUE"""),1.0)</f>
        <v>1</v>
      </c>
      <c r="S352" s="55"/>
      <c r="T352" s="55"/>
      <c r="U352" s="55"/>
      <c r="V352" s="55"/>
      <c r="W352" s="55">
        <f>IFERROR(__xludf.DUMMYFUNCTION("""COMPUTED_VALUE"""),67.58)</f>
        <v>67.58</v>
      </c>
      <c r="X352" s="55"/>
      <c r="Y352" s="55"/>
      <c r="Z352" s="55"/>
      <c r="AA352" s="55"/>
      <c r="AB352" s="55"/>
      <c r="AC352" s="55"/>
      <c r="AD352" s="55"/>
      <c r="AE352" s="55"/>
      <c r="AF352" s="55"/>
      <c r="AG352" s="55"/>
      <c r="AH352" s="55"/>
      <c r="AI352" s="55"/>
      <c r="AJ352" s="55"/>
      <c r="AK352" s="55"/>
      <c r="AL352" s="55"/>
      <c r="AM352" s="55" t="str">
        <f>IFERROR(__xludf.DUMMYFUNCTION("""COMPUTED_VALUE"""),"Q9jTBBZ0xrS58u8WrrcW_5maoUG4ole-DLv9Hul8T633fanvL8ly_ofW-auSp8tadg")</f>
        <v>Q9jTBBZ0xrS58u8WrrcW_5maoUG4ole-DLv9Hul8T633fanvL8ly_ofW-auSp8tadg</v>
      </c>
      <c r="AN352" s="55"/>
      <c r="AO352" s="55"/>
      <c r="AP352" s="55"/>
      <c r="AQ352" s="55"/>
      <c r="AR352" s="55"/>
      <c r="AS352" s="55"/>
      <c r="AT352" s="55"/>
      <c r="AU352" s="55"/>
      <c r="AV352" s="55"/>
      <c r="AW352" s="35"/>
      <c r="AX352" s="35"/>
      <c r="AY352" s="35"/>
      <c r="AZ352" s="35"/>
      <c r="BA352" s="35"/>
      <c r="BB352" s="35"/>
      <c r="BC352" s="35"/>
      <c r="BD352" s="35"/>
      <c r="BE352" s="35"/>
      <c r="BF352" s="35"/>
      <c r="BG352" s="35"/>
    </row>
    <row r="353" ht="15.75" customHeight="1">
      <c r="A353" s="55" t="str">
        <f>IFERROR(__xludf.DUMMYFUNCTION("""COMPUTED_VALUE"""),"Instagram")</f>
        <v>Instagram</v>
      </c>
      <c r="B353" s="56">
        <f>IFERROR(__xludf.DUMMYFUNCTION("""COMPUTED_VALUE"""),46212.0)</f>
        <v>46212</v>
      </c>
      <c r="C353" s="55" t="str">
        <f>IFERROR(__xludf.DUMMYFUNCTION("""COMPUTED_VALUE"""),"July")</f>
        <v>July</v>
      </c>
      <c r="D353" s="58" t="str">
        <f>IFERROR(__xludf.DUMMYFUNCTION("""COMPUTED_VALUE"""),"https://www.instagram.com/reels/Daktttlv56y/")</f>
        <v>https://www.instagram.com/reels/Daktttlv56y/</v>
      </c>
      <c r="E353" s="55" t="str">
        <f>IFERROR(__xludf.DUMMYFUNCTION("""COMPUTED_VALUE"""),"@na")</f>
        <v>@na</v>
      </c>
      <c r="F353" s="55"/>
      <c r="G353" s="55" t="str">
        <f>IFERROR(__xludf.DUMMYFUNCTION("""COMPUTED_VALUE"""),"Over 40/ High Performer")</f>
        <v>Over 40/ High Performer</v>
      </c>
      <c r="H353" s="55"/>
      <c r="I353" s="55">
        <f>IFERROR(__xludf.DUMMYFUNCTION("""COMPUTED_VALUE"""),20.3)</f>
        <v>20.3</v>
      </c>
      <c r="J353" s="55" t="str">
        <f>IFERROR(__xludf.DUMMYFUNCTION("""COMPUTED_VALUE"""),"Yes – Recommend")</f>
        <v>Yes – Recommend</v>
      </c>
      <c r="K353" s="55" t="str">
        <f>IFERROR(__xludf.DUMMYFUNCTION("""COMPUTED_VALUE"""),"Review before running ads")</f>
        <v>Review before running ads</v>
      </c>
      <c r="L353" s="55" t="str">
        <f>IFERROR(__xludf.DUMMYFUNCTION("""COMPUTED_VALUE"""),"Score 20.3 ≥ 20 threshold")</f>
        <v>Score 20.3 ≥ 20 threshold</v>
      </c>
      <c r="M353" s="55" t="str">
        <f>IFERROR(__xludf.DUMMYFUNCTION("""COMPUTED_VALUE"""),"No Ad Data")</f>
        <v>No Ad Data</v>
      </c>
      <c r="N353" s="55"/>
      <c r="O353" s="55"/>
      <c r="P353" s="55">
        <f>IFERROR(__xludf.DUMMYFUNCTION("""COMPUTED_VALUE"""),401.0)</f>
        <v>401</v>
      </c>
      <c r="Q353" s="55"/>
      <c r="R353" s="55">
        <f>IFERROR(__xludf.DUMMYFUNCTION("""COMPUTED_VALUE"""),9.0)</f>
        <v>9</v>
      </c>
      <c r="S353" s="55"/>
      <c r="T353" s="55"/>
      <c r="U353" s="55"/>
      <c r="V353" s="55"/>
      <c r="W353" s="55">
        <f>IFERROR(__xludf.DUMMYFUNCTION("""COMPUTED_VALUE"""),117.58)</f>
        <v>117.58</v>
      </c>
      <c r="X353" s="55"/>
      <c r="Y353" s="55"/>
      <c r="Z353" s="55"/>
      <c r="AA353" s="55"/>
      <c r="AB353" s="55"/>
      <c r="AC353" s="55"/>
      <c r="AD353" s="55"/>
      <c r="AE353" s="55"/>
      <c r="AF353" s="55"/>
      <c r="AG353" s="55"/>
      <c r="AH353" s="55"/>
      <c r="AI353" s="55"/>
      <c r="AJ353" s="55"/>
      <c r="AK353" s="55"/>
      <c r="AL353" s="55"/>
      <c r="AM353" s="55" t="str">
        <f>IFERROR(__xludf.DUMMYFUNCTION("""COMPUTED_VALUE"""),"Q9jTBBaKGKGcaDFUsb1eTRZkEuiXlH1gQpNk5tMq2xd3Q8JSHlD1cvwP8PeoMaVSFQ")</f>
        <v>Q9jTBBaKGKGcaDFUsb1eTRZkEuiXlH1gQpNk5tMq2xd3Q8JSHlD1cvwP8PeoMaVSFQ</v>
      </c>
      <c r="AN353" s="55"/>
      <c r="AO353" s="55"/>
      <c r="AP353" s="55"/>
      <c r="AQ353" s="55"/>
      <c r="AR353" s="55"/>
      <c r="AS353" s="55"/>
      <c r="AT353" s="55"/>
      <c r="AU353" s="55"/>
      <c r="AV353" s="55"/>
      <c r="AW353" s="35"/>
      <c r="AX353" s="35"/>
      <c r="AY353" s="35"/>
      <c r="AZ353" s="35"/>
      <c r="BA353" s="35"/>
      <c r="BB353" s="35"/>
      <c r="BC353" s="35"/>
      <c r="BD353" s="35"/>
      <c r="BE353" s="35"/>
      <c r="BF353" s="35"/>
      <c r="BG353" s="35"/>
    </row>
    <row r="354" ht="15.75" customHeight="1">
      <c r="A354" s="55" t="str">
        <f>IFERROR(__xludf.DUMMYFUNCTION("""COMPUTED_VALUE"""),"Tiktok")</f>
        <v>Tiktok</v>
      </c>
      <c r="B354" s="56">
        <f>IFERROR(__xludf.DUMMYFUNCTION("""COMPUTED_VALUE"""),46214.0)</f>
        <v>46214</v>
      </c>
      <c r="C354" s="55" t="str">
        <f>IFERROR(__xludf.DUMMYFUNCTION("""COMPUTED_VALUE"""),"July")</f>
        <v>July</v>
      </c>
      <c r="D354" s="58" t="str">
        <f>IFERROR(__xludf.DUMMYFUNCTION("""COMPUTED_VALUE"""),"https://www.tiktok.com/@eggwhiteman/video/7661152616205913358")</f>
        <v>https://www.tiktok.com/@eggwhiteman/video/7661152616205913358</v>
      </c>
      <c r="E354" s="55"/>
      <c r="F354" s="55"/>
      <c r="G354" s="55" t="str">
        <f>IFERROR(__xludf.DUMMYFUNCTION("""COMPUTED_VALUE"""),"Taste")</f>
        <v>Taste</v>
      </c>
      <c r="H354" s="55"/>
      <c r="I354" s="55">
        <f>IFERROR(__xludf.DUMMYFUNCTION("""COMPUTED_VALUE"""),54.7)</f>
        <v>54.7</v>
      </c>
      <c r="J354" s="55" t="str">
        <f>IFERROR(__xludf.DUMMYFUNCTION("""COMPUTED_VALUE"""),"Yes – Recommend")</f>
        <v>Yes – Recommend</v>
      </c>
      <c r="K354" s="55" t="str">
        <f>IFERROR(__xludf.DUMMYFUNCTION("""COMPUTED_VALUE"""),"Review before running ads")</f>
        <v>Review before running ads</v>
      </c>
      <c r="L354" s="55" t="str">
        <f>IFERROR(__xludf.DUMMYFUNCTION("""COMPUTED_VALUE"""),"Score 57.2 ≥ 30")</f>
        <v>Score 57.2 ≥ 30</v>
      </c>
      <c r="M354" s="55" t="str">
        <f>IFERROR(__xludf.DUMMYFUNCTION("""COMPUTED_VALUE"""),"No Ad Data")</f>
        <v>No Ad Data</v>
      </c>
      <c r="N354" s="55"/>
      <c r="O354" s="55"/>
      <c r="P354" s="55">
        <f>IFERROR(__xludf.DUMMYFUNCTION("""COMPUTED_VALUE"""),1200.0)</f>
        <v>1200</v>
      </c>
      <c r="Q354" s="55">
        <f>IFERROR(__xludf.DUMMYFUNCTION("""COMPUTED_VALUE"""),26.0)</f>
        <v>26</v>
      </c>
      <c r="R354" s="55">
        <f>IFERROR(__xludf.DUMMYFUNCTION("""COMPUTED_VALUE"""),1.0)</f>
        <v>1</v>
      </c>
      <c r="S354" s="55"/>
      <c r="T354" s="55">
        <f>IFERROR(__xludf.DUMMYFUNCTION("""COMPUTED_VALUE"""),18.0)</f>
        <v>18</v>
      </c>
      <c r="U354" s="55"/>
      <c r="V354" s="55"/>
      <c r="W354" s="55">
        <f>IFERROR(__xludf.DUMMYFUNCTION("""COMPUTED_VALUE"""),117.58)</f>
        <v>117.58</v>
      </c>
      <c r="X354" s="55"/>
      <c r="Y354" s="55"/>
      <c r="Z354" s="55"/>
      <c r="AA354" s="55">
        <f>IFERROR(__xludf.DUMMYFUNCTION("""COMPUTED_VALUE"""),0.0)</f>
        <v>0</v>
      </c>
      <c r="AB354" s="55"/>
      <c r="AC354" s="55"/>
      <c r="AD354" s="55"/>
      <c r="AE354" s="55"/>
      <c r="AF354" s="55"/>
      <c r="AG354" s="55"/>
      <c r="AH354" s="55"/>
      <c r="AI354" s="55"/>
      <c r="AJ354" s="55"/>
      <c r="AK354" s="55"/>
      <c r="AL354" s="55"/>
      <c r="AM354" s="55" t="str">
        <f>IFERROR(__xludf.DUMMYFUNCTION("""COMPUTED_VALUE"""),"#VmIqtKldqVmCEvKTEn1QhPWpDL1dzp4fpe/682FUrFFC7VF22xotWGBw0d2OYmw=")</f>
        <v>#VmIqtKldqVmCEvKTEn1QhPWpDL1dzp4fpe/682FUrFFC7VF22xotWGBw0d2OYmw=</v>
      </c>
      <c r="AN354" s="55"/>
      <c r="AO354" s="55"/>
      <c r="AP354" s="55"/>
      <c r="AQ354" s="55"/>
      <c r="AR354" s="55"/>
      <c r="AS354" s="55"/>
      <c r="AT354" s="55"/>
      <c r="AU354" s="55"/>
      <c r="AV354" s="55"/>
      <c r="AW354" s="35"/>
      <c r="AX354" s="35"/>
      <c r="AY354" s="35"/>
      <c r="AZ354" s="35"/>
      <c r="BA354" s="35"/>
      <c r="BB354" s="35"/>
      <c r="BC354" s="35"/>
      <c r="BD354" s="35"/>
      <c r="BE354" s="35"/>
      <c r="BF354" s="35"/>
      <c r="BG354" s="35"/>
    </row>
    <row r="355" ht="15.75" customHeight="1">
      <c r="A355" s="55" t="str">
        <f>IFERROR(__xludf.DUMMYFUNCTION("""COMPUTED_VALUE"""),"Tiktok")</f>
        <v>Tiktok</v>
      </c>
      <c r="B355" s="56">
        <f>IFERROR(__xludf.DUMMYFUNCTION("""COMPUTED_VALUE"""),46215.0)</f>
        <v>46215</v>
      </c>
      <c r="C355" s="55" t="str">
        <f>IFERROR(__xludf.DUMMYFUNCTION("""COMPUTED_VALUE"""),"July")</f>
        <v>July</v>
      </c>
      <c r="D355" s="58" t="str">
        <f>IFERROR(__xludf.DUMMYFUNCTION("""COMPUTED_VALUE"""),"https://www.tiktok.com/@eggwhiteman/video/7661375070203333902")</f>
        <v>https://www.tiktok.com/@eggwhiteman/video/7661375070203333902</v>
      </c>
      <c r="E355" s="55"/>
      <c r="F355" s="55"/>
      <c r="G355" s="55" t="str">
        <f>IFERROR(__xludf.DUMMYFUNCTION("""COMPUTED_VALUE"""),"Mushroom Trend")</f>
        <v>Mushroom Trend</v>
      </c>
      <c r="H355" s="55"/>
      <c r="I355" s="55">
        <f>IFERROR(__xludf.DUMMYFUNCTION("""COMPUTED_VALUE"""),54.4)</f>
        <v>54.4</v>
      </c>
      <c r="J355" s="55" t="str">
        <f>IFERROR(__xludf.DUMMYFUNCTION("""COMPUTED_VALUE"""),"Yes – Recommend")</f>
        <v>Yes – Recommend</v>
      </c>
      <c r="K355" s="55" t="str">
        <f>IFERROR(__xludf.DUMMYFUNCTION("""COMPUTED_VALUE"""),"Review before running ads")</f>
        <v>Review before running ads</v>
      </c>
      <c r="L355" s="55" t="str">
        <f>IFERROR(__xludf.DUMMYFUNCTION("""COMPUTED_VALUE"""),"Score 56.9 ≥ 30")</f>
        <v>Score 56.9 ≥ 30</v>
      </c>
      <c r="M355" s="55" t="str">
        <f>IFERROR(__xludf.DUMMYFUNCTION("""COMPUTED_VALUE"""),"No Ad Data")</f>
        <v>No Ad Data</v>
      </c>
      <c r="N355" s="55"/>
      <c r="O355" s="55"/>
      <c r="P355" s="55">
        <f>IFERROR(__xludf.DUMMYFUNCTION("""COMPUTED_VALUE"""),953.0)</f>
        <v>953</v>
      </c>
      <c r="Q355" s="55">
        <f>IFERROR(__xludf.DUMMYFUNCTION("""COMPUTED_VALUE"""),29.0)</f>
        <v>29</v>
      </c>
      <c r="R355" s="55">
        <f>IFERROR(__xludf.DUMMYFUNCTION("""COMPUTED_VALUE"""),2.0)</f>
        <v>2</v>
      </c>
      <c r="S355" s="55"/>
      <c r="T355" s="55">
        <f>IFERROR(__xludf.DUMMYFUNCTION("""COMPUTED_VALUE"""),17.2)</f>
        <v>17.2</v>
      </c>
      <c r="U355" s="55"/>
      <c r="V355" s="55"/>
      <c r="W355" s="55">
        <f>IFERROR(__xludf.DUMMYFUNCTION("""COMPUTED_VALUE"""),117.58)</f>
        <v>117.58</v>
      </c>
      <c r="X355" s="55"/>
      <c r="Y355" s="55"/>
      <c r="Z355" s="55"/>
      <c r="AA355" s="55">
        <f>IFERROR(__xludf.DUMMYFUNCTION("""COMPUTED_VALUE"""),0.0)</f>
        <v>0</v>
      </c>
      <c r="AB355" s="55"/>
      <c r="AC355" s="55"/>
      <c r="AD355" s="55"/>
      <c r="AE355" s="55"/>
      <c r="AF355" s="55"/>
      <c r="AG355" s="55"/>
      <c r="AH355" s="55"/>
      <c r="AI355" s="55"/>
      <c r="AJ355" s="55"/>
      <c r="AK355" s="55"/>
      <c r="AL355" s="55"/>
      <c r="AM355" s="55" t="str">
        <f>IFERROR(__xludf.DUMMYFUNCTION("""COMPUTED_VALUE"""),"#qh1WsFTL8TT0AP98RotVQEBneGro5lV1PMybm4rg3QcgcXBYDsfGguNRFxy7xDg=")</f>
        <v>#qh1WsFTL8TT0AP98RotVQEBneGro5lV1PMybm4rg3QcgcXBYDsfGguNRFxy7xDg=</v>
      </c>
      <c r="AN355" s="55"/>
      <c r="AO355" s="55"/>
      <c r="AP355" s="55"/>
      <c r="AQ355" s="55"/>
      <c r="AR355" s="55"/>
      <c r="AS355" s="55"/>
      <c r="AT355" s="55"/>
      <c r="AU355" s="55"/>
      <c r="AV355" s="55"/>
      <c r="AW355" s="35"/>
      <c r="AX355" s="35"/>
      <c r="AY355" s="35"/>
      <c r="AZ355" s="35"/>
      <c r="BA355" s="35"/>
      <c r="BB355" s="35"/>
      <c r="BC355" s="35"/>
      <c r="BD355" s="35"/>
      <c r="BE355" s="35"/>
      <c r="BF355" s="35"/>
      <c r="BG355" s="35"/>
    </row>
    <row r="356" ht="15.75" customHeight="1">
      <c r="A356" s="55" t="str">
        <f>IFERROR(__xludf.DUMMYFUNCTION("""COMPUTED_VALUE"""),"Instagram")</f>
        <v>Instagram</v>
      </c>
      <c r="B356" s="56">
        <f>IFERROR(__xludf.DUMMYFUNCTION("""COMPUTED_VALUE"""),46215.0)</f>
        <v>46215</v>
      </c>
      <c r="C356" s="55" t="str">
        <f>IFERROR(__xludf.DUMMYFUNCTION("""COMPUTED_VALUE"""),"July")</f>
        <v>July</v>
      </c>
      <c r="D356" s="58" t="str">
        <f>IFERROR(__xludf.DUMMYFUNCTION("""COMPUTED_VALUE"""),"https://www.instagram.com/reels/DanMsxtOSvk/")</f>
        <v>https://www.instagram.com/reels/DanMsxtOSvk/</v>
      </c>
      <c r="E356" s="55"/>
      <c r="F356" s="55"/>
      <c r="G356" s="55" t="str">
        <f>IFERROR(__xludf.DUMMYFUNCTION("""COMPUTED_VALUE"""),"Over 40/ High Performer")</f>
        <v>Over 40/ High Performer</v>
      </c>
      <c r="H356" s="55"/>
      <c r="I356" s="55">
        <f>IFERROR(__xludf.DUMMYFUNCTION("""COMPUTED_VALUE"""),51.2)</f>
        <v>51.2</v>
      </c>
      <c r="J356" s="55" t="str">
        <f>IFERROR(__xludf.DUMMYFUNCTION("""COMPUTED_VALUE"""),"Yes – Recommend")</f>
        <v>Yes – Recommend</v>
      </c>
      <c r="K356" s="55" t="str">
        <f>IFERROR(__xludf.DUMMYFUNCTION("""COMPUTED_VALUE"""),"Review before running ads")</f>
        <v>Review before running ads</v>
      </c>
      <c r="L356" s="55" t="str">
        <f>IFERROR(__xludf.DUMMYFUNCTION("""COMPUTED_VALUE"""),"Score 51.2 ≥ 20 threshold")</f>
        <v>Score 51.2 ≥ 20 threshold</v>
      </c>
      <c r="M356" s="55" t="str">
        <f>IFERROR(__xludf.DUMMYFUNCTION("""COMPUTED_VALUE"""),"No Ad Data")</f>
        <v>No Ad Data</v>
      </c>
      <c r="N356" s="55"/>
      <c r="O356" s="55"/>
      <c r="P356" s="55">
        <f>IFERROR(__xludf.DUMMYFUNCTION("""COMPUTED_VALUE"""),738.0)</f>
        <v>738</v>
      </c>
      <c r="Q356" s="55">
        <f>IFERROR(__xludf.DUMMYFUNCTION("""COMPUTED_VALUE"""),165.0)</f>
        <v>165</v>
      </c>
      <c r="R356" s="55"/>
      <c r="S356" s="55"/>
      <c r="T356" s="55"/>
      <c r="U356" s="55"/>
      <c r="V356" s="55"/>
      <c r="W356" s="55">
        <f>IFERROR(__xludf.DUMMYFUNCTION("""COMPUTED_VALUE"""),117.58)</f>
        <v>117.58</v>
      </c>
      <c r="X356" s="55"/>
      <c r="Y356" s="55"/>
      <c r="Z356" s="55"/>
      <c r="AA356" s="55">
        <f>IFERROR(__xludf.DUMMYFUNCTION("""COMPUTED_VALUE"""),0.0)</f>
        <v>0</v>
      </c>
      <c r="AB356" s="55"/>
      <c r="AC356" s="55"/>
      <c r="AD356" s="55"/>
      <c r="AE356" s="55"/>
      <c r="AF356" s="55"/>
      <c r="AG356" s="55"/>
      <c r="AH356" s="55"/>
      <c r="AI356" s="55"/>
      <c r="AJ356" s="55"/>
      <c r="AK356" s="55"/>
      <c r="AL356" s="55"/>
      <c r="AM356" s="55" t="str">
        <f>IFERROR(__xludf.DUMMYFUNCTION("""COMPUTED_VALUE"""),"Q9jTBBbvr-PuMGjAUjQTJ7FaktpX6wNN8Wkjvxu3dWssGhMfE-Q97yWwbBQ1AmGgqI4")</f>
        <v>Q9jTBBbvr-PuMGjAUjQTJ7FaktpX6wNN8Wkjvxu3dWssGhMfE-Q97yWwbBQ1AmGgqI4</v>
      </c>
      <c r="AN356" s="55"/>
      <c r="AO356" s="55"/>
      <c r="AP356" s="55"/>
      <c r="AQ356" s="55"/>
      <c r="AR356" s="55"/>
      <c r="AS356" s="55"/>
      <c r="AT356" s="55"/>
      <c r="AU356" s="55"/>
      <c r="AV356" s="55"/>
      <c r="AW356" s="35"/>
      <c r="AX356" s="35"/>
      <c r="AY356" s="35"/>
      <c r="AZ356" s="35"/>
      <c r="BA356" s="35"/>
      <c r="BB356" s="35"/>
      <c r="BC356" s="35"/>
      <c r="BD356" s="35"/>
      <c r="BE356" s="35"/>
      <c r="BF356" s="35"/>
      <c r="BG356" s="35"/>
    </row>
    <row r="357" ht="15.75" customHeight="1">
      <c r="A357" s="55" t="str">
        <f>IFERROR(__xludf.DUMMYFUNCTION("""COMPUTED_VALUE"""),"Tiktok")</f>
        <v>Tiktok</v>
      </c>
      <c r="B357" s="56">
        <f>IFERROR(__xludf.DUMMYFUNCTION("""COMPUTED_VALUE"""),46216.0)</f>
        <v>46216</v>
      </c>
      <c r="C357" s="55" t="str">
        <f>IFERROR(__xludf.DUMMYFUNCTION("""COMPUTED_VALUE"""),"July")</f>
        <v>July</v>
      </c>
      <c r="D357" s="58" t="str">
        <f>IFERROR(__xludf.DUMMYFUNCTION("""COMPUTED_VALUE"""),"https://www.tiktok.com/@yaclizette/video/7659822564822273311")</f>
        <v>https://www.tiktok.com/@yaclizette/video/7659822564822273311</v>
      </c>
      <c r="E357" s="55"/>
      <c r="F357" s="55"/>
      <c r="G357" s="55" t="str">
        <f>IFERROR(__xludf.DUMMYFUNCTION("""COMPUTED_VALUE"""),"Over 40/ High Performer")</f>
        <v>Over 40/ High Performer</v>
      </c>
      <c r="H357" s="55"/>
      <c r="I357" s="55">
        <f>IFERROR(__xludf.DUMMYFUNCTION("""COMPUTED_VALUE"""),46.3)</f>
        <v>46.3</v>
      </c>
      <c r="J357" s="55" t="str">
        <f>IFERROR(__xludf.DUMMYFUNCTION("""COMPUTED_VALUE"""),"Yes – Recommend")</f>
        <v>Yes – Recommend</v>
      </c>
      <c r="K357" s="55" t="str">
        <f>IFERROR(__xludf.DUMMYFUNCTION("""COMPUTED_VALUE"""),"Review before running ads")</f>
        <v>Review before running ads</v>
      </c>
      <c r="L357" s="55" t="str">
        <f>IFERROR(__xludf.DUMMYFUNCTION("""COMPUTED_VALUE"""),"Score 48.6 ≥ 30")</f>
        <v>Score 48.6 ≥ 30</v>
      </c>
      <c r="M357" s="55" t="str">
        <f>IFERROR(__xludf.DUMMYFUNCTION("""COMPUTED_VALUE"""),"No Ad Data")</f>
        <v>No Ad Data</v>
      </c>
      <c r="N357" s="55"/>
      <c r="O357" s="55"/>
      <c r="P357" s="55">
        <f>IFERROR(__xludf.DUMMYFUNCTION("""COMPUTED_VALUE"""),623.0)</f>
        <v>623</v>
      </c>
      <c r="Q357" s="55">
        <f>IFERROR(__xludf.DUMMYFUNCTION("""COMPUTED_VALUE"""),11.0)</f>
        <v>11</v>
      </c>
      <c r="R357" s="55">
        <f>IFERROR(__xludf.DUMMYFUNCTION("""COMPUTED_VALUE"""),2.0)</f>
        <v>2</v>
      </c>
      <c r="S357" s="55"/>
      <c r="T357" s="55">
        <f>IFERROR(__xludf.DUMMYFUNCTION("""COMPUTED_VALUE"""),11.1)</f>
        <v>11.1</v>
      </c>
      <c r="U357" s="55"/>
      <c r="V357" s="55"/>
      <c r="W357" s="55">
        <f>IFERROR(__xludf.DUMMYFUNCTION("""COMPUTED_VALUE"""),117.58)</f>
        <v>117.58</v>
      </c>
      <c r="X357" s="55"/>
      <c r="Y357" s="55"/>
      <c r="Z357" s="55"/>
      <c r="AA357" s="55">
        <f>IFERROR(__xludf.DUMMYFUNCTION("""COMPUTED_VALUE"""),0.0)</f>
        <v>0</v>
      </c>
      <c r="AB357" s="55"/>
      <c r="AC357" s="55"/>
      <c r="AD357" s="55"/>
      <c r="AE357" s="55"/>
      <c r="AF357" s="55"/>
      <c r="AG357" s="55"/>
      <c r="AH357" s="55"/>
      <c r="AI357" s="55"/>
      <c r="AJ357" s="55"/>
      <c r="AK357" s="55"/>
      <c r="AL357" s="55"/>
      <c r="AM357" s="55" t="str">
        <f>IFERROR(__xludf.DUMMYFUNCTION("""COMPUTED_VALUE"""),"#Gq7p4wJ3JmHZckmt5RSxfmWmh+rZBJmhZ8VxNZEFm8TWtMgYx0VRIr7L0k3kMp8=")</f>
        <v>#Gq7p4wJ3JmHZckmt5RSxfmWmh+rZBJmhZ8VxNZEFm8TWtMgYx0VRIr7L0k3kMp8=</v>
      </c>
      <c r="AN357" s="55"/>
      <c r="AO357" s="55"/>
      <c r="AP357" s="55"/>
      <c r="AQ357" s="55"/>
      <c r="AR357" s="55"/>
      <c r="AS357" s="55"/>
      <c r="AT357" s="55"/>
      <c r="AU357" s="55"/>
      <c r="AV357" s="55"/>
      <c r="AW357" s="35"/>
      <c r="AX357" s="35"/>
      <c r="AY357" s="35"/>
      <c r="AZ357" s="35"/>
      <c r="BA357" s="35"/>
      <c r="BB357" s="35"/>
      <c r="BC357" s="35"/>
      <c r="BD357" s="35"/>
      <c r="BE357" s="35"/>
      <c r="BF357" s="35"/>
      <c r="BG357" s="35"/>
    </row>
    <row r="358" ht="15.75" customHeight="1">
      <c r="A358" s="55" t="str">
        <f>IFERROR(__xludf.DUMMYFUNCTION("""COMPUTED_VALUE"""),"Tiktok")</f>
        <v>Tiktok</v>
      </c>
      <c r="B358" s="56">
        <f>IFERROR(__xludf.DUMMYFUNCTION("""COMPUTED_VALUE"""),46214.0)</f>
        <v>46214</v>
      </c>
      <c r="C358" s="55" t="str">
        <f>IFERROR(__xludf.DUMMYFUNCTION("""COMPUTED_VALUE"""),"July")</f>
        <v>July</v>
      </c>
      <c r="D358" s="58" t="str">
        <f>IFERROR(__xludf.DUMMYFUNCTION("""COMPUTED_VALUE"""),"https://www.tiktok.com/@cidneygreen/video/7661084247293185310")</f>
        <v>https://www.tiktok.com/@cidneygreen/video/7661084247293185310</v>
      </c>
      <c r="E358" s="55"/>
      <c r="F358" s="55"/>
      <c r="G358" s="55" t="str">
        <f>IFERROR(__xludf.DUMMYFUNCTION("""COMPUTED_VALUE"""),"Over 40/ High Performer")</f>
        <v>Over 40/ High Performer</v>
      </c>
      <c r="H358" s="55"/>
      <c r="I358" s="55">
        <f>IFERROR(__xludf.DUMMYFUNCTION("""COMPUTED_VALUE"""),46.0)</f>
        <v>46</v>
      </c>
      <c r="J358" s="55" t="str">
        <f>IFERROR(__xludf.DUMMYFUNCTION("""COMPUTED_VALUE"""),"Yes – Recommend")</f>
        <v>Yes – Recommend</v>
      </c>
      <c r="K358" s="55" t="str">
        <f>IFERROR(__xludf.DUMMYFUNCTION("""COMPUTED_VALUE"""),"Review before running ads")</f>
        <v>Review before running ads</v>
      </c>
      <c r="L358" s="55" t="str">
        <f>IFERROR(__xludf.DUMMYFUNCTION("""COMPUTED_VALUE"""),"Score 47.6 ≥ 30; 6-sec 29.5% ≥ 25%")</f>
        <v>Score 47.6 ≥ 30; 6-sec 29.5% ≥ 25%</v>
      </c>
      <c r="M358" s="55" t="str">
        <f>IFERROR(__xludf.DUMMYFUNCTION("""COMPUTED_VALUE"""),"No Ad Data")</f>
        <v>No Ad Data</v>
      </c>
      <c r="N358" s="55"/>
      <c r="O358" s="55"/>
      <c r="P358" s="55">
        <f>IFERROR(__xludf.DUMMYFUNCTION("""COMPUTED_VALUE"""),202.0)</f>
        <v>202</v>
      </c>
      <c r="Q358" s="55">
        <f>IFERROR(__xludf.DUMMYFUNCTION("""COMPUTED_VALUE"""),15.0)</f>
        <v>15</v>
      </c>
      <c r="R358" s="55">
        <f>IFERROR(__xludf.DUMMYFUNCTION("""COMPUTED_VALUE"""),1.0)</f>
        <v>1</v>
      </c>
      <c r="S358" s="55"/>
      <c r="T358" s="55">
        <f>IFERROR(__xludf.DUMMYFUNCTION("""COMPUTED_VALUE"""),29.5)</f>
        <v>29.5</v>
      </c>
      <c r="U358" s="55"/>
      <c r="V358" s="55"/>
      <c r="W358" s="55">
        <f>IFERROR(__xludf.DUMMYFUNCTION("""COMPUTED_VALUE"""),117.58)</f>
        <v>117.58</v>
      </c>
      <c r="X358" s="55"/>
      <c r="Y358" s="55"/>
      <c r="Z358" s="55"/>
      <c r="AA358" s="55">
        <f>IFERROR(__xludf.DUMMYFUNCTION("""COMPUTED_VALUE"""),0.0)</f>
        <v>0</v>
      </c>
      <c r="AB358" s="55"/>
      <c r="AC358" s="55"/>
      <c r="AD358" s="55"/>
      <c r="AE358" s="55"/>
      <c r="AF358" s="55"/>
      <c r="AG358" s="55"/>
      <c r="AH358" s="55"/>
      <c r="AI358" s="55"/>
      <c r="AJ358" s="55"/>
      <c r="AK358" s="55"/>
      <c r="AL358" s="55"/>
      <c r="AM358" s="55" t="str">
        <f>IFERROR(__xludf.DUMMYFUNCTION("""COMPUTED_VALUE"""),"#6xsiY0dUSAKD2n9Sg9I/g+gEMQ4NEe2PBjwApE5kXLGj+Ni8hcfuaPs130KHtqU=")</f>
        <v>#6xsiY0dUSAKD2n9Sg9I/g+gEMQ4NEe2PBjwApE5kXLGj+Ni8hcfuaPs130KHtqU=</v>
      </c>
      <c r="AN358" s="55"/>
      <c r="AO358" s="55"/>
      <c r="AP358" s="55"/>
      <c r="AQ358" s="55"/>
      <c r="AR358" s="55"/>
      <c r="AS358" s="55"/>
      <c r="AT358" s="55"/>
      <c r="AU358" s="55"/>
      <c r="AV358" s="55"/>
      <c r="AW358" s="35"/>
      <c r="AX358" s="35"/>
      <c r="AY358" s="35"/>
      <c r="AZ358" s="35"/>
      <c r="BA358" s="35"/>
      <c r="BB358" s="35"/>
      <c r="BC358" s="35"/>
      <c r="BD358" s="35"/>
      <c r="BE358" s="35"/>
      <c r="BF358" s="35"/>
      <c r="BG358" s="35"/>
    </row>
    <row r="359" ht="15.75" customHeight="1">
      <c r="A359" s="55" t="str">
        <f>IFERROR(__xludf.DUMMYFUNCTION("""COMPUTED_VALUE"""),"Instagram")</f>
        <v>Instagram</v>
      </c>
      <c r="B359" s="56">
        <f>IFERROR(__xludf.DUMMYFUNCTION("""COMPUTED_VALUE"""),46215.0)</f>
        <v>46215</v>
      </c>
      <c r="C359" s="55" t="str">
        <f>IFERROR(__xludf.DUMMYFUNCTION("""COMPUTED_VALUE"""),"July")</f>
        <v>July</v>
      </c>
      <c r="D359" s="58" t="str">
        <f>IFERROR(__xludf.DUMMYFUNCTION("""COMPUTED_VALUE"""),"https://www.instagram.com/reels/DalDujvx0Lw/")</f>
        <v>https://www.instagram.com/reels/DalDujvx0Lw/</v>
      </c>
      <c r="E359" s="55"/>
      <c r="F359" s="55"/>
      <c r="G359" s="55" t="str">
        <f>IFERROR(__xludf.DUMMYFUNCTION("""COMPUTED_VALUE"""),"Cortisol")</f>
        <v>Cortisol</v>
      </c>
      <c r="H359" s="55"/>
      <c r="I359" s="55">
        <f>IFERROR(__xludf.DUMMYFUNCTION("""COMPUTED_VALUE"""),39.6)</f>
        <v>39.6</v>
      </c>
      <c r="J359" s="55" t="str">
        <f>IFERROR(__xludf.DUMMYFUNCTION("""COMPUTED_VALUE"""),"Yes – Recommend")</f>
        <v>Yes – Recommend</v>
      </c>
      <c r="K359" s="55" t="str">
        <f>IFERROR(__xludf.DUMMYFUNCTION("""COMPUTED_VALUE"""),"Review before running ads")</f>
        <v>Review before running ads</v>
      </c>
      <c r="L359" s="55" t="str">
        <f>IFERROR(__xludf.DUMMYFUNCTION("""COMPUTED_VALUE"""),"Score 39.6 ≥ 20 threshold")</f>
        <v>Score 39.6 ≥ 20 threshold</v>
      </c>
      <c r="M359" s="55" t="str">
        <f>IFERROR(__xludf.DUMMYFUNCTION("""COMPUTED_VALUE"""),"No Ad Data")</f>
        <v>No Ad Data</v>
      </c>
      <c r="N359" s="55"/>
      <c r="O359" s="55"/>
      <c r="P359" s="55">
        <f>IFERROR(__xludf.DUMMYFUNCTION("""COMPUTED_VALUE"""),307.0)</f>
        <v>307</v>
      </c>
      <c r="Q359" s="55">
        <f>IFERROR(__xludf.DUMMYFUNCTION("""COMPUTED_VALUE"""),43.0)</f>
        <v>43</v>
      </c>
      <c r="R359" s="55">
        <f>IFERROR(__xludf.DUMMYFUNCTION("""COMPUTED_VALUE"""),40.0)</f>
        <v>40</v>
      </c>
      <c r="S359" s="55"/>
      <c r="T359" s="55"/>
      <c r="U359" s="55"/>
      <c r="V359" s="55"/>
      <c r="W359" s="55">
        <f>IFERROR(__xludf.DUMMYFUNCTION("""COMPUTED_VALUE"""),117.58)</f>
        <v>117.58</v>
      </c>
      <c r="X359" s="55"/>
      <c r="Y359" s="55"/>
      <c r="Z359" s="55"/>
      <c r="AA359" s="55">
        <f>IFERROR(__xludf.DUMMYFUNCTION("""COMPUTED_VALUE"""),0.0)</f>
        <v>0</v>
      </c>
      <c r="AB359" s="55"/>
      <c r="AC359" s="55"/>
      <c r="AD359" s="55"/>
      <c r="AE359" s="55"/>
      <c r="AF359" s="55"/>
      <c r="AG359" s="55"/>
      <c r="AH359" s="55"/>
      <c r="AI359" s="55"/>
      <c r="AJ359" s="55"/>
      <c r="AK359" s="55"/>
      <c r="AL359" s="55"/>
      <c r="AM359" s="55" t="str">
        <f>IFERROR(__xludf.DUMMYFUNCTION("""COMPUTED_VALUE"""),"Q9jTBBYLYC-339zQnW4jhdqzSGSU4_y-1UcMxN7lB9CeQLp7oPaAvCmvJViEPniKxX0")</f>
        <v>Q9jTBBYLYC-339zQnW4jhdqzSGSU4_y-1UcMxN7lB9CeQLp7oPaAvCmvJViEPniKxX0</v>
      </c>
      <c r="AN359" s="55"/>
      <c r="AO359" s="55"/>
      <c r="AP359" s="55"/>
      <c r="AQ359" s="55"/>
      <c r="AR359" s="55"/>
      <c r="AS359" s="55"/>
      <c r="AT359" s="55"/>
      <c r="AU359" s="55"/>
      <c r="AV359" s="55"/>
      <c r="AW359" s="35"/>
      <c r="AX359" s="35"/>
      <c r="AY359" s="35"/>
      <c r="AZ359" s="35"/>
      <c r="BA359" s="35"/>
      <c r="BB359" s="35"/>
      <c r="BC359" s="35"/>
      <c r="BD359" s="35"/>
      <c r="BE359" s="35"/>
      <c r="BF359" s="35"/>
      <c r="BG359" s="35"/>
    </row>
    <row r="360" ht="15.75" customHeight="1">
      <c r="A360" s="55" t="str">
        <f>IFERROR(__xludf.DUMMYFUNCTION("""COMPUTED_VALUE"""),"Instagram")</f>
        <v>Instagram</v>
      </c>
      <c r="B360" s="56">
        <f>IFERROR(__xludf.DUMMYFUNCTION("""COMPUTED_VALUE"""),46215.0)</f>
        <v>46215</v>
      </c>
      <c r="C360" s="55" t="str">
        <f>IFERROR(__xludf.DUMMYFUNCTION("""COMPUTED_VALUE"""),"July")</f>
        <v>July</v>
      </c>
      <c r="D360" s="58" t="str">
        <f>IFERROR(__xludf.DUMMYFUNCTION("""COMPUTED_VALUE"""),"https://www.instagram.com/reels/DalIWNNRfe8/")</f>
        <v>https://www.instagram.com/reels/DalIWNNRfe8/</v>
      </c>
      <c r="E360" s="55"/>
      <c r="F360" s="55"/>
      <c r="G360" s="55" t="str">
        <f>IFERROR(__xludf.DUMMYFUNCTION("""COMPUTED_VALUE"""),"Over 40/ High Performer")</f>
        <v>Over 40/ High Performer</v>
      </c>
      <c r="H360" s="55"/>
      <c r="I360" s="55">
        <f>IFERROR(__xludf.DUMMYFUNCTION("""COMPUTED_VALUE"""),37.3)</f>
        <v>37.3</v>
      </c>
      <c r="J360" s="55" t="str">
        <f>IFERROR(__xludf.DUMMYFUNCTION("""COMPUTED_VALUE"""),"Yes – Recommend")</f>
        <v>Yes – Recommend</v>
      </c>
      <c r="K360" s="55" t="str">
        <f>IFERROR(__xludf.DUMMYFUNCTION("""COMPUTED_VALUE"""),"Review before running ads")</f>
        <v>Review before running ads</v>
      </c>
      <c r="L360" s="55" t="str">
        <f>IFERROR(__xludf.DUMMYFUNCTION("""COMPUTED_VALUE"""),"Score 37.3 ≥ 20 threshold")</f>
        <v>Score 37.3 ≥ 20 threshold</v>
      </c>
      <c r="M360" s="55" t="str">
        <f>IFERROR(__xludf.DUMMYFUNCTION("""COMPUTED_VALUE"""),"No Ad Data")</f>
        <v>No Ad Data</v>
      </c>
      <c r="N360" s="55"/>
      <c r="O360" s="55"/>
      <c r="P360" s="55">
        <f>IFERROR(__xludf.DUMMYFUNCTION("""COMPUTED_VALUE"""),298.0)</f>
        <v>298</v>
      </c>
      <c r="Q360" s="55">
        <f>IFERROR(__xludf.DUMMYFUNCTION("""COMPUTED_VALUE"""),31.0)</f>
        <v>31</v>
      </c>
      <c r="R360" s="55">
        <f>IFERROR(__xludf.DUMMYFUNCTION("""COMPUTED_VALUE"""),28.0)</f>
        <v>28</v>
      </c>
      <c r="S360" s="55"/>
      <c r="T360" s="55"/>
      <c r="U360" s="55"/>
      <c r="V360" s="55"/>
      <c r="W360" s="55">
        <f>IFERROR(__xludf.DUMMYFUNCTION("""COMPUTED_VALUE"""),117.58)</f>
        <v>117.58</v>
      </c>
      <c r="X360" s="55"/>
      <c r="Y360" s="55"/>
      <c r="Z360" s="55"/>
      <c r="AA360" s="55">
        <f>IFERROR(__xludf.DUMMYFUNCTION("""COMPUTED_VALUE"""),0.0)</f>
        <v>0</v>
      </c>
      <c r="AB360" s="55"/>
      <c r="AC360" s="55"/>
      <c r="AD360" s="55"/>
      <c r="AE360" s="55"/>
      <c r="AF360" s="55"/>
      <c r="AG360" s="55"/>
      <c r="AH360" s="55"/>
      <c r="AI360" s="55"/>
      <c r="AJ360" s="55"/>
      <c r="AK360" s="55"/>
      <c r="AL360" s="55"/>
      <c r="AM360" s="55" t="str">
        <f>IFERROR(__xludf.DUMMYFUNCTION("""COMPUTED_VALUE"""),"Q9jTBBbvF00Q9qec7kQsaqWQptrbLa4WxkVUF6iqKBlui_t2XlzwuUUh_bU60wLalCI")</f>
        <v>Q9jTBBbvF00Q9qec7kQsaqWQptrbLa4WxkVUF6iqKBlui_t2XlzwuUUh_bU60wLalCI</v>
      </c>
      <c r="AN360" s="55"/>
      <c r="AO360" s="55"/>
      <c r="AP360" s="55"/>
      <c r="AQ360" s="55"/>
      <c r="AR360" s="55"/>
      <c r="AS360" s="55"/>
      <c r="AT360" s="55"/>
      <c r="AU360" s="55"/>
      <c r="AV360" s="55"/>
      <c r="AW360" s="35"/>
      <c r="AX360" s="35"/>
      <c r="AY360" s="35"/>
      <c r="AZ360" s="35"/>
      <c r="BA360" s="35"/>
      <c r="BB360" s="35"/>
      <c r="BC360" s="35"/>
      <c r="BD360" s="35"/>
      <c r="BE360" s="35"/>
      <c r="BF360" s="35"/>
      <c r="BG360" s="35"/>
    </row>
    <row r="361" ht="15.75" customHeight="1">
      <c r="A361" s="55" t="str">
        <f>IFERROR(__xludf.DUMMYFUNCTION("""COMPUTED_VALUE"""),"Tiktok")</f>
        <v>Tiktok</v>
      </c>
      <c r="B361" s="56">
        <f>IFERROR(__xludf.DUMMYFUNCTION("""COMPUTED_VALUE"""),46213.0)</f>
        <v>46213</v>
      </c>
      <c r="C361" s="55" t="str">
        <f>IFERROR(__xludf.DUMMYFUNCTION("""COMPUTED_VALUE"""),"July")</f>
        <v>July</v>
      </c>
      <c r="D361" s="58" t="str">
        <f>IFERROR(__xludf.DUMMYFUNCTION("""COMPUTED_VALUE"""),"https://www.tiktok.com/@hannahugc1/video/7660639579728366879")</f>
        <v>https://www.tiktok.com/@hannahugc1/video/7660639579728366879</v>
      </c>
      <c r="E361" s="55"/>
      <c r="F361" s="55"/>
      <c r="G361" s="55" t="str">
        <f>IFERROR(__xludf.DUMMYFUNCTION("""COMPUTED_VALUE"""),"Taste")</f>
        <v>Taste</v>
      </c>
      <c r="H361" s="55"/>
      <c r="I361" s="55">
        <f>IFERROR(__xludf.DUMMYFUNCTION("""COMPUTED_VALUE"""),34.3)</f>
        <v>34.3</v>
      </c>
      <c r="J361" s="55" t="str">
        <f>IFERROR(__xludf.DUMMYFUNCTION("""COMPUTED_VALUE"""),"Yes – Recommend")</f>
        <v>Yes – Recommend</v>
      </c>
      <c r="K361" s="55" t="str">
        <f>IFERROR(__xludf.DUMMYFUNCTION("""COMPUTED_VALUE"""),"Review before running ads")</f>
        <v>Review before running ads</v>
      </c>
      <c r="L361" s="55" t="str">
        <f>IFERROR(__xludf.DUMMYFUNCTION("""COMPUTED_VALUE"""),"Score 36.7 ≥ 30")</f>
        <v>Score 36.7 ≥ 30</v>
      </c>
      <c r="M361" s="55" t="str">
        <f>IFERROR(__xludf.DUMMYFUNCTION("""COMPUTED_VALUE"""),"No Ad Data")</f>
        <v>No Ad Data</v>
      </c>
      <c r="N361" s="55"/>
      <c r="O361" s="55"/>
      <c r="P361" s="55">
        <f>IFERROR(__xludf.DUMMYFUNCTION("""COMPUTED_VALUE"""),702.0)</f>
        <v>702</v>
      </c>
      <c r="Q361" s="55">
        <f>IFERROR(__xludf.DUMMYFUNCTION("""COMPUTED_VALUE"""),4.0)</f>
        <v>4</v>
      </c>
      <c r="R361" s="55"/>
      <c r="S361" s="55"/>
      <c r="T361" s="55">
        <f>IFERROR(__xludf.DUMMYFUNCTION("""COMPUTED_VALUE"""),4.3)</f>
        <v>4.3</v>
      </c>
      <c r="U361" s="55"/>
      <c r="V361" s="55"/>
      <c r="W361" s="55">
        <f>IFERROR(__xludf.DUMMYFUNCTION("""COMPUTED_VALUE"""),117.58)</f>
        <v>117.58</v>
      </c>
      <c r="X361" s="55"/>
      <c r="Y361" s="55"/>
      <c r="Z361" s="55"/>
      <c r="AA361" s="55">
        <f>IFERROR(__xludf.DUMMYFUNCTION("""COMPUTED_VALUE"""),0.0)</f>
        <v>0</v>
      </c>
      <c r="AB361" s="55"/>
      <c r="AC361" s="55"/>
      <c r="AD361" s="55"/>
      <c r="AE361" s="55"/>
      <c r="AF361" s="55"/>
      <c r="AG361" s="55"/>
      <c r="AH361" s="55"/>
      <c r="AI361" s="55"/>
      <c r="AJ361" s="55"/>
      <c r="AK361" s="55"/>
      <c r="AL361" s="55"/>
      <c r="AM361" s="55" t="str">
        <f>IFERROR(__xludf.DUMMYFUNCTION("""COMPUTED_VALUE"""),"#EJn1ZW/jj4HOVaT/jupu+b2+/3YHW83maSZ/QPuOiblBzn7dQqSErhhigcsF92A=")</f>
        <v>#EJn1ZW/jj4HOVaT/jupu+b2+/3YHW83maSZ/QPuOiblBzn7dQqSErhhigcsF92A=</v>
      </c>
      <c r="AN361" s="55"/>
      <c r="AO361" s="55"/>
      <c r="AP361" s="55"/>
      <c r="AQ361" s="55"/>
      <c r="AR361" s="55"/>
      <c r="AS361" s="55"/>
      <c r="AT361" s="55"/>
      <c r="AU361" s="55"/>
      <c r="AV361" s="55"/>
      <c r="AW361" s="35"/>
      <c r="AX361" s="35"/>
      <c r="AY361" s="35"/>
      <c r="AZ361" s="35"/>
      <c r="BA361" s="35"/>
      <c r="BB361" s="35"/>
      <c r="BC361" s="35"/>
      <c r="BD361" s="35"/>
      <c r="BE361" s="35"/>
      <c r="BF361" s="35"/>
      <c r="BG361" s="35"/>
    </row>
    <row r="362" ht="15.75" customHeight="1">
      <c r="A362" s="55" t="str">
        <f>IFERROR(__xludf.DUMMYFUNCTION("""COMPUTED_VALUE"""),"Instagram")</f>
        <v>Instagram</v>
      </c>
      <c r="B362" s="56">
        <f>IFERROR(__xludf.DUMMYFUNCTION("""COMPUTED_VALUE"""),46215.0)</f>
        <v>46215</v>
      </c>
      <c r="C362" s="55" t="str">
        <f>IFERROR(__xludf.DUMMYFUNCTION("""COMPUTED_VALUE"""),"July")</f>
        <v>July</v>
      </c>
      <c r="D362" s="58" t="str">
        <f>IFERROR(__xludf.DUMMYFUNCTION("""COMPUTED_VALUE"""),"https://www.instagram.com/reels/Daq7yOeDUSv/")</f>
        <v>https://www.instagram.com/reels/Daq7yOeDUSv/</v>
      </c>
      <c r="E362" s="55"/>
      <c r="F362" s="55"/>
      <c r="G362" s="55" t="str">
        <f>IFERROR(__xludf.DUMMYFUNCTION("""COMPUTED_VALUE"""),"Taste")</f>
        <v>Taste</v>
      </c>
      <c r="H362" s="55"/>
      <c r="I362" s="55">
        <f>IFERROR(__xludf.DUMMYFUNCTION("""COMPUTED_VALUE"""),33.5)</f>
        <v>33.5</v>
      </c>
      <c r="J362" s="55" t="str">
        <f>IFERROR(__xludf.DUMMYFUNCTION("""COMPUTED_VALUE"""),"Yes – Recommend")</f>
        <v>Yes – Recommend</v>
      </c>
      <c r="K362" s="55" t="str">
        <f>IFERROR(__xludf.DUMMYFUNCTION("""COMPUTED_VALUE"""),"Review before running ads")</f>
        <v>Review before running ads</v>
      </c>
      <c r="L362" s="55" t="str">
        <f>IFERROR(__xludf.DUMMYFUNCTION("""COMPUTED_VALUE"""),"Score 33.5 ≥ 20 threshold")</f>
        <v>Score 33.5 ≥ 20 threshold</v>
      </c>
      <c r="M362" s="55" t="str">
        <f>IFERROR(__xludf.DUMMYFUNCTION("""COMPUTED_VALUE"""),"No Ad Data")</f>
        <v>No Ad Data</v>
      </c>
      <c r="N362" s="55"/>
      <c r="O362" s="55"/>
      <c r="P362" s="55">
        <f>IFERROR(__xludf.DUMMYFUNCTION("""COMPUTED_VALUE"""),214.0)</f>
        <v>214</v>
      </c>
      <c r="Q362" s="55">
        <f>IFERROR(__xludf.DUMMYFUNCTION("""COMPUTED_VALUE"""),20.0)</f>
        <v>20</v>
      </c>
      <c r="R362" s="55">
        <f>IFERROR(__xludf.DUMMYFUNCTION("""COMPUTED_VALUE"""),17.0)</f>
        <v>17</v>
      </c>
      <c r="S362" s="55"/>
      <c r="T362" s="55"/>
      <c r="U362" s="55"/>
      <c r="V362" s="55"/>
      <c r="W362" s="55">
        <f>IFERROR(__xludf.DUMMYFUNCTION("""COMPUTED_VALUE"""),117.58)</f>
        <v>117.58</v>
      </c>
      <c r="X362" s="55"/>
      <c r="Y362" s="55"/>
      <c r="Z362" s="55"/>
      <c r="AA362" s="55">
        <f>IFERROR(__xludf.DUMMYFUNCTION("""COMPUTED_VALUE"""),0.0)</f>
        <v>0</v>
      </c>
      <c r="AB362" s="55"/>
      <c r="AC362" s="55"/>
      <c r="AD362" s="55"/>
      <c r="AE362" s="55"/>
      <c r="AF362" s="55"/>
      <c r="AG362" s="55"/>
      <c r="AH362" s="55"/>
      <c r="AI362" s="55"/>
      <c r="AJ362" s="55"/>
      <c r="AK362" s="55"/>
      <c r="AL362" s="55"/>
      <c r="AM362" s="55" t="str">
        <f>IFERROR(__xludf.DUMMYFUNCTION("""COMPUTED_VALUE"""),"Q9jTBBb9D7rSMYahtOIOyIukCE100l4YDotoCwQJOELYI1qEaRYIZwHAgQ2YtoT5I94")</f>
        <v>Q9jTBBb9D7rSMYahtOIOyIukCE100l4YDotoCwQJOELYI1qEaRYIZwHAgQ2YtoT5I94</v>
      </c>
      <c r="AN362" s="55"/>
      <c r="AO362" s="55"/>
      <c r="AP362" s="55"/>
      <c r="AQ362" s="55"/>
      <c r="AR362" s="55"/>
      <c r="AS362" s="55"/>
      <c r="AT362" s="55"/>
      <c r="AU362" s="55"/>
      <c r="AV362" s="55"/>
      <c r="AW362" s="35"/>
      <c r="AX362" s="35"/>
      <c r="AY362" s="35"/>
      <c r="AZ362" s="35"/>
      <c r="BA362" s="35"/>
      <c r="BB362" s="35"/>
      <c r="BC362" s="35"/>
      <c r="BD362" s="35"/>
      <c r="BE362" s="35"/>
      <c r="BF362" s="35"/>
      <c r="BG362" s="35"/>
    </row>
    <row r="363" ht="15.75" customHeight="1">
      <c r="A363" s="55" t="str">
        <f>IFERROR(__xludf.DUMMYFUNCTION("""COMPUTED_VALUE"""),"Instagram")</f>
        <v>Instagram</v>
      </c>
      <c r="B363" s="56">
        <f>IFERROR(__xludf.DUMMYFUNCTION("""COMPUTED_VALUE"""),46215.0)</f>
        <v>46215</v>
      </c>
      <c r="C363" s="55" t="str">
        <f>IFERROR(__xludf.DUMMYFUNCTION("""COMPUTED_VALUE"""),"July")</f>
        <v>July</v>
      </c>
      <c r="D363" s="58" t="str">
        <f>IFERROR(__xludf.DUMMYFUNCTION("""COMPUTED_VALUE"""),"https://www.instagram.com/reels/DaoVn10AeO4/")</f>
        <v>https://www.instagram.com/reels/DaoVn10AeO4/</v>
      </c>
      <c r="E363" s="55"/>
      <c r="F363" s="55"/>
      <c r="G363" s="55" t="str">
        <f>IFERROR(__xludf.DUMMYFUNCTION("""COMPUTED_VALUE"""),"Mushroom Trend")</f>
        <v>Mushroom Trend</v>
      </c>
      <c r="H363" s="55"/>
      <c r="I363" s="55">
        <f>IFERROR(__xludf.DUMMYFUNCTION("""COMPUTED_VALUE"""),30.2)</f>
        <v>30.2</v>
      </c>
      <c r="J363" s="55" t="str">
        <f>IFERROR(__xludf.DUMMYFUNCTION("""COMPUTED_VALUE"""),"Yes – Recommend")</f>
        <v>Yes – Recommend</v>
      </c>
      <c r="K363" s="55" t="str">
        <f>IFERROR(__xludf.DUMMYFUNCTION("""COMPUTED_VALUE"""),"Review before running ads")</f>
        <v>Review before running ads</v>
      </c>
      <c r="L363" s="55" t="str">
        <f>IFERROR(__xludf.DUMMYFUNCTION("""COMPUTED_VALUE"""),"Score 30.2 ≥ 20 threshold")</f>
        <v>Score 30.2 ≥ 20 threshold</v>
      </c>
      <c r="M363" s="55" t="str">
        <f>IFERROR(__xludf.DUMMYFUNCTION("""COMPUTED_VALUE"""),"No Ad Data")</f>
        <v>No Ad Data</v>
      </c>
      <c r="N363" s="55"/>
      <c r="O363" s="55"/>
      <c r="P363" s="55">
        <f>IFERROR(__xludf.DUMMYFUNCTION("""COMPUTED_VALUE"""),420.0)</f>
        <v>420</v>
      </c>
      <c r="Q363" s="55">
        <f>IFERROR(__xludf.DUMMYFUNCTION("""COMPUTED_VALUE"""),13.0)</f>
        <v>13</v>
      </c>
      <c r="R363" s="55">
        <f>IFERROR(__xludf.DUMMYFUNCTION("""COMPUTED_VALUE"""),4.0)</f>
        <v>4</v>
      </c>
      <c r="S363" s="55"/>
      <c r="T363" s="55"/>
      <c r="U363" s="55"/>
      <c r="V363" s="55"/>
      <c r="W363" s="55">
        <f>IFERROR(__xludf.DUMMYFUNCTION("""COMPUTED_VALUE"""),117.58)</f>
        <v>117.58</v>
      </c>
      <c r="X363" s="55"/>
      <c r="Y363" s="55"/>
      <c r="Z363" s="55"/>
      <c r="AA363" s="55">
        <f>IFERROR(__xludf.DUMMYFUNCTION("""COMPUTED_VALUE"""),0.0)</f>
        <v>0</v>
      </c>
      <c r="AB363" s="55"/>
      <c r="AC363" s="55"/>
      <c r="AD363" s="55"/>
      <c r="AE363" s="55"/>
      <c r="AF363" s="55"/>
      <c r="AG363" s="55"/>
      <c r="AH363" s="55"/>
      <c r="AI363" s="55"/>
      <c r="AJ363" s="55"/>
      <c r="AK363" s="55"/>
      <c r="AL363" s="55"/>
      <c r="AM363" s="55" t="str">
        <f>IFERROR(__xludf.DUMMYFUNCTION("""COMPUTED_VALUE"""),"Q9jTBBY2YcvIPqmLQj0L2PzCEXxPGEn0mSdfPYVTkHOdI43PVR30IjiEbAO-2CB8llM")</f>
        <v>Q9jTBBY2YcvIPqmLQj0L2PzCEXxPGEn0mSdfPYVTkHOdI43PVR30IjiEbAO-2CB8llM</v>
      </c>
      <c r="AN363" s="55"/>
      <c r="AO363" s="55"/>
      <c r="AP363" s="55"/>
      <c r="AQ363" s="55"/>
      <c r="AR363" s="55"/>
      <c r="AS363" s="55"/>
      <c r="AT363" s="55"/>
      <c r="AU363" s="55"/>
      <c r="AV363" s="55"/>
      <c r="AW363" s="35"/>
      <c r="AX363" s="35"/>
      <c r="AY363" s="35"/>
      <c r="AZ363" s="35"/>
      <c r="BA363" s="35"/>
      <c r="BB363" s="35"/>
      <c r="BC363" s="35"/>
      <c r="BD363" s="35"/>
      <c r="BE363" s="35"/>
      <c r="BF363" s="35"/>
      <c r="BG363" s="35"/>
    </row>
    <row r="364" ht="15.75" customHeight="1">
      <c r="A364" s="55" t="str">
        <f>IFERROR(__xludf.DUMMYFUNCTION("""COMPUTED_VALUE"""),"Instagram")</f>
        <v>Instagram</v>
      </c>
      <c r="B364" s="56">
        <f>IFERROR(__xludf.DUMMYFUNCTION("""COMPUTED_VALUE"""),46212.0)</f>
        <v>46212</v>
      </c>
      <c r="C364" s="55" t="str">
        <f>IFERROR(__xludf.DUMMYFUNCTION("""COMPUTED_VALUE"""),"July")</f>
        <v>July</v>
      </c>
      <c r="D364" s="58" t="str">
        <f>IFERROR(__xludf.DUMMYFUNCTION("""COMPUTED_VALUE"""),"https://www.instagram.com/reels/DalftEbxjd7/")</f>
        <v>https://www.instagram.com/reels/DalftEbxjd7/</v>
      </c>
      <c r="E364" s="55" t="str">
        <f>IFERROR(__xludf.DUMMYFUNCTION("""COMPUTED_VALUE"""),"@na")</f>
        <v>@na</v>
      </c>
      <c r="F364" s="55"/>
      <c r="G364" s="55" t="str">
        <f>IFERROR(__xludf.DUMMYFUNCTION("""COMPUTED_VALUE"""),"Over 40/ High Performer")</f>
        <v>Over 40/ High Performer</v>
      </c>
      <c r="H364" s="55"/>
      <c r="I364" s="55">
        <f>IFERROR(__xludf.DUMMYFUNCTION("""COMPUTED_VALUE"""),27.9)</f>
        <v>27.9</v>
      </c>
      <c r="J364" s="55" t="str">
        <f>IFERROR(__xludf.DUMMYFUNCTION("""COMPUTED_VALUE"""),"Yes – Recommend")</f>
        <v>Yes – Recommend</v>
      </c>
      <c r="K364" s="55" t="str">
        <f>IFERROR(__xludf.DUMMYFUNCTION("""COMPUTED_VALUE"""),"Review before running ads")</f>
        <v>Review before running ads</v>
      </c>
      <c r="L364" s="55" t="str">
        <f>IFERROR(__xludf.DUMMYFUNCTION("""COMPUTED_VALUE"""),"Score 29.5 ≥ 20 threshold")</f>
        <v>Score 29.5 ≥ 20 threshold</v>
      </c>
      <c r="M364" s="55" t="str">
        <f>IFERROR(__xludf.DUMMYFUNCTION("""COMPUTED_VALUE"""),"No Ad Data")</f>
        <v>No Ad Data</v>
      </c>
      <c r="N364" s="55"/>
      <c r="O364" s="55"/>
      <c r="P364" s="55">
        <f>IFERROR(__xludf.DUMMYFUNCTION("""COMPUTED_VALUE"""),312.0)</f>
        <v>312</v>
      </c>
      <c r="Q364" s="55">
        <f>IFERROR(__xludf.DUMMYFUNCTION("""COMPUTED_VALUE"""),23.0)</f>
        <v>23</v>
      </c>
      <c r="R364" s="55"/>
      <c r="S364" s="55"/>
      <c r="T364" s="55"/>
      <c r="U364" s="55"/>
      <c r="V364" s="55"/>
      <c r="W364" s="55">
        <f>IFERROR(__xludf.DUMMYFUNCTION("""COMPUTED_VALUE"""),117.58)</f>
        <v>117.58</v>
      </c>
      <c r="X364" s="55"/>
      <c r="Y364" s="55"/>
      <c r="Z364" s="55"/>
      <c r="AA364" s="55"/>
      <c r="AB364" s="55"/>
      <c r="AC364" s="55"/>
      <c r="AD364" s="55"/>
      <c r="AE364" s="55"/>
      <c r="AF364" s="55"/>
      <c r="AG364" s="55"/>
      <c r="AH364" s="55"/>
      <c r="AI364" s="55"/>
      <c r="AJ364" s="55"/>
      <c r="AK364" s="55"/>
      <c r="AL364" s="55"/>
      <c r="AM364" s="55"/>
      <c r="AN364" s="55" t="str">
        <f>IFERROR(__xludf.DUMMYFUNCTION("""COMPUTED_VALUE"""),"Q9jTBBYW4JY2Za1aoKpcEbkr0SEVwRQ5hoUm7Bnj-Cfxs9qDv-vKCiLc3HXggf_rGDM")</f>
        <v>Q9jTBBYW4JY2Za1aoKpcEbkr0SEVwRQ5hoUm7Bnj-Cfxs9qDv-vKCiLc3HXggf_rGDM</v>
      </c>
      <c r="AO364" s="55"/>
      <c r="AP364" s="55"/>
      <c r="AQ364" s="55"/>
      <c r="AR364" s="55"/>
      <c r="AS364" s="55"/>
      <c r="AT364" s="55"/>
      <c r="AU364" s="55"/>
      <c r="AV364" s="55"/>
      <c r="AW364" s="35"/>
      <c r="AX364" s="35"/>
      <c r="AY364" s="35"/>
      <c r="AZ364" s="35"/>
      <c r="BA364" s="35"/>
      <c r="BB364" s="35"/>
      <c r="BC364" s="35"/>
      <c r="BD364" s="35"/>
      <c r="BE364" s="35"/>
      <c r="BF364" s="35"/>
      <c r="BG364" s="35"/>
    </row>
    <row r="365" ht="15.75" customHeight="1">
      <c r="A365" s="55" t="str">
        <f>IFERROR(__xludf.DUMMYFUNCTION("""COMPUTED_VALUE"""),"Instagram")</f>
        <v>Instagram</v>
      </c>
      <c r="B365" s="56">
        <f>IFERROR(__xludf.DUMMYFUNCTION("""COMPUTED_VALUE"""),46216.0)</f>
        <v>46216</v>
      </c>
      <c r="C365" s="55" t="str">
        <f>IFERROR(__xludf.DUMMYFUNCTION("""COMPUTED_VALUE"""),"July")</f>
        <v>July</v>
      </c>
      <c r="D365" s="58" t="str">
        <f>IFERROR(__xludf.DUMMYFUNCTION("""COMPUTED_VALUE"""),"https://www.instagram.com/reels/Dau2PYeyojg/")</f>
        <v>https://www.instagram.com/reels/Dau2PYeyojg/</v>
      </c>
      <c r="E365" s="55"/>
      <c r="F365" s="55"/>
      <c r="G365" s="55" t="str">
        <f>IFERROR(__xludf.DUMMYFUNCTION("""COMPUTED_VALUE"""),"Taste")</f>
        <v>Taste</v>
      </c>
      <c r="H365" s="55"/>
      <c r="I365" s="55">
        <f>IFERROR(__xludf.DUMMYFUNCTION("""COMPUTED_VALUE"""),27.1)</f>
        <v>27.1</v>
      </c>
      <c r="J365" s="55" t="str">
        <f>IFERROR(__xludf.DUMMYFUNCTION("""COMPUTED_VALUE"""),"Yes – Recommend")</f>
        <v>Yes – Recommend</v>
      </c>
      <c r="K365" s="55" t="str">
        <f>IFERROR(__xludf.DUMMYFUNCTION("""COMPUTED_VALUE"""),"Review before running ads")</f>
        <v>Review before running ads</v>
      </c>
      <c r="L365" s="55" t="str">
        <f>IFERROR(__xludf.DUMMYFUNCTION("""COMPUTED_VALUE"""),"Score 27.1 ≥ 20 threshold")</f>
        <v>Score 27.1 ≥ 20 threshold</v>
      </c>
      <c r="M365" s="55" t="str">
        <f>IFERROR(__xludf.DUMMYFUNCTION("""COMPUTED_VALUE"""),"No Ad Data")</f>
        <v>No Ad Data</v>
      </c>
      <c r="N365" s="55"/>
      <c r="O365" s="55"/>
      <c r="P365" s="55">
        <f>IFERROR(__xludf.DUMMYFUNCTION("""COMPUTED_VALUE"""),225.0)</f>
        <v>225</v>
      </c>
      <c r="Q365" s="55">
        <f>IFERROR(__xludf.DUMMYFUNCTION("""COMPUTED_VALUE"""),10.0)</f>
        <v>10</v>
      </c>
      <c r="R365" s="55">
        <f>IFERROR(__xludf.DUMMYFUNCTION("""COMPUTED_VALUE"""),3.0)</f>
        <v>3</v>
      </c>
      <c r="S365" s="55"/>
      <c r="T365" s="55"/>
      <c r="U365" s="55"/>
      <c r="V365" s="55"/>
      <c r="W365" s="55">
        <f>IFERROR(__xludf.DUMMYFUNCTION("""COMPUTED_VALUE"""),117.58)</f>
        <v>117.58</v>
      </c>
      <c r="X365" s="55"/>
      <c r="Y365" s="55"/>
      <c r="Z365" s="55"/>
      <c r="AA365" s="55">
        <f>IFERROR(__xludf.DUMMYFUNCTION("""COMPUTED_VALUE"""),0.0)</f>
        <v>0</v>
      </c>
      <c r="AB365" s="55"/>
      <c r="AC365" s="55"/>
      <c r="AD365" s="55"/>
      <c r="AE365" s="55"/>
      <c r="AF365" s="55"/>
      <c r="AG365" s="55"/>
      <c r="AH365" s="55"/>
      <c r="AI365" s="55"/>
      <c r="AJ365" s="55"/>
      <c r="AK365" s="55"/>
      <c r="AL365" s="55"/>
      <c r="AM365" s="55" t="str">
        <f>IFERROR(__xludf.DUMMYFUNCTION("""COMPUTED_VALUE"""),"Q9jTBBbKKmxIK14jpBms9C-Ek9Z4j3CVD0OscBO0Mc57oA006UCSy-TPK0gE2Uhc7w")</f>
        <v>Q9jTBBbKKmxIK14jpBms9C-Ek9Z4j3CVD0OscBO0Mc57oA006UCSy-TPK0gE2Uhc7w</v>
      </c>
      <c r="AN365" s="55"/>
      <c r="AO365" s="55"/>
      <c r="AP365" s="55"/>
      <c r="AQ365" s="55"/>
      <c r="AR365" s="55"/>
      <c r="AS365" s="55"/>
      <c r="AT365" s="55"/>
      <c r="AU365" s="55"/>
      <c r="AV365" s="55"/>
      <c r="AW365" s="35"/>
      <c r="AX365" s="35"/>
      <c r="AY365" s="35"/>
      <c r="AZ365" s="35"/>
      <c r="BA365" s="35"/>
      <c r="BB365" s="35"/>
      <c r="BC365" s="35"/>
      <c r="BD365" s="35"/>
      <c r="BE365" s="35"/>
      <c r="BF365" s="35"/>
      <c r="BG365" s="35"/>
    </row>
    <row r="366" ht="15.75" customHeight="1">
      <c r="A366" s="55" t="str">
        <f>IFERROR(__xludf.DUMMYFUNCTION("""COMPUTED_VALUE"""),"Instagram")</f>
        <v>Instagram</v>
      </c>
      <c r="B366" s="56">
        <f>IFERROR(__xludf.DUMMYFUNCTION("""COMPUTED_VALUE"""),46212.0)</f>
        <v>46212</v>
      </c>
      <c r="C366" s="55" t="str">
        <f>IFERROR(__xludf.DUMMYFUNCTION("""COMPUTED_VALUE"""),"July")</f>
        <v>July</v>
      </c>
      <c r="D366" s="58" t="str">
        <f>IFERROR(__xludf.DUMMYFUNCTION("""COMPUTED_VALUE"""),"https://www.instagram.com/reels/DamFh5uMtQI/")</f>
        <v>https://www.instagram.com/reels/DamFh5uMtQI/</v>
      </c>
      <c r="E366" s="55" t="str">
        <f>IFERROR(__xludf.DUMMYFUNCTION("""COMPUTED_VALUE"""),"@na")</f>
        <v>@na</v>
      </c>
      <c r="F366" s="55"/>
      <c r="G366" s="55" t="str">
        <f>IFERROR(__xludf.DUMMYFUNCTION("""COMPUTED_VALUE"""),"Over 40/ High Performer")</f>
        <v>Over 40/ High Performer</v>
      </c>
      <c r="H366" s="55"/>
      <c r="I366" s="55">
        <f>IFERROR(__xludf.DUMMYFUNCTION("""COMPUTED_VALUE"""),25.0)</f>
        <v>25</v>
      </c>
      <c r="J366" s="55" t="str">
        <f>IFERROR(__xludf.DUMMYFUNCTION("""COMPUTED_VALUE"""),"Yes – Recommend")</f>
        <v>Yes – Recommend</v>
      </c>
      <c r="K366" s="55" t="str">
        <f>IFERROR(__xludf.DUMMYFUNCTION("""COMPUTED_VALUE"""),"Review before running ads")</f>
        <v>Review before running ads</v>
      </c>
      <c r="L366" s="55" t="str">
        <f>IFERROR(__xludf.DUMMYFUNCTION("""COMPUTED_VALUE"""),"Score 24.1 ≥ 20 threshold")</f>
        <v>Score 24.1 ≥ 20 threshold</v>
      </c>
      <c r="M366" s="55" t="str">
        <f>IFERROR(__xludf.DUMMYFUNCTION("""COMPUTED_VALUE"""),"No Ad Data")</f>
        <v>No Ad Data</v>
      </c>
      <c r="N366" s="55"/>
      <c r="O366" s="55"/>
      <c r="P366" s="55">
        <f>IFERROR(__xludf.DUMMYFUNCTION("""COMPUTED_VALUE"""),226.0)</f>
        <v>226</v>
      </c>
      <c r="Q366" s="55">
        <f>IFERROR(__xludf.DUMMYFUNCTION("""COMPUTED_VALUE"""),9.0)</f>
        <v>9</v>
      </c>
      <c r="R366" s="55">
        <f>IFERROR(__xludf.DUMMYFUNCTION("""COMPUTED_VALUE"""),1.0)</f>
        <v>1</v>
      </c>
      <c r="S366" s="55"/>
      <c r="T366" s="55"/>
      <c r="U366" s="55"/>
      <c r="V366" s="55"/>
      <c r="W366" s="55">
        <f>IFERROR(__xludf.DUMMYFUNCTION("""COMPUTED_VALUE"""),117.58)</f>
        <v>117.58</v>
      </c>
      <c r="X366" s="55"/>
      <c r="Y366" s="55"/>
      <c r="Z366" s="55"/>
      <c r="AA366" s="55"/>
      <c r="AB366" s="55"/>
      <c r="AC366" s="55"/>
      <c r="AD366" s="55"/>
      <c r="AE366" s="55"/>
      <c r="AF366" s="55"/>
      <c r="AG366" s="55"/>
      <c r="AH366" s="55"/>
      <c r="AI366" s="55"/>
      <c r="AJ366" s="55"/>
      <c r="AK366" s="55"/>
      <c r="AL366" s="55"/>
      <c r="AM366" s="55"/>
      <c r="AN366" s="55" t="str">
        <f>IFERROR(__xludf.DUMMYFUNCTION("""COMPUTED_VALUE"""),"Q9jTBBbTNH0ys4g1XKxAuoWja0zd6VJ4kK3tNCzv5x7SShWr5mabB0LRfzKjk5SPP4M")</f>
        <v>Q9jTBBbTNH0ys4g1XKxAuoWja0zd6VJ4kK3tNCzv5x7SShWr5mabB0LRfzKjk5SPP4M</v>
      </c>
      <c r="AO366" s="55"/>
      <c r="AP366" s="55"/>
      <c r="AQ366" s="55"/>
      <c r="AR366" s="55"/>
      <c r="AS366" s="55"/>
      <c r="AT366" s="55"/>
      <c r="AU366" s="55"/>
      <c r="AV366" s="55"/>
      <c r="AW366" s="35"/>
      <c r="AX366" s="35"/>
      <c r="AY366" s="35"/>
      <c r="AZ366" s="35"/>
      <c r="BA366" s="35"/>
      <c r="BB366" s="35"/>
      <c r="BC366" s="35"/>
      <c r="BD366" s="35"/>
      <c r="BE366" s="35"/>
      <c r="BF366" s="35"/>
      <c r="BG366" s="35"/>
    </row>
    <row r="367" ht="15.75" customHeight="1">
      <c r="A367" s="55" t="str">
        <f>IFERROR(__xludf.DUMMYFUNCTION("""COMPUTED_VALUE"""),"Instagram")</f>
        <v>Instagram</v>
      </c>
      <c r="B367" s="56">
        <f>IFERROR(__xludf.DUMMYFUNCTION("""COMPUTED_VALUE"""),46215.0)</f>
        <v>46215</v>
      </c>
      <c r="C367" s="55" t="str">
        <f>IFERROR(__xludf.DUMMYFUNCTION("""COMPUTED_VALUE"""),"July")</f>
        <v>July</v>
      </c>
      <c r="D367" s="58" t="str">
        <f>IFERROR(__xludf.DUMMYFUNCTION("""COMPUTED_VALUE"""),"https://www.instagram.com/reels/DaqbAPPvgeS/")</f>
        <v>https://www.instagram.com/reels/DaqbAPPvgeS/</v>
      </c>
      <c r="E367" s="55"/>
      <c r="F367" s="55"/>
      <c r="G367" s="55" t="str">
        <f>IFERROR(__xludf.DUMMYFUNCTION("""COMPUTED_VALUE"""),"Cortisol")</f>
        <v>Cortisol</v>
      </c>
      <c r="H367" s="55"/>
      <c r="I367" s="55">
        <f>IFERROR(__xludf.DUMMYFUNCTION("""COMPUTED_VALUE"""),23.5)</f>
        <v>23.5</v>
      </c>
      <c r="J367" s="55" t="str">
        <f>IFERROR(__xludf.DUMMYFUNCTION("""COMPUTED_VALUE"""),"Yes – Recommend")</f>
        <v>Yes – Recommend</v>
      </c>
      <c r="K367" s="55" t="str">
        <f>IFERROR(__xludf.DUMMYFUNCTION("""COMPUTED_VALUE"""),"Review before running ads")</f>
        <v>Review before running ads</v>
      </c>
      <c r="L367" s="55" t="str">
        <f>IFERROR(__xludf.DUMMYFUNCTION("""COMPUTED_VALUE"""),"Score 23.5 ≥ 20 threshold")</f>
        <v>Score 23.5 ≥ 20 threshold</v>
      </c>
      <c r="M367" s="55" t="str">
        <f>IFERROR(__xludf.DUMMYFUNCTION("""COMPUTED_VALUE"""),"No Ad Data")</f>
        <v>No Ad Data</v>
      </c>
      <c r="N367" s="55"/>
      <c r="O367" s="55"/>
      <c r="P367" s="55">
        <f>IFERROR(__xludf.DUMMYFUNCTION("""COMPUTED_VALUE"""),145.0)</f>
        <v>145</v>
      </c>
      <c r="Q367" s="55">
        <f>IFERROR(__xludf.DUMMYFUNCTION("""COMPUTED_VALUE"""),8.0)</f>
        <v>8</v>
      </c>
      <c r="R367" s="55">
        <f>IFERROR(__xludf.DUMMYFUNCTION("""COMPUTED_VALUE"""),1.0)</f>
        <v>1</v>
      </c>
      <c r="S367" s="55"/>
      <c r="T367" s="55"/>
      <c r="U367" s="55"/>
      <c r="V367" s="55"/>
      <c r="W367" s="55">
        <f>IFERROR(__xludf.DUMMYFUNCTION("""COMPUTED_VALUE"""),117.58)</f>
        <v>117.58</v>
      </c>
      <c r="X367" s="55"/>
      <c r="Y367" s="55"/>
      <c r="Z367" s="55"/>
      <c r="AA367" s="55">
        <f>IFERROR(__xludf.DUMMYFUNCTION("""COMPUTED_VALUE"""),0.0)</f>
        <v>0</v>
      </c>
      <c r="AB367" s="55"/>
      <c r="AC367" s="55"/>
      <c r="AD367" s="55"/>
      <c r="AE367" s="55"/>
      <c r="AF367" s="55"/>
      <c r="AG367" s="55"/>
      <c r="AH367" s="55"/>
      <c r="AI367" s="55"/>
      <c r="AJ367" s="55"/>
      <c r="AK367" s="55"/>
      <c r="AL367" s="55"/>
      <c r="AM367" s="55" t="str">
        <f>IFERROR(__xludf.DUMMYFUNCTION("""COMPUTED_VALUE"""),"Q9jTBBbUypbdNme-1jpo4KI3agZE7GQ_hNbNMxwlrouCXnZWU8UO5DAugw7-sn8Kzg")</f>
        <v>Q9jTBBbUypbdNme-1jpo4KI3agZE7GQ_hNbNMxwlrouCXnZWU8UO5DAugw7-sn8Kzg</v>
      </c>
      <c r="AN367" s="55"/>
      <c r="AO367" s="55"/>
      <c r="AP367" s="55"/>
      <c r="AQ367" s="55"/>
      <c r="AR367" s="55"/>
      <c r="AS367" s="55"/>
      <c r="AT367" s="55"/>
      <c r="AU367" s="55"/>
      <c r="AV367" s="55"/>
      <c r="AW367" s="35"/>
      <c r="AX367" s="35"/>
      <c r="AY367" s="35"/>
      <c r="AZ367" s="35"/>
      <c r="BA367" s="35"/>
      <c r="BB367" s="35"/>
      <c r="BC367" s="35"/>
      <c r="BD367" s="35"/>
      <c r="BE367" s="35"/>
      <c r="BF367" s="35"/>
      <c r="BG367" s="35"/>
    </row>
    <row r="368" ht="15.75" customHeight="1">
      <c r="A368" s="55" t="str">
        <f>IFERROR(__xludf.DUMMYFUNCTION("""COMPUTED_VALUE"""),"Instagram")</f>
        <v>Instagram</v>
      </c>
      <c r="B368" s="56">
        <f>IFERROR(__xludf.DUMMYFUNCTION("""COMPUTED_VALUE"""),46212.0)</f>
        <v>46212</v>
      </c>
      <c r="C368" s="55" t="str">
        <f>IFERROR(__xludf.DUMMYFUNCTION("""COMPUTED_VALUE"""),"July")</f>
        <v>July</v>
      </c>
      <c r="D368" s="58" t="str">
        <f>IFERROR(__xludf.DUMMYFUNCTION("""COMPUTED_VALUE"""),"https://www.instagram.com/reels/Daktttlv56y/")</f>
        <v>https://www.instagram.com/reels/Daktttlv56y/</v>
      </c>
      <c r="E368" s="55" t="str">
        <f>IFERROR(__xludf.DUMMYFUNCTION("""COMPUTED_VALUE"""),"@na")</f>
        <v>@na</v>
      </c>
      <c r="F368" s="55"/>
      <c r="G368" s="55" t="str">
        <f>IFERROR(__xludf.DUMMYFUNCTION("""COMPUTED_VALUE"""),"Over 40/ High Performer")</f>
        <v>Over 40/ High Performer</v>
      </c>
      <c r="H368" s="55"/>
      <c r="I368" s="55">
        <f>IFERROR(__xludf.DUMMYFUNCTION("""COMPUTED_VALUE"""),22.2)</f>
        <v>22.2</v>
      </c>
      <c r="J368" s="55" t="str">
        <f>IFERROR(__xludf.DUMMYFUNCTION("""COMPUTED_VALUE"""),"Yes – Recommend")</f>
        <v>Yes – Recommend</v>
      </c>
      <c r="K368" s="55" t="str">
        <f>IFERROR(__xludf.DUMMYFUNCTION("""COMPUTED_VALUE"""),"Review before running ads")</f>
        <v>Review before running ads</v>
      </c>
      <c r="L368" s="55" t="str">
        <f>IFERROR(__xludf.DUMMYFUNCTION("""COMPUTED_VALUE"""),"Score 20.3 ≥ 20 threshold")</f>
        <v>Score 20.3 ≥ 20 threshold</v>
      </c>
      <c r="M368" s="55" t="str">
        <f>IFERROR(__xludf.DUMMYFUNCTION("""COMPUTED_VALUE"""),"No Ad Data")</f>
        <v>No Ad Data</v>
      </c>
      <c r="N368" s="55"/>
      <c r="O368" s="55"/>
      <c r="P368" s="55">
        <f>IFERROR(__xludf.DUMMYFUNCTION("""COMPUTED_VALUE"""),433.0)</f>
        <v>433</v>
      </c>
      <c r="Q368" s="55"/>
      <c r="R368" s="55">
        <f>IFERROR(__xludf.DUMMYFUNCTION("""COMPUTED_VALUE"""),19.0)</f>
        <v>19</v>
      </c>
      <c r="S368" s="55"/>
      <c r="T368" s="55"/>
      <c r="U368" s="55"/>
      <c r="V368" s="55"/>
      <c r="W368" s="55">
        <f>IFERROR(__xludf.DUMMYFUNCTION("""COMPUTED_VALUE"""),117.58)</f>
        <v>117.58</v>
      </c>
      <c r="X368" s="55"/>
      <c r="Y368" s="55"/>
      <c r="Z368" s="55"/>
      <c r="AA368" s="55"/>
      <c r="AB368" s="55"/>
      <c r="AC368" s="55"/>
      <c r="AD368" s="55"/>
      <c r="AE368" s="55"/>
      <c r="AF368" s="55"/>
      <c r="AG368" s="55"/>
      <c r="AH368" s="55"/>
      <c r="AI368" s="55"/>
      <c r="AJ368" s="55"/>
      <c r="AK368" s="55"/>
      <c r="AL368" s="55"/>
      <c r="AM368" s="55"/>
      <c r="AN368" s="55" t="str">
        <f>IFERROR(__xludf.DUMMYFUNCTION("""COMPUTED_VALUE"""),"Q9jTBBaKGKGcaDFUsb1eTRZkEuiXlH1gQpNk5tMq2xd3Q8JSHlD1cvwP8PeoMaVSFQ")</f>
        <v>Q9jTBBaKGKGcaDFUsb1eTRZkEuiXlH1gQpNk5tMq2xd3Q8JSHlD1cvwP8PeoMaVSFQ</v>
      </c>
      <c r="AO368" s="55"/>
      <c r="AP368" s="55"/>
      <c r="AQ368" s="55"/>
      <c r="AR368" s="55"/>
      <c r="AS368" s="55"/>
      <c r="AT368" s="55"/>
      <c r="AU368" s="55"/>
      <c r="AV368" s="55"/>
      <c r="AW368" s="35"/>
      <c r="AX368" s="35"/>
      <c r="AY368" s="35"/>
      <c r="AZ368" s="35"/>
      <c r="BA368" s="35"/>
      <c r="BB368" s="35"/>
      <c r="BC368" s="35"/>
      <c r="BD368" s="35"/>
      <c r="BE368" s="35"/>
      <c r="BF368" s="35"/>
      <c r="BG368" s="35"/>
    </row>
    <row r="369" ht="15.75" customHeight="1">
      <c r="A369" s="55" t="str">
        <f>IFERROR(__xludf.DUMMYFUNCTION("""COMPUTED_VALUE"""),"Instagram")</f>
        <v>Instagram</v>
      </c>
      <c r="B369" s="56">
        <f>IFERROR(__xludf.DUMMYFUNCTION("""COMPUTED_VALUE"""),46212.0)</f>
        <v>46212</v>
      </c>
      <c r="C369" s="55" t="str">
        <f>IFERROR(__xludf.DUMMYFUNCTION("""COMPUTED_VALUE"""),"July")</f>
        <v>July</v>
      </c>
      <c r="D369" s="58" t="str">
        <f>IFERROR(__xludf.DUMMYFUNCTION("""COMPUTED_VALUE"""),"https://www.instagram.com/reels/Dak1NHOtvzc/")</f>
        <v>https://www.instagram.com/reels/Dak1NHOtvzc/</v>
      </c>
      <c r="E369" s="55" t="str">
        <f>IFERROR(__xludf.DUMMYFUNCTION("""COMPUTED_VALUE"""),"malkomes1")</f>
        <v>malkomes1</v>
      </c>
      <c r="F369" s="55"/>
      <c r="G369" s="55" t="str">
        <f>IFERROR(__xludf.DUMMYFUNCTION("""COMPUTED_VALUE"""),"Taste")</f>
        <v>Taste</v>
      </c>
      <c r="H369" s="55"/>
      <c r="I369" s="55">
        <f>IFERROR(__xludf.DUMMYFUNCTION("""COMPUTED_VALUE"""),50.1)</f>
        <v>50.1</v>
      </c>
      <c r="J369" s="55" t="str">
        <f>IFERROR(__xludf.DUMMYFUNCTION("""COMPUTED_VALUE"""),"Yes – Recommend")</f>
        <v>Yes – Recommend</v>
      </c>
      <c r="K369" s="55" t="str">
        <f>IFERROR(__xludf.DUMMYFUNCTION("""COMPUTED_VALUE"""),"Yes")</f>
        <v>Yes</v>
      </c>
      <c r="L369" s="55" t="str">
        <f>IFERROR(__xludf.DUMMYFUNCTION("""COMPUTED_VALUE"""),"Score 52.5 ≥ 20 threshold")</f>
        <v>Score 52.5 ≥ 20 threshold</v>
      </c>
      <c r="M369" s="55" t="str">
        <f>IFERROR(__xludf.DUMMYFUNCTION("""COMPUTED_VALUE"""),"No Ad Data")</f>
        <v>No Ad Data</v>
      </c>
      <c r="N369" s="55" t="str">
        <f>IFERROR(__xludf.DUMMYFUNCTION("""COMPUTED_VALUE"""),"18UGC-Taste-CTA-malkomes1")</f>
        <v>18UGC-Taste-CTA-malkomes1</v>
      </c>
      <c r="O369" s="58" t="str">
        <f>IFERROR(__xludf.DUMMYFUNCTION("""COMPUTED_VALUE"""),"https://buy.vahdam.com/coffee-cta-ugc-taste")</f>
        <v>https://buy.vahdam.com/coffee-cta-ugc-taste</v>
      </c>
      <c r="P369" s="55">
        <f>IFERROR(__xludf.DUMMYFUNCTION("""COMPUTED_VALUE"""),546.0)</f>
        <v>546</v>
      </c>
      <c r="Q369" s="55">
        <f>IFERROR(__xludf.DUMMYFUNCTION("""COMPUTED_VALUE"""),31.0)</f>
        <v>31</v>
      </c>
      <c r="R369" s="55">
        <f>IFERROR(__xludf.DUMMYFUNCTION("""COMPUTED_VALUE"""),17.0)</f>
        <v>17</v>
      </c>
      <c r="S369" s="55"/>
      <c r="T369" s="55"/>
      <c r="U369" s="55"/>
      <c r="V369" s="55"/>
      <c r="W369" s="55">
        <f>IFERROR(__xludf.DUMMYFUNCTION("""COMPUTED_VALUE"""),117.58)</f>
        <v>117.58</v>
      </c>
      <c r="X369" s="55"/>
      <c r="Y369" s="55"/>
      <c r="Z369" s="55"/>
      <c r="AA369" s="55"/>
      <c r="AB369" s="55"/>
      <c r="AC369" s="55"/>
      <c r="AD369" s="55"/>
      <c r="AE369" s="55"/>
      <c r="AF369" s="55"/>
      <c r="AG369" s="55"/>
      <c r="AH369" s="55"/>
      <c r="AI369" s="55"/>
      <c r="AJ369" s="55"/>
      <c r="AK369" s="55"/>
      <c r="AL369" s="55"/>
      <c r="AM369" s="55" t="str">
        <f>IFERROR(__xludf.DUMMYFUNCTION("""COMPUTED_VALUE"""),"Q9jTBBbp9Sc7cEX3Iw1GJ_MzA00jhZF1LN9y-Sg8-JQeKBZN45hVM2DAbkHdfuQ9")</f>
        <v>Q9jTBBbp9Sc7cEX3Iw1GJ_MzA00jhZF1LN9y-Sg8-JQeKBZN45hVM2DAbkHdfuQ9</v>
      </c>
      <c r="AN369" s="55"/>
      <c r="AO369" s="55"/>
      <c r="AP369" s="55"/>
      <c r="AQ369" s="55"/>
      <c r="AR369" s="55"/>
      <c r="AS369" s="55"/>
      <c r="AT369" s="55"/>
      <c r="AU369" s="55"/>
      <c r="AV369" s="55"/>
      <c r="AW369" s="35"/>
      <c r="AX369" s="35"/>
      <c r="AY369" s="35"/>
      <c r="AZ369" s="35"/>
      <c r="BA369" s="35"/>
      <c r="BB369" s="35"/>
      <c r="BC369" s="35"/>
      <c r="BD369" s="35"/>
      <c r="BE369" s="35"/>
      <c r="BF369" s="35"/>
      <c r="BG369" s="35"/>
    </row>
    <row r="370" ht="15.75" customHeight="1">
      <c r="A370" s="55" t="str">
        <f>IFERROR(__xludf.DUMMYFUNCTION("""COMPUTED_VALUE"""),"Instagram")</f>
        <v>Instagram</v>
      </c>
      <c r="B370" s="56">
        <f>IFERROR(__xludf.DUMMYFUNCTION("""COMPUTED_VALUE"""),46217.0)</f>
        <v>46217</v>
      </c>
      <c r="C370" s="55" t="str">
        <f>IFERROR(__xludf.DUMMYFUNCTION("""COMPUTED_VALUE"""),"July")</f>
        <v>July</v>
      </c>
      <c r="D370" s="58" t="str">
        <f>IFERROR(__xludf.DUMMYFUNCTION("""COMPUTED_VALUE"""),"https://www.instagram.com/reels/DavwffzJczz/")</f>
        <v>https://www.instagram.com/reels/DavwffzJczz/</v>
      </c>
      <c r="E370" s="55" t="str">
        <f>IFERROR(__xludf.DUMMYFUNCTION("""COMPUTED_VALUE"""),"ana_vm_")</f>
        <v>ana_vm_</v>
      </c>
      <c r="F370" s="55"/>
      <c r="G370" s="55" t="str">
        <f>IFERROR(__xludf.DUMMYFUNCTION("""COMPUTED_VALUE"""),"Taste")</f>
        <v>Taste</v>
      </c>
      <c r="H370" s="55"/>
      <c r="I370" s="55">
        <f>IFERROR(__xludf.DUMMYFUNCTION("""COMPUTED_VALUE"""),58.3)</f>
        <v>58.3</v>
      </c>
      <c r="J370" s="55" t="str">
        <f>IFERROR(__xludf.DUMMYFUNCTION("""COMPUTED_VALUE"""),"Yes – Recommend")</f>
        <v>Yes – Recommend</v>
      </c>
      <c r="K370" s="55" t="str">
        <f>IFERROR(__xludf.DUMMYFUNCTION("""COMPUTED_VALUE"""),"Yes")</f>
        <v>Yes</v>
      </c>
      <c r="L370" s="55" t="str">
        <f>IFERROR(__xludf.DUMMYFUNCTION("""COMPUTED_VALUE"""),"Score 58.3 ≥ 20 threshold")</f>
        <v>Score 58.3 ≥ 20 threshold</v>
      </c>
      <c r="M370" s="55" t="str">
        <f>IFERROR(__xludf.DUMMYFUNCTION("""COMPUTED_VALUE"""),"No Ad Data")</f>
        <v>No Ad Data</v>
      </c>
      <c r="N370" s="55" t="str">
        <f>IFERROR(__xludf.DUMMYFUNCTION("""COMPUTED_VALUE"""),"19UGC-Taste-CTA-ana_vm_")</f>
        <v>19UGC-Taste-CTA-ana_vm_</v>
      </c>
      <c r="O370" s="58" t="str">
        <f>IFERROR(__xludf.DUMMYFUNCTION("""COMPUTED_VALUE"""),"https://buy.vahdam.com/coffee-cta-ugc-taste")</f>
        <v>https://buy.vahdam.com/coffee-cta-ugc-taste</v>
      </c>
      <c r="P370" s="55">
        <f>IFERROR(__xludf.DUMMYFUNCTION("""COMPUTED_VALUE"""),544.0)</f>
        <v>544</v>
      </c>
      <c r="Q370" s="55">
        <f>IFERROR(__xludf.DUMMYFUNCTION("""COMPUTED_VALUE"""),52.0)</f>
        <v>52</v>
      </c>
      <c r="R370" s="55">
        <f>IFERROR(__xludf.DUMMYFUNCTION("""COMPUTED_VALUE"""),90.0)</f>
        <v>90</v>
      </c>
      <c r="S370" s="55"/>
      <c r="T370" s="55"/>
      <c r="U370" s="55"/>
      <c r="V370" s="55"/>
      <c r="W370" s="55">
        <f>IFERROR(__xludf.DUMMYFUNCTION("""COMPUTED_VALUE"""),117.58)</f>
        <v>117.58</v>
      </c>
      <c r="X370" s="55"/>
      <c r="Y370" s="55"/>
      <c r="Z370" s="55"/>
      <c r="AA370" s="55">
        <f>IFERROR(__xludf.DUMMYFUNCTION("""COMPUTED_VALUE"""),0.0)</f>
        <v>0</v>
      </c>
      <c r="AB370" s="55"/>
      <c r="AC370" s="55"/>
      <c r="AD370" s="55"/>
      <c r="AE370" s="55"/>
      <c r="AF370" s="55"/>
      <c r="AG370" s="55"/>
      <c r="AH370" s="55"/>
      <c r="AI370" s="55"/>
      <c r="AJ370" s="55"/>
      <c r="AK370" s="55"/>
      <c r="AL370" s="55"/>
      <c r="AM370" s="55" t="str">
        <f>IFERROR(__xludf.DUMMYFUNCTION("""COMPUTED_VALUE"""),"Q9jTBBZYbmBDcM75hKniuL0o6Jmaxbg2Oq0jmUrW12H3qehvldaUokylfvGdn68UmYo")</f>
        <v>Q9jTBBZYbmBDcM75hKniuL0o6Jmaxbg2Oq0jmUrW12H3qehvldaUokylfvGdn68UmYo</v>
      </c>
      <c r="AN370" s="55"/>
      <c r="AO370" s="55"/>
      <c r="AP370" s="55"/>
      <c r="AQ370" s="55"/>
      <c r="AR370" s="55"/>
      <c r="AS370" s="55"/>
      <c r="AT370" s="55"/>
      <c r="AU370" s="55"/>
      <c r="AV370" s="55"/>
      <c r="AW370" s="35"/>
      <c r="AX370" s="35"/>
      <c r="AY370" s="35"/>
      <c r="AZ370" s="35"/>
      <c r="BA370" s="35"/>
      <c r="BB370" s="35"/>
      <c r="BC370" s="35"/>
      <c r="BD370" s="35"/>
      <c r="BE370" s="35"/>
      <c r="BF370" s="35"/>
      <c r="BG370" s="35"/>
    </row>
    <row r="371" ht="15.75" customHeight="1">
      <c r="A371" s="55" t="str">
        <f>IFERROR(__xludf.DUMMYFUNCTION("""COMPUTED_VALUE"""),"Instagram")</f>
        <v>Instagram</v>
      </c>
      <c r="B371" s="56">
        <f>IFERROR(__xludf.DUMMYFUNCTION("""COMPUTED_VALUE"""),46215.0)</f>
        <v>46215</v>
      </c>
      <c r="C371" s="55" t="str">
        <f>IFERROR(__xludf.DUMMYFUNCTION("""COMPUTED_VALUE"""),"July")</f>
        <v>July</v>
      </c>
      <c r="D371" s="58" t="str">
        <f>IFERROR(__xludf.DUMMYFUNCTION("""COMPUTED_VALUE"""),"https://www.instagram.com/reels/DaoYE_Hx9vX/")</f>
        <v>https://www.instagram.com/reels/DaoYE_Hx9vX/</v>
      </c>
      <c r="E371" s="55" t="str">
        <f>IFERROR(__xludf.DUMMYFUNCTION("""COMPUTED_VALUE"""),"megan_kathleen_90")</f>
        <v>megan_kathleen_90</v>
      </c>
      <c r="F371" s="55"/>
      <c r="G371" s="55" t="str">
        <f>IFERROR(__xludf.DUMMYFUNCTION("""COMPUTED_VALUE"""),"Taste")</f>
        <v>Taste</v>
      </c>
      <c r="H371" s="55"/>
      <c r="I371" s="55">
        <f>IFERROR(__xludf.DUMMYFUNCTION("""COMPUTED_VALUE"""),44.0)</f>
        <v>44</v>
      </c>
      <c r="J371" s="55" t="str">
        <f>IFERROR(__xludf.DUMMYFUNCTION("""COMPUTED_VALUE"""),"Yes – Recommend")</f>
        <v>Yes – Recommend</v>
      </c>
      <c r="K371" s="55" t="str">
        <f>IFERROR(__xludf.DUMMYFUNCTION("""COMPUTED_VALUE"""),"Yes")</f>
        <v>Yes</v>
      </c>
      <c r="L371" s="55" t="str">
        <f>IFERROR(__xludf.DUMMYFUNCTION("""COMPUTED_VALUE"""),"Score 44.0 ≥ 20 threshold")</f>
        <v>Score 44.0 ≥ 20 threshold</v>
      </c>
      <c r="M371" s="55" t="str">
        <f>IFERROR(__xludf.DUMMYFUNCTION("""COMPUTED_VALUE"""),"No Ad Data")</f>
        <v>No Ad Data</v>
      </c>
      <c r="N371" s="55" t="str">
        <f>IFERROR(__xludf.DUMMYFUNCTION("""COMPUTED_VALUE"""),"20UGC-Taste-CTA-megan_kathleen_90")</f>
        <v>20UGC-Taste-CTA-megan_kathleen_90</v>
      </c>
      <c r="O371" s="58" t="str">
        <f>IFERROR(__xludf.DUMMYFUNCTION("""COMPUTED_VALUE"""),"https://buy.vahdam.com/coffee-cta-ugc-taste")</f>
        <v>https://buy.vahdam.com/coffee-cta-ugc-taste</v>
      </c>
      <c r="P371" s="55">
        <f>IFERROR(__xludf.DUMMYFUNCTION("""COMPUTED_VALUE"""),411.0)</f>
        <v>411</v>
      </c>
      <c r="Q371" s="55">
        <f>IFERROR(__xludf.DUMMYFUNCTION("""COMPUTED_VALUE"""),84.0)</f>
        <v>84</v>
      </c>
      <c r="R371" s="55">
        <f>IFERROR(__xludf.DUMMYFUNCTION("""COMPUTED_VALUE"""),57.0)</f>
        <v>57</v>
      </c>
      <c r="S371" s="55"/>
      <c r="T371" s="55"/>
      <c r="U371" s="55"/>
      <c r="V371" s="55"/>
      <c r="W371" s="55">
        <f>IFERROR(__xludf.DUMMYFUNCTION("""COMPUTED_VALUE"""),117.58)</f>
        <v>117.58</v>
      </c>
      <c r="X371" s="55"/>
      <c r="Y371" s="55"/>
      <c r="Z371" s="55"/>
      <c r="AA371" s="55">
        <f>IFERROR(__xludf.DUMMYFUNCTION("""COMPUTED_VALUE"""),0.0)</f>
        <v>0</v>
      </c>
      <c r="AB371" s="55"/>
      <c r="AC371" s="55"/>
      <c r="AD371" s="55"/>
      <c r="AE371" s="55"/>
      <c r="AF371" s="55"/>
      <c r="AG371" s="55"/>
      <c r="AH371" s="55"/>
      <c r="AI371" s="55"/>
      <c r="AJ371" s="55"/>
      <c r="AK371" s="55"/>
      <c r="AL371" s="55"/>
      <c r="AM371" s="55" t="str">
        <f>IFERROR(__xludf.DUMMYFUNCTION("""COMPUTED_VALUE"""),"Q9jTBBbsKP7NpnsrRdV7Llqgei6rE0fnx_9Usn6NKNZHsKgjv7wfsdy1fWQbY0q8xWA")</f>
        <v>Q9jTBBbsKP7NpnsrRdV7Llqgei6rE0fnx_9Usn6NKNZHsKgjv7wfsdy1fWQbY0q8xWA</v>
      </c>
      <c r="AN371" s="55"/>
      <c r="AO371" s="55"/>
      <c r="AP371" s="55"/>
      <c r="AQ371" s="55"/>
      <c r="AR371" s="55"/>
      <c r="AS371" s="55"/>
      <c r="AT371" s="55"/>
      <c r="AU371" s="55"/>
      <c r="AV371" s="55"/>
      <c r="AW371" s="35"/>
      <c r="AX371" s="35"/>
      <c r="AY371" s="35"/>
      <c r="AZ371" s="35"/>
      <c r="BA371" s="35"/>
      <c r="BB371" s="35"/>
      <c r="BC371" s="35"/>
      <c r="BD371" s="35"/>
      <c r="BE371" s="35"/>
      <c r="BF371" s="35"/>
      <c r="BG371" s="35"/>
    </row>
    <row r="372" ht="15.75" customHeight="1">
      <c r="A372" s="55" t="str">
        <f>IFERROR(__xludf.DUMMYFUNCTION("""COMPUTED_VALUE"""),"Instagram")</f>
        <v>Instagram</v>
      </c>
      <c r="B372" s="56">
        <f>IFERROR(__xludf.DUMMYFUNCTION("""COMPUTED_VALUE"""),46216.0)</f>
        <v>46216</v>
      </c>
      <c r="C372" s="55" t="str">
        <f>IFERROR(__xludf.DUMMYFUNCTION("""COMPUTED_VALUE"""),"July")</f>
        <v>July</v>
      </c>
      <c r="D372" s="58" t="str">
        <f>IFERROR(__xludf.DUMMYFUNCTION("""COMPUTED_VALUE"""),"https://www.instagram.com/reels/Davcw6KRhqQ/")</f>
        <v>https://www.instagram.com/reels/Davcw6KRhqQ/</v>
      </c>
      <c r="E372" s="55" t="str">
        <f>IFERROR(__xludf.DUMMYFUNCTION("""COMPUTED_VALUE"""),"lorrainealbernazugc")</f>
        <v>lorrainealbernazugc</v>
      </c>
      <c r="F372" s="55"/>
      <c r="G372" s="55" t="str">
        <f>IFERROR(__xludf.DUMMYFUNCTION("""COMPUTED_VALUE"""),"Gummies vs Coffee")</f>
        <v>Gummies vs Coffee</v>
      </c>
      <c r="H372" s="55"/>
      <c r="I372" s="55">
        <f>IFERROR(__xludf.DUMMYFUNCTION("""COMPUTED_VALUE"""),70.1)</f>
        <v>70.1</v>
      </c>
      <c r="J372" s="55" t="str">
        <f>IFERROR(__xludf.DUMMYFUNCTION("""COMPUTED_VALUE"""),"Yes – Recommend")</f>
        <v>Yes – Recommend</v>
      </c>
      <c r="K372" s="55" t="str">
        <f>IFERROR(__xludf.DUMMYFUNCTION("""COMPUTED_VALUE"""),"Yes")</f>
        <v>Yes</v>
      </c>
      <c r="L372" s="55" t="str">
        <f>IFERROR(__xludf.DUMMYFUNCTION("""COMPUTED_VALUE"""),"Score 70.1 ≥ 20 threshold")</f>
        <v>Score 70.1 ≥ 20 threshold</v>
      </c>
      <c r="M372" s="55" t="str">
        <f>IFERROR(__xludf.DUMMYFUNCTION("""COMPUTED_VALUE"""),"No Ad Data")</f>
        <v>No Ad Data</v>
      </c>
      <c r="N372" s="55" t="str">
        <f>IFERROR(__xludf.DUMMYFUNCTION("""COMPUTED_VALUE"""),"21UGC-Gummies-CTA-orrainealbernazugc")</f>
        <v>21UGC-Gummies-CTA-orrainealbernazugc</v>
      </c>
      <c r="O372" s="77" t="str">
        <f>IFERROR(__xludf.DUMMYFUNCTION("""COMPUTED_VALUE"""),"https://buy.vahdam.com/coffee-cta-ugc-gummies")</f>
        <v>https://buy.vahdam.com/coffee-cta-ugc-gummies</v>
      </c>
      <c r="P372" s="55">
        <f>IFERROR(__xludf.DUMMYFUNCTION("""COMPUTED_VALUE"""),3100.0)</f>
        <v>3100</v>
      </c>
      <c r="Q372" s="55">
        <f>IFERROR(__xludf.DUMMYFUNCTION("""COMPUTED_VALUE"""),416.0)</f>
        <v>416</v>
      </c>
      <c r="R372" s="55">
        <f>IFERROR(__xludf.DUMMYFUNCTION("""COMPUTED_VALUE"""),14.0)</f>
        <v>14</v>
      </c>
      <c r="S372" s="55"/>
      <c r="T372" s="55"/>
      <c r="U372" s="55"/>
      <c r="V372" s="55"/>
      <c r="W372" s="55">
        <f>IFERROR(__xludf.DUMMYFUNCTION("""COMPUTED_VALUE"""),67.58)</f>
        <v>67.58</v>
      </c>
      <c r="X372" s="55"/>
      <c r="Y372" s="55"/>
      <c r="Z372" s="55"/>
      <c r="AA372" s="55">
        <f>IFERROR(__xludf.DUMMYFUNCTION("""COMPUTED_VALUE"""),0.0)</f>
        <v>0</v>
      </c>
      <c r="AB372" s="55"/>
      <c r="AC372" s="55"/>
      <c r="AD372" s="55"/>
      <c r="AE372" s="55"/>
      <c r="AF372" s="55"/>
      <c r="AG372" s="55"/>
      <c r="AH372" s="55"/>
      <c r="AI372" s="55"/>
      <c r="AJ372" s="55"/>
      <c r="AK372" s="55"/>
      <c r="AL372" s="55"/>
      <c r="AM372" s="55" t="str">
        <f>IFERROR(__xludf.DUMMYFUNCTION("""COMPUTED_VALUE"""),"Q9jTBBb-8NKwuR989vqKKaU2LtcpB37qgz7pttXXtWh-pdDljc3UrFRg02D5rOkbVGU")</f>
        <v>Q9jTBBb-8NKwuR989vqKKaU2LtcpB37qgz7pttXXtWh-pdDljc3UrFRg02D5rOkbVGU</v>
      </c>
      <c r="AN372" s="55"/>
      <c r="AO372" s="55"/>
      <c r="AP372" s="55"/>
      <c r="AQ372" s="55"/>
      <c r="AR372" s="55"/>
      <c r="AS372" s="55"/>
      <c r="AT372" s="55"/>
      <c r="AU372" s="55"/>
      <c r="AV372" s="55"/>
      <c r="AW372" s="35"/>
      <c r="AX372" s="35"/>
      <c r="AY372" s="35"/>
      <c r="AZ372" s="35"/>
      <c r="BA372" s="35"/>
      <c r="BB372" s="35"/>
      <c r="BC372" s="35"/>
      <c r="BD372" s="35"/>
      <c r="BE372" s="35"/>
      <c r="BF372" s="35"/>
      <c r="BG372" s="35"/>
    </row>
    <row r="373" ht="15.75" customHeight="1">
      <c r="A373" s="55" t="str">
        <f>IFERROR(__xludf.DUMMYFUNCTION("""COMPUTED_VALUE"""),"Instagram")</f>
        <v>Instagram</v>
      </c>
      <c r="B373" s="56">
        <f>IFERROR(__xludf.DUMMYFUNCTION("""COMPUTED_VALUE"""),46204.0)</f>
        <v>46204</v>
      </c>
      <c r="C373" s="55" t="str">
        <f>IFERROR(__xludf.DUMMYFUNCTION("""COMPUTED_VALUE"""),"July")</f>
        <v>July</v>
      </c>
      <c r="D373" s="58" t="str">
        <f>IFERROR(__xludf.DUMMYFUNCTION("""COMPUTED_VALUE"""),"https://www.instagram.com/reel/DaXuOPZgGEU/")</f>
        <v>https://www.instagram.com/reel/DaXuOPZgGEU/</v>
      </c>
      <c r="E373" s="55" t="str">
        <f>IFERROR(__xludf.DUMMYFUNCTION("""COMPUTED_VALUE"""),"teesmithforgood")</f>
        <v>teesmithforgood</v>
      </c>
      <c r="F373" s="55"/>
      <c r="G373" s="55" t="str">
        <f>IFERROR(__xludf.DUMMYFUNCTION("""COMPUTED_VALUE"""),"Gummies vs Coffee")</f>
        <v>Gummies vs Coffee</v>
      </c>
      <c r="H373" s="55"/>
      <c r="I373" s="55">
        <f>IFERROR(__xludf.DUMMYFUNCTION("""COMPUTED_VALUE"""),49.2)</f>
        <v>49.2</v>
      </c>
      <c r="J373" s="55" t="str">
        <f>IFERROR(__xludf.DUMMYFUNCTION("""COMPUTED_VALUE"""),"Yes – Recommend")</f>
        <v>Yes – Recommend</v>
      </c>
      <c r="K373" s="55" t="str">
        <f>IFERROR(__xludf.DUMMYFUNCTION("""COMPUTED_VALUE"""),"Yes")</f>
        <v>Yes</v>
      </c>
      <c r="L373" s="55" t="str">
        <f>IFERROR(__xludf.DUMMYFUNCTION("""COMPUTED_VALUE"""),"Score 52.4 ≥ 20 threshold")</f>
        <v>Score 52.4 ≥ 20 threshold</v>
      </c>
      <c r="M373" s="55" t="str">
        <f>IFERROR(__xludf.DUMMYFUNCTION("""COMPUTED_VALUE"""),"No Ad Data")</f>
        <v>No Ad Data</v>
      </c>
      <c r="N373" s="55" t="str">
        <f>IFERROR(__xludf.DUMMYFUNCTION("""COMPUTED_VALUE"""),"22UGC-Gummies-CTA-teesmithforgood")</f>
        <v>22UGC-Gummies-CTA-teesmithforgood</v>
      </c>
      <c r="O373" s="77" t="str">
        <f>IFERROR(__xludf.DUMMYFUNCTION("""COMPUTED_VALUE"""),"https://buy.vahdam.com/coffee-cta-ugc-gummies")</f>
        <v>https://buy.vahdam.com/coffee-cta-ugc-gummies</v>
      </c>
      <c r="P373" s="55">
        <f>IFERROR(__xludf.DUMMYFUNCTION("""COMPUTED_VALUE"""),859.0)</f>
        <v>859</v>
      </c>
      <c r="Q373" s="55">
        <f>IFERROR(__xludf.DUMMYFUNCTION("""COMPUTED_VALUE"""),106.0)</f>
        <v>106</v>
      </c>
      <c r="R373" s="55"/>
      <c r="S373" s="55"/>
      <c r="T373" s="55"/>
      <c r="U373" s="55"/>
      <c r="V373" s="55"/>
      <c r="W373" s="55">
        <f>IFERROR(__xludf.DUMMYFUNCTION("""COMPUTED_VALUE"""),72.99)</f>
        <v>72.99</v>
      </c>
      <c r="X373" s="55"/>
      <c r="Y373" s="55"/>
      <c r="Z373" s="55"/>
      <c r="AA373" s="55"/>
      <c r="AB373" s="55"/>
      <c r="AC373" s="55"/>
      <c r="AD373" s="55"/>
      <c r="AE373" s="55"/>
      <c r="AF373" s="55"/>
      <c r="AG373" s="55"/>
      <c r="AH373" s="55"/>
      <c r="AI373" s="55"/>
      <c r="AJ373" s="55"/>
      <c r="AK373" s="55"/>
      <c r="AL373" s="55"/>
      <c r="AM373" s="55" t="str">
        <f>IFERROR(__xludf.DUMMYFUNCTION("""COMPUTED_VALUE"""),"Q9jTBBWo_YkWyOYEWESKyjCQbcVaDnKKT-Re9AjC1FkVugMNmhmpgBS2zw1r-ZFblg")</f>
        <v>Q9jTBBWo_YkWyOYEWESKyjCQbcVaDnKKT-Re9AjC1FkVugMNmhmpgBS2zw1r-ZFblg</v>
      </c>
      <c r="AN373" s="55"/>
      <c r="AO373" s="55"/>
      <c r="AP373" s="55"/>
      <c r="AQ373" s="55"/>
      <c r="AR373" s="55"/>
      <c r="AS373" s="55"/>
      <c r="AT373" s="55"/>
      <c r="AU373" s="55"/>
      <c r="AV373" s="55"/>
      <c r="AW373" s="35"/>
      <c r="AX373" s="35"/>
      <c r="AY373" s="35"/>
      <c r="AZ373" s="35"/>
      <c r="BA373" s="35"/>
      <c r="BB373" s="35"/>
      <c r="BC373" s="35"/>
      <c r="BD373" s="35"/>
      <c r="BE373" s="35"/>
      <c r="BF373" s="35"/>
      <c r="BG373" s="35"/>
    </row>
    <row r="374" ht="15.75" customHeight="1">
      <c r="A374" s="55" t="str">
        <f>IFERROR(__xludf.DUMMYFUNCTION("""COMPUTED_VALUE"""),"Instagram")</f>
        <v>Instagram</v>
      </c>
      <c r="B374" s="56">
        <f>IFERROR(__xludf.DUMMYFUNCTION("""COMPUTED_VALUE"""),46206.0)</f>
        <v>46206</v>
      </c>
      <c r="C374" s="55" t="str">
        <f>IFERROR(__xludf.DUMMYFUNCTION("""COMPUTED_VALUE"""),"July")</f>
        <v>July</v>
      </c>
      <c r="D374" s="58" t="str">
        <f>IFERROR(__xludf.DUMMYFUNCTION("""COMPUTED_VALUE"""),"https://www.instagram.com/reel/DaVBuRUxsaO/")</f>
        <v>https://www.instagram.com/reel/DaVBuRUxsaO/</v>
      </c>
      <c r="E374" s="55" t="str">
        <f>IFERROR(__xludf.DUMMYFUNCTION("""COMPUTED_VALUE"""),"nicole_lee7")</f>
        <v>nicole_lee7</v>
      </c>
      <c r="F374" s="55"/>
      <c r="G374" s="55" t="str">
        <f>IFERROR(__xludf.DUMMYFUNCTION("""COMPUTED_VALUE"""),"Gummies vs Coffee")</f>
        <v>Gummies vs Coffee</v>
      </c>
      <c r="H374" s="55"/>
      <c r="I374" s="55">
        <f>IFERROR(__xludf.DUMMYFUNCTION("""COMPUTED_VALUE"""),41.1)</f>
        <v>41.1</v>
      </c>
      <c r="J374" s="55" t="str">
        <f>IFERROR(__xludf.DUMMYFUNCTION("""COMPUTED_VALUE"""),"Yes – Recommend")</f>
        <v>Yes – Recommend</v>
      </c>
      <c r="K374" s="55" t="str">
        <f>IFERROR(__xludf.DUMMYFUNCTION("""COMPUTED_VALUE"""),"Yes")</f>
        <v>Yes</v>
      </c>
      <c r="L374" s="55" t="str">
        <f>IFERROR(__xludf.DUMMYFUNCTION("""COMPUTED_VALUE"""),"Score 42.8 ≥ 20 threshold")</f>
        <v>Score 42.8 ≥ 20 threshold</v>
      </c>
      <c r="M374" s="55" t="str">
        <f>IFERROR(__xludf.DUMMYFUNCTION("""COMPUTED_VALUE"""),"No Ad Data")</f>
        <v>No Ad Data</v>
      </c>
      <c r="N374" s="55" t="str">
        <f>IFERROR(__xludf.DUMMYFUNCTION("""COMPUTED_VALUE"""),"23UGC-Gummies-CTA-nicole_lee7")</f>
        <v>23UGC-Gummies-CTA-nicole_lee7</v>
      </c>
      <c r="O374" s="77" t="str">
        <f>IFERROR(__xludf.DUMMYFUNCTION("""COMPUTED_VALUE"""),"https://buy.vahdam.com/coffee-cta-ugc-gummies")</f>
        <v>https://buy.vahdam.com/coffee-cta-ugc-gummies</v>
      </c>
      <c r="P374" s="55">
        <f>IFERROR(__xludf.DUMMYFUNCTION("""COMPUTED_VALUE"""),764.0)</f>
        <v>764</v>
      </c>
      <c r="Q374" s="55">
        <f>IFERROR(__xludf.DUMMYFUNCTION("""COMPUTED_VALUE"""),12.0)</f>
        <v>12</v>
      </c>
      <c r="R374" s="55">
        <f>IFERROR(__xludf.DUMMYFUNCTION("""COMPUTED_VALUE"""),3.0)</f>
        <v>3</v>
      </c>
      <c r="S374" s="55"/>
      <c r="T374" s="55"/>
      <c r="U374" s="55"/>
      <c r="V374" s="55"/>
      <c r="W374" s="55">
        <f>IFERROR(__xludf.DUMMYFUNCTION("""COMPUTED_VALUE"""),72.99)</f>
        <v>72.99</v>
      </c>
      <c r="X374" s="55"/>
      <c r="Y374" s="55"/>
      <c r="Z374" s="55"/>
      <c r="AA374" s="55"/>
      <c r="AB374" s="55"/>
      <c r="AC374" s="55"/>
      <c r="AD374" s="55"/>
      <c r="AE374" s="55"/>
      <c r="AF374" s="55"/>
      <c r="AG374" s="55"/>
      <c r="AH374" s="55"/>
      <c r="AI374" s="55"/>
      <c r="AJ374" s="55"/>
      <c r="AK374" s="55"/>
      <c r="AL374" s="55"/>
      <c r="AM374" s="55" t="str">
        <f>IFERROR(__xludf.DUMMYFUNCTION("""COMPUTED_VALUE"""),"Q9jTBBWiWZCZe4Y46GqBsvY9bbsJvEPez7ubVNeXacVlY4mIa7D5lqOC6JzDjIblDg")</f>
        <v>Q9jTBBWiWZCZe4Y46GqBsvY9bbsJvEPez7ubVNeXacVlY4mIa7D5lqOC6JzDjIblDg</v>
      </c>
      <c r="AN374" s="55"/>
      <c r="AO374" s="55"/>
      <c r="AP374" s="55"/>
      <c r="AQ374" s="55"/>
      <c r="AR374" s="55"/>
      <c r="AS374" s="55"/>
      <c r="AT374" s="55"/>
      <c r="AU374" s="55"/>
      <c r="AV374" s="55"/>
      <c r="AW374" s="35"/>
      <c r="AX374" s="35"/>
      <c r="AY374" s="35"/>
      <c r="AZ374" s="35"/>
      <c r="BA374" s="35"/>
      <c r="BB374" s="35"/>
      <c r="BC374" s="35"/>
      <c r="BD374" s="35"/>
      <c r="BE374" s="35"/>
      <c r="BF374" s="35"/>
      <c r="BG374" s="35"/>
    </row>
    <row r="375" ht="15.75" customHeight="1">
      <c r="A375" s="55" t="str">
        <f>IFERROR(__xludf.DUMMYFUNCTION("""COMPUTED_VALUE"""),"Instagram")</f>
        <v>Instagram</v>
      </c>
      <c r="B375" s="56">
        <f>IFERROR(__xludf.DUMMYFUNCTION("""COMPUTED_VALUE"""),46202.0)</f>
        <v>46202</v>
      </c>
      <c r="C375" s="55" t="str">
        <f>IFERROR(__xludf.DUMMYFUNCTION("""COMPUTED_VALUE"""),"June")</f>
        <v>June</v>
      </c>
      <c r="D375" s="58" t="str">
        <f>IFERROR(__xludf.DUMMYFUNCTION("""COMPUTED_VALUE"""),"https://www.instagram.com/reel/DaLaJXeOLe7/")</f>
        <v>https://www.instagram.com/reel/DaLaJXeOLe7/</v>
      </c>
      <c r="E375" s="55" t="str">
        <f>IFERROR(__xludf.DUMMYFUNCTION("""COMPUTED_VALUE"""),"katia.diaries")</f>
        <v>katia.diaries</v>
      </c>
      <c r="F375" s="55"/>
      <c r="G375" s="55" t="str">
        <f>IFERROR(__xludf.DUMMYFUNCTION("""COMPUTED_VALUE"""),"Gummies vs Coffee")</f>
        <v>Gummies vs Coffee</v>
      </c>
      <c r="H375" s="55"/>
      <c r="I375" s="55">
        <f>IFERROR(__xludf.DUMMYFUNCTION("""COMPUTED_VALUE"""),29.5)</f>
        <v>29.5</v>
      </c>
      <c r="J375" s="55" t="str">
        <f>IFERROR(__xludf.DUMMYFUNCTION("""COMPUTED_VALUE"""),"Yes – Recommend")</f>
        <v>Yes – Recommend</v>
      </c>
      <c r="K375" s="55" t="str">
        <f>IFERROR(__xludf.DUMMYFUNCTION("""COMPUTED_VALUE"""),"Yes")</f>
        <v>Yes</v>
      </c>
      <c r="L375" s="55" t="str">
        <f>IFERROR(__xludf.DUMMYFUNCTION("""COMPUTED_VALUE"""),"Score 30.9 ≥ 20 threshold")</f>
        <v>Score 30.9 ≥ 20 threshold</v>
      </c>
      <c r="M375" s="55" t="str">
        <f>IFERROR(__xludf.DUMMYFUNCTION("""COMPUTED_VALUE"""),"No Ad Data")</f>
        <v>No Ad Data</v>
      </c>
      <c r="N375" s="55" t="str">
        <f>IFERROR(__xludf.DUMMYFUNCTION("""COMPUTED_VALUE"""),"25UGC-Gummies-CTA-katia.diaries")</f>
        <v>25UGC-Gummies-CTA-katia.diaries</v>
      </c>
      <c r="O375" s="55"/>
      <c r="P375" s="55">
        <f>IFERROR(__xludf.DUMMYFUNCTION("""COMPUTED_VALUE"""),416.0)</f>
        <v>416</v>
      </c>
      <c r="Q375" s="55">
        <f>IFERROR(__xludf.DUMMYFUNCTION("""COMPUTED_VALUE"""),15.0)</f>
        <v>15</v>
      </c>
      <c r="R375" s="55">
        <f>IFERROR(__xludf.DUMMYFUNCTION("""COMPUTED_VALUE"""),2.0)</f>
        <v>2</v>
      </c>
      <c r="S375" s="55"/>
      <c r="T375" s="55"/>
      <c r="U375" s="55"/>
      <c r="V375" s="55"/>
      <c r="W375" s="55">
        <f>IFERROR(__xludf.DUMMYFUNCTION("""COMPUTED_VALUE"""),72.99)</f>
        <v>72.99</v>
      </c>
      <c r="X375" s="55"/>
      <c r="Y375" s="55"/>
      <c r="Z375" s="55"/>
      <c r="AA375" s="55"/>
      <c r="AB375" s="55"/>
      <c r="AC375" s="55"/>
      <c r="AD375" s="55"/>
      <c r="AE375" s="55"/>
      <c r="AF375" s="55"/>
      <c r="AG375" s="55"/>
      <c r="AH375" s="55"/>
      <c r="AI375" s="55"/>
      <c r="AJ375" s="55"/>
      <c r="AK375" s="55"/>
      <c r="AL375" s="55"/>
      <c r="AM375" s="55"/>
      <c r="AN375" s="55"/>
      <c r="AO375" s="55"/>
      <c r="AP375" s="55"/>
      <c r="AQ375" s="55"/>
      <c r="AR375" s="55"/>
      <c r="AS375" s="55"/>
      <c r="AT375" s="55"/>
      <c r="AU375" s="55"/>
      <c r="AV375" s="55"/>
      <c r="AW375" s="35"/>
      <c r="AX375" s="35"/>
      <c r="AY375" s="35"/>
      <c r="AZ375" s="35"/>
      <c r="BA375" s="35"/>
      <c r="BB375" s="35"/>
      <c r="BC375" s="35"/>
      <c r="BD375" s="35"/>
      <c r="BE375" s="35"/>
      <c r="BF375" s="35"/>
      <c r="BG375" s="35"/>
    </row>
    <row r="376" ht="15.75" customHeight="1">
      <c r="A376" s="55" t="str">
        <f>IFERROR(__xludf.DUMMYFUNCTION("""COMPUTED_VALUE"""),"Instagram")</f>
        <v>Instagram</v>
      </c>
      <c r="B376" s="56">
        <f>IFERROR(__xludf.DUMMYFUNCTION("""COMPUTED_VALUE"""),46199.0)</f>
        <v>46199</v>
      </c>
      <c r="C376" s="55" t="str">
        <f>IFERROR(__xludf.DUMMYFUNCTION("""COMPUTED_VALUE"""),"June")</f>
        <v>June</v>
      </c>
      <c r="D376" s="58" t="str">
        <f>IFERROR(__xludf.DUMMYFUNCTION("""COMPUTED_VALUE"""),"https://www.instagram.com/reel/DaCCWogsCRN/")</f>
        <v>https://www.instagram.com/reel/DaCCWogsCRN/</v>
      </c>
      <c r="E376" s="55" t="str">
        <f>IFERROR(__xludf.DUMMYFUNCTION("""COMPUTED_VALUE"""),"advancedskincarebynikkole")</f>
        <v>advancedskincarebynikkole</v>
      </c>
      <c r="F376" s="55"/>
      <c r="G376" s="55" t="str">
        <f>IFERROR(__xludf.DUMMYFUNCTION("""COMPUTED_VALUE"""),"Target Shelf Showdown")</f>
        <v>Target Shelf Showdown</v>
      </c>
      <c r="H376" s="55"/>
      <c r="I376" s="55">
        <f>IFERROR(__xludf.DUMMYFUNCTION("""COMPUTED_VALUE"""),53.7)</f>
        <v>53.7</v>
      </c>
      <c r="J376" s="55" t="str">
        <f>IFERROR(__xludf.DUMMYFUNCTION("""COMPUTED_VALUE"""),"Yes – Recommend")</f>
        <v>Yes – Recommend</v>
      </c>
      <c r="K376" s="55" t="str">
        <f>IFERROR(__xludf.DUMMYFUNCTION("""COMPUTED_VALUE"""),"Yes")</f>
        <v>Yes</v>
      </c>
      <c r="L376" s="55" t="str">
        <f>IFERROR(__xludf.DUMMYFUNCTION("""COMPUTED_VALUE"""),"Score 56.6 ≥ 20 threshold")</f>
        <v>Score 56.6 ≥ 20 threshold</v>
      </c>
      <c r="M376" s="55" t="str">
        <f>IFERROR(__xludf.DUMMYFUNCTION("""COMPUTED_VALUE"""),"No Ad Data")</f>
        <v>No Ad Data</v>
      </c>
      <c r="N376" s="55" t="str">
        <f>IFERROR(__xludf.DUMMYFUNCTION("""COMPUTED_VALUE"""),"26UGC-Targetshelf-CTA-advancedskincarebynikkole")</f>
        <v>26UGC-Targetshelf-CTA-advancedskincarebynikkole</v>
      </c>
      <c r="O376" s="58" t="str">
        <f>IFERROR(__xludf.DUMMYFUNCTION("""COMPUTED_VALUE"""),"https://buy.vahdam.com/coffee-cta-ugc-targetstore")</f>
        <v>https://buy.vahdam.com/coffee-cta-ugc-targetstore</v>
      </c>
      <c r="P376" s="55">
        <f>IFERROR(__xludf.DUMMYFUNCTION("""COMPUTED_VALUE"""),816.0)</f>
        <v>816</v>
      </c>
      <c r="Q376" s="55">
        <f>IFERROR(__xludf.DUMMYFUNCTION("""COMPUTED_VALUE"""),69.0)</f>
        <v>69</v>
      </c>
      <c r="R376" s="55">
        <f>IFERROR(__xludf.DUMMYFUNCTION("""COMPUTED_VALUE"""),8.0)</f>
        <v>8</v>
      </c>
      <c r="S376" s="55"/>
      <c r="T376" s="55"/>
      <c r="U376" s="55"/>
      <c r="V376" s="55"/>
      <c r="W376" s="55">
        <f>IFERROR(__xludf.DUMMYFUNCTION("""COMPUTED_VALUE"""),72.99)</f>
        <v>72.99</v>
      </c>
      <c r="X376" s="55"/>
      <c r="Y376" s="55"/>
      <c r="Z376" s="55"/>
      <c r="AA376" s="55"/>
      <c r="AB376" s="55"/>
      <c r="AC376" s="55"/>
      <c r="AD376" s="55"/>
      <c r="AE376" s="55"/>
      <c r="AF376" s="55"/>
      <c r="AG376" s="55"/>
      <c r="AH376" s="55"/>
      <c r="AI376" s="55"/>
      <c r="AJ376" s="55"/>
      <c r="AK376" s="55"/>
      <c r="AL376" s="55"/>
      <c r="AM376" s="55" t="str">
        <f>IFERROR(__xludf.DUMMYFUNCTION("""COMPUTED_VALUE"""),"Q9jTBBXFjUjXf00WkE_X24LV7ZOvnF4ct8nElbVQoFNJoKr1jQBEgCQkQtyR9pyOiUQ")</f>
        <v>Q9jTBBXFjUjXf00WkE_X24LV7ZOvnF4ct8nElbVQoFNJoKr1jQBEgCQkQtyR9pyOiUQ</v>
      </c>
      <c r="AN376" s="55"/>
      <c r="AO376" s="55"/>
      <c r="AP376" s="55"/>
      <c r="AQ376" s="55"/>
      <c r="AR376" s="55"/>
      <c r="AS376" s="55"/>
      <c r="AT376" s="55"/>
      <c r="AU376" s="55"/>
      <c r="AV376" s="55"/>
      <c r="AW376" s="35"/>
      <c r="AX376" s="35"/>
      <c r="AY376" s="35"/>
      <c r="AZ376" s="35"/>
      <c r="BA376" s="35"/>
      <c r="BB376" s="35"/>
      <c r="BC376" s="35"/>
      <c r="BD376" s="35"/>
      <c r="BE376" s="35"/>
      <c r="BF376" s="35"/>
      <c r="BG376" s="35"/>
    </row>
    <row r="377" ht="15.75" customHeight="1">
      <c r="A377" s="55" t="str">
        <f>IFERROR(__xludf.DUMMYFUNCTION("""COMPUTED_VALUE"""),"Instagram")</f>
        <v>Instagram</v>
      </c>
      <c r="B377" s="56">
        <f>IFERROR(__xludf.DUMMYFUNCTION("""COMPUTED_VALUE"""),46205.0)</f>
        <v>46205</v>
      </c>
      <c r="C377" s="55" t="str">
        <f>IFERROR(__xludf.DUMMYFUNCTION("""COMPUTED_VALUE"""),"July")</f>
        <v>July</v>
      </c>
      <c r="D377" s="58" t="str">
        <f>IFERROR(__xludf.DUMMYFUNCTION("""COMPUTED_VALUE"""),"https://www.instagram.com/reel/DaQZY2_Ki9c/?utm_source=ig_web_copy_link&amp;igsh=MzRlODBiNWFlZA==")</f>
        <v>https://www.instagram.com/reel/DaQZY2_Ki9c/?utm_source=ig_web_copy_link&amp;igsh=MzRlODBiNWFlZA==</v>
      </c>
      <c r="E377" s="55" t="str">
        <f>IFERROR(__xludf.DUMMYFUNCTION("""COMPUTED_VALUE"""),"amichelleindica")</f>
        <v>amichelleindica</v>
      </c>
      <c r="F377" s="55"/>
      <c r="G377" s="55" t="str">
        <f>IFERROR(__xludf.DUMMYFUNCTION("""COMPUTED_VALUE"""),"Target Shelf Showdown")</f>
        <v>Target Shelf Showdown</v>
      </c>
      <c r="H377" s="55"/>
      <c r="I377" s="55">
        <f>IFERROR(__xludf.DUMMYFUNCTION("""COMPUTED_VALUE"""),41.1)</f>
        <v>41.1</v>
      </c>
      <c r="J377" s="55" t="str">
        <f>IFERROR(__xludf.DUMMYFUNCTION("""COMPUTED_VALUE"""),"Yes – Recommend")</f>
        <v>Yes – Recommend</v>
      </c>
      <c r="K377" s="55" t="str">
        <f>IFERROR(__xludf.DUMMYFUNCTION("""COMPUTED_VALUE"""),"Yes")</f>
        <v>Yes</v>
      </c>
      <c r="L377" s="55" t="str">
        <f>IFERROR(__xludf.DUMMYFUNCTION("""COMPUTED_VALUE"""),"Score 43.2 ≥ 20 threshold")</f>
        <v>Score 43.2 ≥ 20 threshold</v>
      </c>
      <c r="M377" s="55" t="str">
        <f>IFERROR(__xludf.DUMMYFUNCTION("""COMPUTED_VALUE"""),"No Ad Data")</f>
        <v>No Ad Data</v>
      </c>
      <c r="N377" s="55" t="str">
        <f>IFERROR(__xludf.DUMMYFUNCTION("""COMPUTED_VALUE"""),"27UGC-Targetshelf-CTA-amichelleindica")</f>
        <v>27UGC-Targetshelf-CTA-amichelleindica</v>
      </c>
      <c r="O377" s="58" t="str">
        <f>IFERROR(__xludf.DUMMYFUNCTION("""COMPUTED_VALUE"""),"https://buy.vahdam.com/coffee-cta-ugc-targetstore")</f>
        <v>https://buy.vahdam.com/coffee-cta-ugc-targetstore</v>
      </c>
      <c r="P377" s="55">
        <f>IFERROR(__xludf.DUMMYFUNCTION("""COMPUTED_VALUE"""),487.0)</f>
        <v>487</v>
      </c>
      <c r="Q377" s="55">
        <f>IFERROR(__xludf.DUMMYFUNCTION("""COMPUTED_VALUE"""),54.0)</f>
        <v>54</v>
      </c>
      <c r="R377" s="55">
        <f>IFERROR(__xludf.DUMMYFUNCTION("""COMPUTED_VALUE"""),32.0)</f>
        <v>32</v>
      </c>
      <c r="S377" s="55"/>
      <c r="T377" s="55"/>
      <c r="U377" s="55"/>
      <c r="V377" s="55"/>
      <c r="W377" s="55">
        <f>IFERROR(__xludf.DUMMYFUNCTION("""COMPUTED_VALUE"""),72.99)</f>
        <v>72.99</v>
      </c>
      <c r="X377" s="55"/>
      <c r="Y377" s="55"/>
      <c r="Z377" s="55"/>
      <c r="AA377" s="55"/>
      <c r="AB377" s="55"/>
      <c r="AC377" s="55"/>
      <c r="AD377" s="55"/>
      <c r="AE377" s="55"/>
      <c r="AF377" s="55"/>
      <c r="AG377" s="55"/>
      <c r="AH377" s="55"/>
      <c r="AI377" s="55"/>
      <c r="AJ377" s="55"/>
      <c r="AK377" s="55"/>
      <c r="AL377" s="55"/>
      <c r="AM377" s="55"/>
      <c r="AN377" s="55"/>
      <c r="AO377" s="55"/>
      <c r="AP377" s="55"/>
      <c r="AQ377" s="55"/>
      <c r="AR377" s="55"/>
      <c r="AS377" s="55"/>
      <c r="AT377" s="55"/>
      <c r="AU377" s="55"/>
      <c r="AV377" s="55"/>
      <c r="AW377" s="35"/>
      <c r="AX377" s="35"/>
      <c r="AY377" s="35"/>
      <c r="AZ377" s="35"/>
      <c r="BA377" s="35"/>
      <c r="BB377" s="35"/>
      <c r="BC377" s="35"/>
      <c r="BD377" s="35"/>
      <c r="BE377" s="35"/>
      <c r="BF377" s="35"/>
      <c r="BG377" s="35"/>
    </row>
    <row r="378" ht="15.75" customHeight="1">
      <c r="A378" s="55" t="str">
        <f>IFERROR(__xludf.DUMMYFUNCTION("""COMPUTED_VALUE"""),"Instagram")</f>
        <v>Instagram</v>
      </c>
      <c r="B378" s="56">
        <f>IFERROR(__xludf.DUMMYFUNCTION("""COMPUTED_VALUE"""),46205.0)</f>
        <v>46205</v>
      </c>
      <c r="C378" s="55" t="str">
        <f>IFERROR(__xludf.DUMMYFUNCTION("""COMPUTED_VALUE"""),"July")</f>
        <v>July</v>
      </c>
      <c r="D378" s="58" t="str">
        <f>IFERROR(__xludf.DUMMYFUNCTION("""COMPUTED_VALUE"""),"https://www.instagram.com/reel/DaQ93F1iEHp/")</f>
        <v>https://www.instagram.com/reel/DaQ93F1iEHp/</v>
      </c>
      <c r="E378" s="55" t="str">
        <f>IFERROR(__xludf.DUMMYFUNCTION("""COMPUTED_VALUE"""),"graci.barros.ugc
")</f>
        <v>graci.barros.ugc
</v>
      </c>
      <c r="F378" s="55"/>
      <c r="G378" s="55" t="str">
        <f>IFERROR(__xludf.DUMMYFUNCTION("""COMPUTED_VALUE"""),"Target Shelf Showdown")</f>
        <v>Target Shelf Showdown</v>
      </c>
      <c r="H378" s="55"/>
      <c r="I378" s="55">
        <f>IFERROR(__xludf.DUMMYFUNCTION("""COMPUTED_VALUE"""),22.3)</f>
        <v>22.3</v>
      </c>
      <c r="J378" s="55" t="str">
        <f>IFERROR(__xludf.DUMMYFUNCTION("""COMPUTED_VALUE"""),"Yes – Recommend")</f>
        <v>Yes – Recommend</v>
      </c>
      <c r="K378" s="55" t="str">
        <f>IFERROR(__xludf.DUMMYFUNCTION("""COMPUTED_VALUE"""),"Yes")</f>
        <v>Yes</v>
      </c>
      <c r="L378" s="55" t="str">
        <f>IFERROR(__xludf.DUMMYFUNCTION("""COMPUTED_VALUE"""),"Score 22.3 ≥ 20 threshold")</f>
        <v>Score 22.3 ≥ 20 threshold</v>
      </c>
      <c r="M378" s="55" t="str">
        <f>IFERROR(__xludf.DUMMYFUNCTION("""COMPUTED_VALUE"""),"No Ad Data")</f>
        <v>No Ad Data</v>
      </c>
      <c r="N378" s="55" t="str">
        <f>IFERROR(__xludf.DUMMYFUNCTION("""COMPUTED_VALUE"""),"31UGC-Targetshelf-CTA-graci.barros.ugc
")</f>
        <v>31UGC-Targetshelf-CTA-graci.barros.ugc
</v>
      </c>
      <c r="O378" s="58" t="str">
        <f>IFERROR(__xludf.DUMMYFUNCTION("""COMPUTED_VALUE"""),"https://buy.vahdam.com/coffee-cta-ugc-targetstore")</f>
        <v>https://buy.vahdam.com/coffee-cta-ugc-targetstore</v>
      </c>
      <c r="P378" s="55">
        <f>IFERROR(__xludf.DUMMYFUNCTION("""COMPUTED_VALUE"""),320.0)</f>
        <v>320</v>
      </c>
      <c r="Q378" s="55">
        <f>IFERROR(__xludf.DUMMYFUNCTION("""COMPUTED_VALUE"""),0.0)</f>
        <v>0</v>
      </c>
      <c r="R378" s="55">
        <f>IFERROR(__xludf.DUMMYFUNCTION("""COMPUTED_VALUE"""),27.0)</f>
        <v>27</v>
      </c>
      <c r="S378" s="55"/>
      <c r="T378" s="55"/>
      <c r="U378" s="55"/>
      <c r="V378" s="55"/>
      <c r="W378" s="55">
        <f>IFERROR(__xludf.DUMMYFUNCTION("""COMPUTED_VALUE"""),72.99)</f>
        <v>72.99</v>
      </c>
      <c r="X378" s="55"/>
      <c r="Y378" s="55"/>
      <c r="Z378" s="55"/>
      <c r="AA378" s="55"/>
      <c r="AB378" s="55"/>
      <c r="AC378" s="55"/>
      <c r="AD378" s="55"/>
      <c r="AE378" s="55"/>
      <c r="AF378" s="55"/>
      <c r="AG378" s="55"/>
      <c r="AH378" s="55"/>
      <c r="AI378" s="55"/>
      <c r="AJ378" s="55"/>
      <c r="AK378" s="55"/>
      <c r="AL378" s="55"/>
      <c r="AM378" s="55" t="str">
        <f>IFERROR(__xludf.DUMMYFUNCTION("""COMPUTED_VALUE"""),"Q9jTBBWh3XRiGwjaGmR8zNa7IzpagHv4qPz9F3BsRktHY7Di2EgoNxdDfj9yjszJeVs")</f>
        <v>Q9jTBBWh3XRiGwjaGmR8zNa7IzpagHv4qPz9F3BsRktHY7Di2EgoNxdDfj9yjszJeVs</v>
      </c>
      <c r="AN378" s="55"/>
      <c r="AO378" s="55"/>
      <c r="AP378" s="55"/>
      <c r="AQ378" s="55"/>
      <c r="AR378" s="55"/>
      <c r="AS378" s="55"/>
      <c r="AT378" s="55"/>
      <c r="AU378" s="55"/>
      <c r="AV378" s="55"/>
      <c r="AW378" s="35"/>
      <c r="AX378" s="35"/>
      <c r="AY378" s="35"/>
      <c r="AZ378" s="35"/>
      <c r="BA378" s="35"/>
      <c r="BB378" s="35"/>
      <c r="BC378" s="35"/>
      <c r="BD378" s="35"/>
      <c r="BE378" s="35"/>
      <c r="BF378" s="35"/>
      <c r="BG378" s="35"/>
    </row>
    <row r="379" ht="15.75" customHeight="1">
      <c r="A379" s="55" t="str">
        <f>IFERROR(__xludf.DUMMYFUNCTION("""COMPUTED_VALUE"""),"Instagram")</f>
        <v>Instagram</v>
      </c>
      <c r="B379" s="56">
        <f>IFERROR(__xludf.DUMMYFUNCTION("""COMPUTED_VALUE"""),46190.0)</f>
        <v>46190</v>
      </c>
      <c r="C379" s="55" t="str">
        <f>IFERROR(__xludf.DUMMYFUNCTION("""COMPUTED_VALUE"""),"June")</f>
        <v>June</v>
      </c>
      <c r="D379" s="58" t="str">
        <f>IFERROR(__xludf.DUMMYFUNCTION("""COMPUTED_VALUE"""),"https://www.instagram.com/p/DZnEukDMIvC/")</f>
        <v>https://www.instagram.com/p/DZnEukDMIvC/</v>
      </c>
      <c r="E379" s="55" t="str">
        <f>IFERROR(__xludf.DUMMYFUNCTION("""COMPUTED_VALUE"""),"@na")</f>
        <v>@na</v>
      </c>
      <c r="F379" s="55"/>
      <c r="G379" s="55" t="str">
        <f>IFERROR(__xludf.DUMMYFUNCTION("""COMPUTED_VALUE"""),"Target Shelf Showdown")</f>
        <v>Target Shelf Showdown</v>
      </c>
      <c r="H379" s="55"/>
      <c r="I379" s="55">
        <f>IFERROR(__xludf.DUMMYFUNCTION("""COMPUTED_VALUE"""),20.8)</f>
        <v>20.8</v>
      </c>
      <c r="J379" s="55" t="str">
        <f>IFERROR(__xludf.DUMMYFUNCTION("""COMPUTED_VALUE"""),"Yes – Recommend")</f>
        <v>Yes – Recommend</v>
      </c>
      <c r="K379" s="55" t="str">
        <f>IFERROR(__xludf.DUMMYFUNCTION("""COMPUTED_VALUE"""),"Yes")</f>
        <v>Yes</v>
      </c>
      <c r="L379" s="55" t="str">
        <f>IFERROR(__xludf.DUMMYFUNCTION("""COMPUTED_VALUE"""),"Score 21.7 ≥ 20 threshold")</f>
        <v>Score 21.7 ≥ 20 threshold</v>
      </c>
      <c r="M379" s="55" t="str">
        <f>IFERROR(__xludf.DUMMYFUNCTION("""COMPUTED_VALUE"""),"Ads Activated – Awaiting Results")</f>
        <v>Ads Activated – Awaiting Results</v>
      </c>
      <c r="N379" s="55"/>
      <c r="O379" s="55"/>
      <c r="P379" s="55">
        <f>IFERROR(__xludf.DUMMYFUNCTION("""COMPUTED_VALUE"""),283.0)</f>
        <v>283</v>
      </c>
      <c r="Q379" s="55">
        <f>IFERROR(__xludf.DUMMYFUNCTION("""COMPUTED_VALUE"""),4.0)</f>
        <v>4</v>
      </c>
      <c r="R379" s="55">
        <f>IFERROR(__xludf.DUMMYFUNCTION("""COMPUTED_VALUE"""),0.0)</f>
        <v>0</v>
      </c>
      <c r="S379" s="55"/>
      <c r="T379" s="55"/>
      <c r="U379" s="55"/>
      <c r="V379" s="55"/>
      <c r="W379" s="55">
        <f>IFERROR(__xludf.DUMMYFUNCTION("""COMPUTED_VALUE"""),67.58)</f>
        <v>67.58</v>
      </c>
      <c r="X379" s="55"/>
      <c r="Y379" s="55"/>
      <c r="Z379" s="55"/>
      <c r="AA379" s="55"/>
      <c r="AB379" s="55"/>
      <c r="AC379" s="55"/>
      <c r="AD379" s="55"/>
      <c r="AE379" s="55"/>
      <c r="AF379" s="55"/>
      <c r="AG379" s="55"/>
      <c r="AH379" s="55"/>
      <c r="AI379" s="55"/>
      <c r="AJ379" s="55"/>
      <c r="AK379" s="55"/>
      <c r="AL379" s="55"/>
      <c r="AM379" s="55" t="str">
        <f>IFERROR(__xludf.DUMMYFUNCTION("""COMPUTED_VALUE"""),"Q9jTBBWamhtNxfXj8HFWWip22M1ItiVUYh2qR6UNjQvycQbZ2Wjc_9EoKO6gBAdW")</f>
        <v>Q9jTBBWamhtNxfXj8HFWWip22M1ItiVUYh2qR6UNjQvycQbZ2Wjc_9EoKO6gBAdW</v>
      </c>
      <c r="AN379" s="55"/>
      <c r="AO379" s="55"/>
      <c r="AP379" s="55"/>
      <c r="AQ379" s="55"/>
      <c r="AR379" s="55"/>
      <c r="AS379" s="55"/>
      <c r="AT379" s="55"/>
      <c r="AU379" s="55"/>
      <c r="AV379" s="55"/>
      <c r="AW379" s="35"/>
      <c r="AX379" s="35"/>
      <c r="AY379" s="35"/>
      <c r="AZ379" s="35"/>
      <c r="BA379" s="35"/>
      <c r="BB379" s="35"/>
      <c r="BC379" s="35"/>
      <c r="BD379" s="35"/>
      <c r="BE379" s="35"/>
      <c r="BF379" s="35"/>
      <c r="BG379" s="35"/>
    </row>
    <row r="380" ht="15.75" customHeight="1">
      <c r="A380" s="55" t="str">
        <f>IFERROR(__xludf.DUMMYFUNCTION("""COMPUTED_VALUE"""),"Instagram")</f>
        <v>Instagram</v>
      </c>
      <c r="B380" s="78">
        <f>IFERROR(__xludf.DUMMYFUNCTION("""COMPUTED_VALUE"""),46218.0)</f>
        <v>46218</v>
      </c>
      <c r="C380" s="55" t="str">
        <f>IFERROR(__xludf.DUMMYFUNCTION("""COMPUTED_VALUE"""),"July")</f>
        <v>July</v>
      </c>
      <c r="D380" s="58" t="str">
        <f>IFERROR(__xludf.DUMMYFUNCTION("""COMPUTED_VALUE"""),"https://www.instagram.com/reels/Da0Z0kLTfkq/")</f>
        <v>https://www.instagram.com/reels/Da0Z0kLTfkq/</v>
      </c>
      <c r="E380" s="55"/>
      <c r="F380" s="55"/>
      <c r="G380" s="55" t="str">
        <f>IFERROR(__xludf.DUMMYFUNCTION("""COMPUTED_VALUE"""),"Over 40/ High Performer")</f>
        <v>Over 40/ High Performer</v>
      </c>
      <c r="H380" s="55"/>
      <c r="I380" s="55">
        <f>IFERROR(__xludf.DUMMYFUNCTION("""COMPUTED_VALUE"""),21.7)</f>
        <v>21.7</v>
      </c>
      <c r="J380" s="55" t="str">
        <f>IFERROR(__xludf.DUMMYFUNCTION("""COMPUTED_VALUE"""),"Yes – Recommend")</f>
        <v>Yes – Recommend</v>
      </c>
      <c r="K380" s="55" t="str">
        <f>IFERROR(__xludf.DUMMYFUNCTION("""COMPUTED_VALUE"""),"Review before running ads")</f>
        <v>Review before running ads</v>
      </c>
      <c r="L380" s="55" t="str">
        <f>IFERROR(__xludf.DUMMYFUNCTION("""COMPUTED_VALUE"""),"Score 21.7 ≥ 20 threshold")</f>
        <v>Score 21.7 ≥ 20 threshold</v>
      </c>
      <c r="M380" s="55"/>
      <c r="N380" s="55"/>
      <c r="O380" s="55"/>
      <c r="P380" s="55">
        <f>IFERROR(__xludf.DUMMYFUNCTION("""COMPUTED_VALUE"""),217.0)</f>
        <v>217</v>
      </c>
      <c r="Q380" s="55">
        <f>IFERROR(__xludf.DUMMYFUNCTION("""COMPUTED_VALUE"""),6.0)</f>
        <v>6</v>
      </c>
      <c r="R380" s="55"/>
      <c r="S380" s="55"/>
      <c r="T380" s="55"/>
      <c r="U380" s="55"/>
      <c r="V380" s="55" t="str">
        <f>IFERROR(__xludf.DUMMYFUNCTION("""COMPUTED_VALUE"""),"#NUM!")</f>
        <v>#NUM!</v>
      </c>
      <c r="W380" s="55">
        <f>IFERROR(__xludf.DUMMYFUNCTION("""COMPUTED_VALUE"""),117.58)</f>
        <v>117.58</v>
      </c>
      <c r="X380" s="55"/>
      <c r="Y380" s="55"/>
      <c r="Z380" s="55"/>
      <c r="AA380" s="55"/>
      <c r="AB380" s="55"/>
      <c r="AC380" s="55"/>
      <c r="AD380" s="55"/>
      <c r="AE380" s="55"/>
      <c r="AF380" s="55"/>
      <c r="AG380" s="55"/>
      <c r="AH380" s="55"/>
      <c r="AI380" s="55"/>
      <c r="AJ380" s="55"/>
      <c r="AK380" s="55"/>
      <c r="AL380" s="55"/>
      <c r="AM380" s="55"/>
      <c r="AN380" s="55"/>
      <c r="AO380" s="55"/>
      <c r="AP380" s="55"/>
      <c r="AQ380" s="55"/>
      <c r="AR380" s="55"/>
      <c r="AS380" s="55"/>
      <c r="AT380" s="55"/>
      <c r="AU380" s="55"/>
      <c r="AV380" s="55"/>
      <c r="AW380" s="35"/>
      <c r="AX380" s="35"/>
      <c r="AY380" s="35"/>
      <c r="AZ380" s="35"/>
      <c r="BA380" s="35"/>
      <c r="BB380" s="35"/>
      <c r="BC380" s="35"/>
      <c r="BD380" s="35"/>
      <c r="BE380" s="35"/>
      <c r="BF380" s="35"/>
      <c r="BG380" s="35"/>
    </row>
    <row r="381" ht="15.75" customHeight="1">
      <c r="A381" s="55" t="str">
        <f>IFERROR(__xludf.DUMMYFUNCTION("""COMPUTED_VALUE"""),"Instagram")</f>
        <v>Instagram</v>
      </c>
      <c r="B381" s="78">
        <f>IFERROR(__xludf.DUMMYFUNCTION("""COMPUTED_VALUE"""),46219.0)</f>
        <v>46219</v>
      </c>
      <c r="C381" s="55" t="str">
        <f>IFERROR(__xludf.DUMMYFUNCTION("""COMPUTED_VALUE"""),"July")</f>
        <v>July</v>
      </c>
      <c r="D381" s="58" t="str">
        <f>IFERROR(__xludf.DUMMYFUNCTION("""COMPUTED_VALUE"""),"https://www.instagram.com/reel/Da4JENTOwx6/")</f>
        <v>https://www.instagram.com/reel/Da4JENTOwx6/</v>
      </c>
      <c r="E381" s="55"/>
      <c r="F381" s="55"/>
      <c r="G381" s="55" t="str">
        <f>IFERROR(__xludf.DUMMYFUNCTION("""COMPUTED_VALUE"""),"Countering Mushroom Coffee Trend")</f>
        <v>Countering Mushroom Coffee Trend</v>
      </c>
      <c r="H381" s="55"/>
      <c r="I381" s="55">
        <f>IFERROR(__xludf.DUMMYFUNCTION("""COMPUTED_VALUE"""),20.5)</f>
        <v>20.5</v>
      </c>
      <c r="J381" s="55" t="str">
        <f>IFERROR(__xludf.DUMMYFUNCTION("""COMPUTED_VALUE"""),"Yes – Recommend")</f>
        <v>Yes – Recommend</v>
      </c>
      <c r="K381" s="55" t="str">
        <f>IFERROR(__xludf.DUMMYFUNCTION("""COMPUTED_VALUE"""),"Review before running ads")</f>
        <v>Review before running ads</v>
      </c>
      <c r="L381" s="55" t="str">
        <f>IFERROR(__xludf.DUMMYFUNCTION("""COMPUTED_VALUE"""),"Score 20.5 ≥ 20 threshold")</f>
        <v>Score 20.5 ≥ 20 threshold</v>
      </c>
      <c r="M381" s="55"/>
      <c r="N381" s="55"/>
      <c r="O381" s="55"/>
      <c r="P381" s="55">
        <f>IFERROR(__xludf.DUMMYFUNCTION("""COMPUTED_VALUE"""),185.0)</f>
        <v>185</v>
      </c>
      <c r="Q381" s="55">
        <f>IFERROR(__xludf.DUMMYFUNCTION("""COMPUTED_VALUE"""),3.0)</f>
        <v>3</v>
      </c>
      <c r="R381" s="55">
        <f>IFERROR(__xludf.DUMMYFUNCTION("""COMPUTED_VALUE"""),1.0)</f>
        <v>1</v>
      </c>
      <c r="S381" s="55"/>
      <c r="T381" s="55"/>
      <c r="U381" s="55"/>
      <c r="V381" s="55" t="str">
        <f>IFERROR(__xludf.DUMMYFUNCTION("""COMPUTED_VALUE"""),"#NUM!")</f>
        <v>#NUM!</v>
      </c>
      <c r="W381" s="55">
        <f>IFERROR(__xludf.DUMMYFUNCTION("""COMPUTED_VALUE"""),117.58)</f>
        <v>117.58</v>
      </c>
      <c r="X381" s="55"/>
      <c r="Y381" s="55"/>
      <c r="Z381" s="55"/>
      <c r="AA381" s="55"/>
      <c r="AB381" s="55"/>
      <c r="AC381" s="55"/>
      <c r="AD381" s="55"/>
      <c r="AE381" s="55"/>
      <c r="AF381" s="55"/>
      <c r="AG381" s="55"/>
      <c r="AH381" s="55"/>
      <c r="AI381" s="55"/>
      <c r="AJ381" s="55"/>
      <c r="AK381" s="55"/>
      <c r="AL381" s="55"/>
      <c r="AM381" s="55"/>
      <c r="AN381" s="55"/>
      <c r="AO381" s="55"/>
      <c r="AP381" s="55"/>
      <c r="AQ381" s="55"/>
      <c r="AR381" s="55"/>
      <c r="AS381" s="55"/>
      <c r="AT381" s="55"/>
      <c r="AU381" s="55"/>
      <c r="AV381" s="55"/>
      <c r="AW381" s="35"/>
      <c r="AX381" s="35"/>
      <c r="AY381" s="35"/>
      <c r="AZ381" s="35"/>
      <c r="BA381" s="35"/>
      <c r="BB381" s="35"/>
      <c r="BC381" s="35"/>
      <c r="BD381" s="35"/>
      <c r="BE381" s="35"/>
      <c r="BF381" s="35"/>
      <c r="BG381" s="35"/>
    </row>
    <row r="382" ht="15.75" customHeight="1">
      <c r="A382" s="55" t="str">
        <f>IFERROR(__xludf.DUMMYFUNCTION("""COMPUTED_VALUE"""),"Instagram")</f>
        <v>Instagram</v>
      </c>
      <c r="B382" s="78">
        <f>IFERROR(__xludf.DUMMYFUNCTION("""COMPUTED_VALUE"""),46219.0)</f>
        <v>46219</v>
      </c>
      <c r="C382" s="55" t="str">
        <f>IFERROR(__xludf.DUMMYFUNCTION("""COMPUTED_VALUE"""),"July")</f>
        <v>July</v>
      </c>
      <c r="D382" s="58" t="str">
        <f>IFERROR(__xludf.DUMMYFUNCTION("""COMPUTED_VALUE"""),"instagram.com/reel/Da3-hQup2c7/")</f>
        <v>instagram.com/reel/Da3-hQup2c7/</v>
      </c>
      <c r="E382" s="55"/>
      <c r="F382" s="55"/>
      <c r="G382" s="55" t="str">
        <f>IFERROR(__xludf.DUMMYFUNCTION("""COMPUTED_VALUE"""),"Cortisol")</f>
        <v>Cortisol</v>
      </c>
      <c r="H382" s="55"/>
      <c r="I382" s="55">
        <f>IFERROR(__xludf.DUMMYFUNCTION("""COMPUTED_VALUE"""),3.1)</f>
        <v>3.1</v>
      </c>
      <c r="J382" s="55" t="str">
        <f>IFERROR(__xludf.DUMMYFUNCTION("""COMPUTED_VALUE"""),"Yes – Recommend")</f>
        <v>Yes – Recommend</v>
      </c>
      <c r="K382" s="55" t="str">
        <f>IFERROR(__xludf.DUMMYFUNCTION("""COMPUTED_VALUE"""),"Yes")</f>
        <v>Yes</v>
      </c>
      <c r="L382" s="55" t="str">
        <f>IFERROR(__xludf.DUMMYFUNCTION("""COMPUTED_VALUE"""),"Score 20.5 ≥ 20")</f>
        <v>Score 20.5 ≥ 20</v>
      </c>
      <c r="M382" s="55"/>
      <c r="N382" s="55" t="str">
        <f>IFERROR(__xludf.DUMMYFUNCTION("""COMPUTED_VALUE"""),"adcode-Q9jTBBZMLrii37Uae1L_yP9EYZFCMkla92bOkK1hwCTAMpTC_3RyamC7ZS7zm4bUZdI")</f>
        <v>adcode-Q9jTBBZMLrii37Uae1L_yP9EYZFCMkla92bOkK1hwCTAMpTC_3RyamC7ZS7zm4bUZdI</v>
      </c>
      <c r="O382" s="55">
        <f>IFERROR(__xludf.DUMMYFUNCTION("""COMPUTED_VALUE"""),257.0)</f>
        <v>257</v>
      </c>
      <c r="P382" s="55">
        <f>IFERROR(__xludf.DUMMYFUNCTION("""COMPUTED_VALUE"""),1.0)</f>
        <v>1</v>
      </c>
      <c r="Q382" s="55">
        <f>IFERROR(__xludf.DUMMYFUNCTION("""COMPUTED_VALUE"""),1.0)</f>
        <v>1</v>
      </c>
      <c r="R382" s="55">
        <f>IFERROR(__xludf.DUMMYFUNCTION("""COMPUTED_VALUE"""),0.0)</f>
        <v>0</v>
      </c>
      <c r="S382" s="55">
        <f>IFERROR(__xludf.DUMMYFUNCTION("""COMPUTED_VALUE"""),0.0)</f>
        <v>0</v>
      </c>
      <c r="T382" s="55">
        <f>IFERROR(__xludf.DUMMYFUNCTION("""COMPUTED_VALUE"""),117.58)</f>
        <v>117.58</v>
      </c>
      <c r="U382" s="55"/>
      <c r="V382" s="55"/>
      <c r="W382" s="55">
        <f>IFERROR(__xludf.DUMMYFUNCTION("""COMPUTED_VALUE"""),117.58)</f>
        <v>117.58</v>
      </c>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35"/>
      <c r="AX382" s="35"/>
      <c r="AY382" s="35"/>
      <c r="AZ382" s="35"/>
      <c r="BA382" s="35"/>
      <c r="BB382" s="35"/>
      <c r="BC382" s="35"/>
      <c r="BD382" s="35"/>
      <c r="BE382" s="35"/>
      <c r="BF382" s="35"/>
      <c r="BG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c r="AV383" s="35"/>
      <c r="AW383" s="35"/>
      <c r="AX383" s="35"/>
      <c r="AY383" s="35"/>
      <c r="AZ383" s="35"/>
      <c r="BA383" s="35"/>
      <c r="BB383" s="35"/>
      <c r="BC383" s="35"/>
      <c r="BD383" s="35"/>
      <c r="BE383" s="35"/>
      <c r="BF383" s="35"/>
      <c r="BG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c r="AV384" s="35"/>
      <c r="AW384" s="35"/>
      <c r="AX384" s="35"/>
      <c r="AY384" s="35"/>
      <c r="AZ384" s="35"/>
      <c r="BA384" s="35"/>
      <c r="BB384" s="35"/>
      <c r="BC384" s="35"/>
      <c r="BD384" s="35"/>
      <c r="BE384" s="35"/>
      <c r="BF384" s="35"/>
      <c r="BG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c r="AV385" s="35"/>
      <c r="AW385" s="35"/>
      <c r="AX385" s="35"/>
      <c r="AY385" s="35"/>
      <c r="AZ385" s="35"/>
      <c r="BA385" s="35"/>
      <c r="BB385" s="35"/>
      <c r="BC385" s="35"/>
      <c r="BD385" s="35"/>
      <c r="BE385" s="35"/>
      <c r="BF385" s="35"/>
      <c r="BG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c r="AV386" s="35"/>
      <c r="AW386" s="35"/>
      <c r="AX386" s="35"/>
      <c r="AY386" s="35"/>
      <c r="AZ386" s="35"/>
      <c r="BA386" s="35"/>
      <c r="BB386" s="35"/>
      <c r="BC386" s="35"/>
      <c r="BD386" s="35"/>
      <c r="BE386" s="35"/>
      <c r="BF386" s="35"/>
      <c r="BG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c r="AV387" s="35"/>
      <c r="AW387" s="35"/>
      <c r="AX387" s="35"/>
      <c r="AY387" s="35"/>
      <c r="AZ387" s="35"/>
      <c r="BA387" s="35"/>
      <c r="BB387" s="35"/>
      <c r="BC387" s="35"/>
      <c r="BD387" s="35"/>
      <c r="BE387" s="35"/>
      <c r="BF387" s="35"/>
      <c r="BG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c r="AV388" s="35"/>
      <c r="AW388" s="35"/>
      <c r="AX388" s="35"/>
      <c r="AY388" s="35"/>
      <c r="AZ388" s="35"/>
      <c r="BA388" s="35"/>
      <c r="BB388" s="35"/>
      <c r="BC388" s="35"/>
      <c r="BD388" s="35"/>
      <c r="BE388" s="35"/>
      <c r="BF388" s="35"/>
      <c r="BG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c r="AV389" s="35"/>
      <c r="AW389" s="35"/>
      <c r="AX389" s="35"/>
      <c r="AY389" s="35"/>
      <c r="AZ389" s="35"/>
      <c r="BA389" s="35"/>
      <c r="BB389" s="35"/>
      <c r="BC389" s="35"/>
      <c r="BD389" s="35"/>
      <c r="BE389" s="35"/>
      <c r="BF389" s="35"/>
      <c r="BG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c r="AV390" s="35"/>
      <c r="AW390" s="35"/>
      <c r="AX390" s="35"/>
      <c r="AY390" s="35"/>
      <c r="AZ390" s="35"/>
      <c r="BA390" s="35"/>
      <c r="BB390" s="35"/>
      <c r="BC390" s="35"/>
      <c r="BD390" s="35"/>
      <c r="BE390" s="35"/>
      <c r="BF390" s="35"/>
      <c r="BG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c r="AV391" s="35"/>
      <c r="AW391" s="35"/>
      <c r="AX391" s="35"/>
      <c r="AY391" s="35"/>
      <c r="AZ391" s="35"/>
      <c r="BA391" s="35"/>
      <c r="BB391" s="35"/>
      <c r="BC391" s="35"/>
      <c r="BD391" s="35"/>
      <c r="BE391" s="35"/>
      <c r="BF391" s="35"/>
      <c r="BG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c r="AV392" s="35"/>
      <c r="AW392" s="35"/>
      <c r="AX392" s="35"/>
      <c r="AY392" s="35"/>
      <c r="AZ392" s="35"/>
      <c r="BA392" s="35"/>
      <c r="BB392" s="35"/>
      <c r="BC392" s="35"/>
      <c r="BD392" s="35"/>
      <c r="BE392" s="35"/>
      <c r="BF392" s="35"/>
      <c r="BG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c r="AV393" s="35"/>
      <c r="AW393" s="35"/>
      <c r="AX393" s="35"/>
      <c r="AY393" s="35"/>
      <c r="AZ393" s="35"/>
      <c r="BA393" s="35"/>
      <c r="BB393" s="35"/>
      <c r="BC393" s="35"/>
      <c r="BD393" s="35"/>
      <c r="BE393" s="35"/>
      <c r="BF393" s="35"/>
      <c r="BG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c r="AV394" s="35"/>
      <c r="AW394" s="35"/>
      <c r="AX394" s="35"/>
      <c r="AY394" s="35"/>
      <c r="AZ394" s="35"/>
      <c r="BA394" s="35"/>
      <c r="BB394" s="35"/>
      <c r="BC394" s="35"/>
      <c r="BD394" s="35"/>
      <c r="BE394" s="35"/>
      <c r="BF394" s="35"/>
      <c r="BG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c r="AV395" s="35"/>
      <c r="AW395" s="35"/>
      <c r="AX395" s="35"/>
      <c r="AY395" s="35"/>
      <c r="AZ395" s="35"/>
      <c r="BA395" s="35"/>
      <c r="BB395" s="35"/>
      <c r="BC395" s="35"/>
      <c r="BD395" s="35"/>
      <c r="BE395" s="35"/>
      <c r="BF395" s="35"/>
      <c r="BG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c r="AV396" s="35"/>
      <c r="AW396" s="35"/>
      <c r="AX396" s="35"/>
      <c r="AY396" s="35"/>
      <c r="AZ396" s="35"/>
      <c r="BA396" s="35"/>
      <c r="BB396" s="35"/>
      <c r="BC396" s="35"/>
      <c r="BD396" s="35"/>
      <c r="BE396" s="35"/>
      <c r="BF396" s="35"/>
      <c r="BG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c r="AV397" s="35"/>
      <c r="AW397" s="35"/>
      <c r="AX397" s="35"/>
      <c r="AY397" s="35"/>
      <c r="AZ397" s="35"/>
      <c r="BA397" s="35"/>
      <c r="BB397" s="35"/>
      <c r="BC397" s="35"/>
      <c r="BD397" s="35"/>
      <c r="BE397" s="35"/>
      <c r="BF397" s="35"/>
      <c r="BG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c r="AV398" s="35"/>
      <c r="AW398" s="35"/>
      <c r="AX398" s="35"/>
      <c r="AY398" s="35"/>
      <c r="AZ398" s="35"/>
      <c r="BA398" s="35"/>
      <c r="BB398" s="35"/>
      <c r="BC398" s="35"/>
      <c r="BD398" s="35"/>
      <c r="BE398" s="35"/>
      <c r="BF398" s="35"/>
      <c r="BG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c r="AV399" s="35"/>
      <c r="AW399" s="35"/>
      <c r="AX399" s="35"/>
      <c r="AY399" s="35"/>
      <c r="AZ399" s="35"/>
      <c r="BA399" s="35"/>
      <c r="BB399" s="35"/>
      <c r="BC399" s="35"/>
      <c r="BD399" s="35"/>
      <c r="BE399" s="35"/>
      <c r="BF399" s="35"/>
      <c r="BG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c r="AV400" s="35"/>
      <c r="AW400" s="35"/>
      <c r="AX400" s="35"/>
      <c r="AY400" s="35"/>
      <c r="AZ400" s="35"/>
      <c r="BA400" s="35"/>
      <c r="BB400" s="35"/>
      <c r="BC400" s="35"/>
      <c r="BD400" s="35"/>
      <c r="BE400" s="35"/>
      <c r="BF400" s="35"/>
      <c r="BG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c r="AV401" s="35"/>
      <c r="AW401" s="35"/>
      <c r="AX401" s="35"/>
      <c r="AY401" s="35"/>
      <c r="AZ401" s="35"/>
      <c r="BA401" s="35"/>
      <c r="BB401" s="35"/>
      <c r="BC401" s="35"/>
      <c r="BD401" s="35"/>
      <c r="BE401" s="35"/>
      <c r="BF401" s="35"/>
      <c r="BG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c r="AV402" s="35"/>
      <c r="AW402" s="35"/>
      <c r="AX402" s="35"/>
      <c r="AY402" s="35"/>
      <c r="AZ402" s="35"/>
      <c r="BA402" s="35"/>
      <c r="BB402" s="35"/>
      <c r="BC402" s="35"/>
      <c r="BD402" s="35"/>
      <c r="BE402" s="35"/>
      <c r="BF402" s="35"/>
      <c r="BG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c r="AV403" s="35"/>
      <c r="AW403" s="35"/>
      <c r="AX403" s="35"/>
      <c r="AY403" s="35"/>
      <c r="AZ403" s="35"/>
      <c r="BA403" s="35"/>
      <c r="BB403" s="35"/>
      <c r="BC403" s="35"/>
      <c r="BD403" s="35"/>
      <c r="BE403" s="35"/>
      <c r="BF403" s="35"/>
      <c r="BG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c r="AV404" s="35"/>
      <c r="AW404" s="35"/>
      <c r="AX404" s="35"/>
      <c r="AY404" s="35"/>
      <c r="AZ404" s="35"/>
      <c r="BA404" s="35"/>
      <c r="BB404" s="35"/>
      <c r="BC404" s="35"/>
      <c r="BD404" s="35"/>
      <c r="BE404" s="35"/>
      <c r="BF404" s="35"/>
      <c r="BG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c r="AV405" s="35"/>
      <c r="AW405" s="35"/>
      <c r="AX405" s="35"/>
      <c r="AY405" s="35"/>
      <c r="AZ405" s="35"/>
      <c r="BA405" s="35"/>
      <c r="BB405" s="35"/>
      <c r="BC405" s="35"/>
      <c r="BD405" s="35"/>
      <c r="BE405" s="35"/>
      <c r="BF405" s="35"/>
      <c r="BG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c r="AV406" s="35"/>
      <c r="AW406" s="35"/>
      <c r="AX406" s="35"/>
      <c r="AY406" s="35"/>
      <c r="AZ406" s="35"/>
      <c r="BA406" s="35"/>
      <c r="BB406" s="35"/>
      <c r="BC406" s="35"/>
      <c r="BD406" s="35"/>
      <c r="BE406" s="35"/>
      <c r="BF406" s="35"/>
      <c r="BG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c r="AV407" s="35"/>
      <c r="AW407" s="35"/>
      <c r="AX407" s="35"/>
      <c r="AY407" s="35"/>
      <c r="AZ407" s="35"/>
      <c r="BA407" s="35"/>
      <c r="BB407" s="35"/>
      <c r="BC407" s="35"/>
      <c r="BD407" s="35"/>
      <c r="BE407" s="35"/>
      <c r="BF407" s="35"/>
      <c r="BG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c r="AV408" s="35"/>
      <c r="AW408" s="35"/>
      <c r="AX408" s="35"/>
      <c r="AY408" s="35"/>
      <c r="AZ408" s="35"/>
      <c r="BA408" s="35"/>
      <c r="BB408" s="35"/>
      <c r="BC408" s="35"/>
      <c r="BD408" s="35"/>
      <c r="BE408" s="35"/>
      <c r="BF408" s="35"/>
      <c r="BG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c r="AV409" s="35"/>
      <c r="AW409" s="35"/>
      <c r="AX409" s="35"/>
      <c r="AY409" s="35"/>
      <c r="AZ409" s="35"/>
      <c r="BA409" s="35"/>
      <c r="BB409" s="35"/>
      <c r="BC409" s="35"/>
      <c r="BD409" s="35"/>
      <c r="BE409" s="35"/>
      <c r="BF409" s="35"/>
      <c r="BG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c r="AV410" s="35"/>
      <c r="AW410" s="35"/>
      <c r="AX410" s="35"/>
      <c r="AY410" s="35"/>
      <c r="AZ410" s="35"/>
      <c r="BA410" s="35"/>
      <c r="BB410" s="35"/>
      <c r="BC410" s="35"/>
      <c r="BD410" s="35"/>
      <c r="BE410" s="35"/>
      <c r="BF410" s="35"/>
      <c r="BG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c r="AV411" s="35"/>
      <c r="AW411" s="35"/>
      <c r="AX411" s="35"/>
      <c r="AY411" s="35"/>
      <c r="AZ411" s="35"/>
      <c r="BA411" s="35"/>
      <c r="BB411" s="35"/>
      <c r="BC411" s="35"/>
      <c r="BD411" s="35"/>
      <c r="BE411" s="35"/>
      <c r="BF411" s="35"/>
      <c r="BG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c r="AV412" s="35"/>
      <c r="AW412" s="35"/>
      <c r="AX412" s="35"/>
      <c r="AY412" s="35"/>
      <c r="AZ412" s="35"/>
      <c r="BA412" s="35"/>
      <c r="BB412" s="35"/>
      <c r="BC412" s="35"/>
      <c r="BD412" s="35"/>
      <c r="BE412" s="35"/>
      <c r="BF412" s="35"/>
      <c r="BG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c r="AV413" s="35"/>
      <c r="AW413" s="35"/>
      <c r="AX413" s="35"/>
      <c r="AY413" s="35"/>
      <c r="AZ413" s="35"/>
      <c r="BA413" s="35"/>
      <c r="BB413" s="35"/>
      <c r="BC413" s="35"/>
      <c r="BD413" s="35"/>
      <c r="BE413" s="35"/>
      <c r="BF413" s="35"/>
      <c r="BG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c r="AV414" s="35"/>
      <c r="AW414" s="35"/>
      <c r="AX414" s="35"/>
      <c r="AY414" s="35"/>
      <c r="AZ414" s="35"/>
      <c r="BA414" s="35"/>
      <c r="BB414" s="35"/>
      <c r="BC414" s="35"/>
      <c r="BD414" s="35"/>
      <c r="BE414" s="35"/>
      <c r="BF414" s="35"/>
      <c r="BG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c r="AV415" s="35"/>
      <c r="AW415" s="35"/>
      <c r="AX415" s="35"/>
      <c r="AY415" s="35"/>
      <c r="AZ415" s="35"/>
      <c r="BA415" s="35"/>
      <c r="BB415" s="35"/>
      <c r="BC415" s="35"/>
      <c r="BD415" s="35"/>
      <c r="BE415" s="35"/>
      <c r="BF415" s="35"/>
      <c r="BG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c r="AV416" s="35"/>
      <c r="AW416" s="35"/>
      <c r="AX416" s="35"/>
      <c r="AY416" s="35"/>
      <c r="AZ416" s="35"/>
      <c r="BA416" s="35"/>
      <c r="BB416" s="35"/>
      <c r="BC416" s="35"/>
      <c r="BD416" s="35"/>
      <c r="BE416" s="35"/>
      <c r="BF416" s="35"/>
      <c r="BG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c r="AV417" s="35"/>
      <c r="AW417" s="35"/>
      <c r="AX417" s="35"/>
      <c r="AY417" s="35"/>
      <c r="AZ417" s="35"/>
      <c r="BA417" s="35"/>
      <c r="BB417" s="35"/>
      <c r="BC417" s="35"/>
      <c r="BD417" s="35"/>
      <c r="BE417" s="35"/>
      <c r="BF417" s="35"/>
      <c r="BG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c r="AV418" s="35"/>
      <c r="AW418" s="35"/>
      <c r="AX418" s="35"/>
      <c r="AY418" s="35"/>
      <c r="AZ418" s="35"/>
      <c r="BA418" s="35"/>
      <c r="BB418" s="35"/>
      <c r="BC418" s="35"/>
      <c r="BD418" s="35"/>
      <c r="BE418" s="35"/>
      <c r="BF418" s="35"/>
      <c r="BG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c r="AV419" s="35"/>
      <c r="AW419" s="35"/>
      <c r="AX419" s="35"/>
      <c r="AY419" s="35"/>
      <c r="AZ419" s="35"/>
      <c r="BA419" s="35"/>
      <c r="BB419" s="35"/>
      <c r="BC419" s="35"/>
      <c r="BD419" s="35"/>
      <c r="BE419" s="35"/>
      <c r="BF419" s="35"/>
      <c r="BG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c r="AV420" s="35"/>
      <c r="AW420" s="35"/>
      <c r="AX420" s="35"/>
      <c r="AY420" s="35"/>
      <c r="AZ420" s="35"/>
      <c r="BA420" s="35"/>
      <c r="BB420" s="35"/>
      <c r="BC420" s="35"/>
      <c r="BD420" s="35"/>
      <c r="BE420" s="35"/>
      <c r="BF420" s="35"/>
      <c r="BG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c r="AV421" s="35"/>
      <c r="AW421" s="35"/>
      <c r="AX421" s="35"/>
      <c r="AY421" s="35"/>
      <c r="AZ421" s="35"/>
      <c r="BA421" s="35"/>
      <c r="BB421" s="35"/>
      <c r="BC421" s="35"/>
      <c r="BD421" s="35"/>
      <c r="BE421" s="35"/>
      <c r="BF421" s="35"/>
      <c r="BG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c r="AV422" s="35"/>
      <c r="AW422" s="35"/>
      <c r="AX422" s="35"/>
      <c r="AY422" s="35"/>
      <c r="AZ422" s="35"/>
      <c r="BA422" s="35"/>
      <c r="BB422" s="35"/>
      <c r="BC422" s="35"/>
      <c r="BD422" s="35"/>
      <c r="BE422" s="35"/>
      <c r="BF422" s="35"/>
      <c r="BG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c r="AV423" s="35"/>
      <c r="AW423" s="35"/>
      <c r="AX423" s="35"/>
      <c r="AY423" s="35"/>
      <c r="AZ423" s="35"/>
      <c r="BA423" s="35"/>
      <c r="BB423" s="35"/>
      <c r="BC423" s="35"/>
      <c r="BD423" s="35"/>
      <c r="BE423" s="35"/>
      <c r="BF423" s="35"/>
      <c r="BG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c r="AV424" s="35"/>
      <c r="AW424" s="35"/>
      <c r="AX424" s="35"/>
      <c r="AY424" s="35"/>
      <c r="AZ424" s="35"/>
      <c r="BA424" s="35"/>
      <c r="BB424" s="35"/>
      <c r="BC424" s="35"/>
      <c r="BD424" s="35"/>
      <c r="BE424" s="35"/>
      <c r="BF424" s="35"/>
      <c r="BG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c r="AV425" s="35"/>
      <c r="AW425" s="35"/>
      <c r="AX425" s="35"/>
      <c r="AY425" s="35"/>
      <c r="AZ425" s="35"/>
      <c r="BA425" s="35"/>
      <c r="BB425" s="35"/>
      <c r="BC425" s="35"/>
      <c r="BD425" s="35"/>
      <c r="BE425" s="35"/>
      <c r="BF425" s="35"/>
      <c r="BG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c r="AV426" s="35"/>
      <c r="AW426" s="35"/>
      <c r="AX426" s="35"/>
      <c r="AY426" s="35"/>
      <c r="AZ426" s="35"/>
      <c r="BA426" s="35"/>
      <c r="BB426" s="35"/>
      <c r="BC426" s="35"/>
      <c r="BD426" s="35"/>
      <c r="BE426" s="35"/>
      <c r="BF426" s="35"/>
      <c r="BG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c r="AV427" s="35"/>
      <c r="AW427" s="35"/>
      <c r="AX427" s="35"/>
      <c r="AY427" s="35"/>
      <c r="AZ427" s="35"/>
      <c r="BA427" s="35"/>
      <c r="BB427" s="35"/>
      <c r="BC427" s="35"/>
      <c r="BD427" s="35"/>
      <c r="BE427" s="35"/>
      <c r="BF427" s="35"/>
      <c r="BG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c r="AV428" s="35"/>
      <c r="AW428" s="35"/>
      <c r="AX428" s="35"/>
      <c r="AY428" s="35"/>
      <c r="AZ428" s="35"/>
      <c r="BA428" s="35"/>
      <c r="BB428" s="35"/>
      <c r="BC428" s="35"/>
      <c r="BD428" s="35"/>
      <c r="BE428" s="35"/>
      <c r="BF428" s="35"/>
      <c r="BG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c r="AV429" s="35"/>
      <c r="AW429" s="35"/>
      <c r="AX429" s="35"/>
      <c r="AY429" s="35"/>
      <c r="AZ429" s="35"/>
      <c r="BA429" s="35"/>
      <c r="BB429" s="35"/>
      <c r="BC429" s="35"/>
      <c r="BD429" s="35"/>
      <c r="BE429" s="35"/>
      <c r="BF429" s="35"/>
      <c r="BG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c r="AV430" s="35"/>
      <c r="AW430" s="35"/>
      <c r="AX430" s="35"/>
      <c r="AY430" s="35"/>
      <c r="AZ430" s="35"/>
      <c r="BA430" s="35"/>
      <c r="BB430" s="35"/>
      <c r="BC430" s="35"/>
      <c r="BD430" s="35"/>
      <c r="BE430" s="35"/>
      <c r="BF430" s="35"/>
      <c r="BG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c r="AV431" s="35"/>
      <c r="AW431" s="35"/>
      <c r="AX431" s="35"/>
      <c r="AY431" s="35"/>
      <c r="AZ431" s="35"/>
      <c r="BA431" s="35"/>
      <c r="BB431" s="35"/>
      <c r="BC431" s="35"/>
      <c r="BD431" s="35"/>
      <c r="BE431" s="35"/>
      <c r="BF431" s="35"/>
      <c r="BG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c r="AV432" s="35"/>
      <c r="AW432" s="35"/>
      <c r="AX432" s="35"/>
      <c r="AY432" s="35"/>
      <c r="AZ432" s="35"/>
      <c r="BA432" s="35"/>
      <c r="BB432" s="35"/>
      <c r="BC432" s="35"/>
      <c r="BD432" s="35"/>
      <c r="BE432" s="35"/>
      <c r="BF432" s="35"/>
      <c r="BG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c r="AV433" s="35"/>
      <c r="AW433" s="35"/>
      <c r="AX433" s="35"/>
      <c r="AY433" s="35"/>
      <c r="AZ433" s="35"/>
      <c r="BA433" s="35"/>
      <c r="BB433" s="35"/>
      <c r="BC433" s="35"/>
      <c r="BD433" s="35"/>
      <c r="BE433" s="35"/>
      <c r="BF433" s="35"/>
      <c r="BG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c r="AV434" s="35"/>
      <c r="AW434" s="35"/>
      <c r="AX434" s="35"/>
      <c r="AY434" s="35"/>
      <c r="AZ434" s="35"/>
      <c r="BA434" s="35"/>
      <c r="BB434" s="35"/>
      <c r="BC434" s="35"/>
      <c r="BD434" s="35"/>
      <c r="BE434" s="35"/>
      <c r="BF434" s="35"/>
      <c r="BG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c r="AV435" s="35"/>
      <c r="AW435" s="35"/>
      <c r="AX435" s="35"/>
      <c r="AY435" s="35"/>
      <c r="AZ435" s="35"/>
      <c r="BA435" s="35"/>
      <c r="BB435" s="35"/>
      <c r="BC435" s="35"/>
      <c r="BD435" s="35"/>
      <c r="BE435" s="35"/>
      <c r="BF435" s="35"/>
      <c r="BG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c r="AV436" s="35"/>
      <c r="AW436" s="35"/>
      <c r="AX436" s="35"/>
      <c r="AY436" s="35"/>
      <c r="AZ436" s="35"/>
      <c r="BA436" s="35"/>
      <c r="BB436" s="35"/>
      <c r="BC436" s="35"/>
      <c r="BD436" s="35"/>
      <c r="BE436" s="35"/>
      <c r="BF436" s="35"/>
      <c r="BG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c r="AV437" s="35"/>
      <c r="AW437" s="35"/>
      <c r="AX437" s="35"/>
      <c r="AY437" s="35"/>
      <c r="AZ437" s="35"/>
      <c r="BA437" s="35"/>
      <c r="BB437" s="35"/>
      <c r="BC437" s="35"/>
      <c r="BD437" s="35"/>
      <c r="BE437" s="35"/>
      <c r="BF437" s="35"/>
      <c r="BG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c r="AV438" s="35"/>
      <c r="AW438" s="35"/>
      <c r="AX438" s="35"/>
      <c r="AY438" s="35"/>
      <c r="AZ438" s="35"/>
      <c r="BA438" s="35"/>
      <c r="BB438" s="35"/>
      <c r="BC438" s="35"/>
      <c r="BD438" s="35"/>
      <c r="BE438" s="35"/>
      <c r="BF438" s="35"/>
      <c r="BG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c r="AV439" s="35"/>
      <c r="AW439" s="35"/>
      <c r="AX439" s="35"/>
      <c r="AY439" s="35"/>
      <c r="AZ439" s="35"/>
      <c r="BA439" s="35"/>
      <c r="BB439" s="35"/>
      <c r="BC439" s="35"/>
      <c r="BD439" s="35"/>
      <c r="BE439" s="35"/>
      <c r="BF439" s="35"/>
      <c r="BG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c r="AV440" s="35"/>
      <c r="AW440" s="35"/>
      <c r="AX440" s="35"/>
      <c r="AY440" s="35"/>
      <c r="AZ440" s="35"/>
      <c r="BA440" s="35"/>
      <c r="BB440" s="35"/>
      <c r="BC440" s="35"/>
      <c r="BD440" s="35"/>
      <c r="BE440" s="35"/>
      <c r="BF440" s="35"/>
      <c r="BG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c r="AV441" s="35"/>
      <c r="AW441" s="35"/>
      <c r="AX441" s="35"/>
      <c r="AY441" s="35"/>
      <c r="AZ441" s="35"/>
      <c r="BA441" s="35"/>
      <c r="BB441" s="35"/>
      <c r="BC441" s="35"/>
      <c r="BD441" s="35"/>
      <c r="BE441" s="35"/>
      <c r="BF441" s="35"/>
      <c r="BG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c r="AV442" s="35"/>
      <c r="AW442" s="35"/>
      <c r="AX442" s="35"/>
      <c r="AY442" s="35"/>
      <c r="AZ442" s="35"/>
      <c r="BA442" s="35"/>
      <c r="BB442" s="35"/>
      <c r="BC442" s="35"/>
      <c r="BD442" s="35"/>
      <c r="BE442" s="35"/>
      <c r="BF442" s="35"/>
      <c r="BG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c r="AV443" s="35"/>
      <c r="AW443" s="35"/>
      <c r="AX443" s="35"/>
      <c r="AY443" s="35"/>
      <c r="AZ443" s="35"/>
      <c r="BA443" s="35"/>
      <c r="BB443" s="35"/>
      <c r="BC443" s="35"/>
      <c r="BD443" s="35"/>
      <c r="BE443" s="35"/>
      <c r="BF443" s="35"/>
      <c r="BG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c r="AV444" s="35"/>
      <c r="AW444" s="35"/>
      <c r="AX444" s="35"/>
      <c r="AY444" s="35"/>
      <c r="AZ444" s="35"/>
      <c r="BA444" s="35"/>
      <c r="BB444" s="35"/>
      <c r="BC444" s="35"/>
      <c r="BD444" s="35"/>
      <c r="BE444" s="35"/>
      <c r="BF444" s="35"/>
      <c r="BG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c r="AV445" s="35"/>
      <c r="AW445" s="35"/>
      <c r="AX445" s="35"/>
      <c r="AY445" s="35"/>
      <c r="AZ445" s="35"/>
      <c r="BA445" s="35"/>
      <c r="BB445" s="35"/>
      <c r="BC445" s="35"/>
      <c r="BD445" s="35"/>
      <c r="BE445" s="35"/>
      <c r="BF445" s="35"/>
      <c r="BG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c r="AV446" s="35"/>
      <c r="AW446" s="35"/>
      <c r="AX446" s="35"/>
      <c r="AY446" s="35"/>
      <c r="AZ446" s="35"/>
      <c r="BA446" s="35"/>
      <c r="BB446" s="35"/>
      <c r="BC446" s="35"/>
      <c r="BD446" s="35"/>
      <c r="BE446" s="35"/>
      <c r="BF446" s="35"/>
      <c r="BG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c r="AV447" s="35"/>
      <c r="AW447" s="35"/>
      <c r="AX447" s="35"/>
      <c r="AY447" s="35"/>
      <c r="AZ447" s="35"/>
      <c r="BA447" s="35"/>
      <c r="BB447" s="35"/>
      <c r="BC447" s="35"/>
      <c r="BD447" s="35"/>
      <c r="BE447" s="35"/>
      <c r="BF447" s="35"/>
      <c r="BG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c r="AV448" s="35"/>
      <c r="AW448" s="35"/>
      <c r="AX448" s="35"/>
      <c r="AY448" s="35"/>
      <c r="AZ448" s="35"/>
      <c r="BA448" s="35"/>
      <c r="BB448" s="35"/>
      <c r="BC448" s="35"/>
      <c r="BD448" s="35"/>
      <c r="BE448" s="35"/>
      <c r="BF448" s="35"/>
      <c r="BG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c r="AV449" s="35"/>
      <c r="AW449" s="35"/>
      <c r="AX449" s="35"/>
      <c r="AY449" s="35"/>
      <c r="AZ449" s="35"/>
      <c r="BA449" s="35"/>
      <c r="BB449" s="35"/>
      <c r="BC449" s="35"/>
      <c r="BD449" s="35"/>
      <c r="BE449" s="35"/>
      <c r="BF449" s="35"/>
      <c r="BG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c r="AV450" s="35"/>
      <c r="AW450" s="35"/>
      <c r="AX450" s="35"/>
      <c r="AY450" s="35"/>
      <c r="AZ450" s="35"/>
      <c r="BA450" s="35"/>
      <c r="BB450" s="35"/>
      <c r="BC450" s="35"/>
      <c r="BD450" s="35"/>
      <c r="BE450" s="35"/>
      <c r="BF450" s="35"/>
      <c r="BG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c r="AV451" s="35"/>
      <c r="AW451" s="35"/>
      <c r="AX451" s="35"/>
      <c r="AY451" s="35"/>
      <c r="AZ451" s="35"/>
      <c r="BA451" s="35"/>
      <c r="BB451" s="35"/>
      <c r="BC451" s="35"/>
      <c r="BD451" s="35"/>
      <c r="BE451" s="35"/>
      <c r="BF451" s="35"/>
      <c r="BG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c r="AV452" s="35"/>
      <c r="AW452" s="35"/>
      <c r="AX452" s="35"/>
      <c r="AY452" s="35"/>
      <c r="AZ452" s="35"/>
      <c r="BA452" s="35"/>
      <c r="BB452" s="35"/>
      <c r="BC452" s="35"/>
      <c r="BD452" s="35"/>
      <c r="BE452" s="35"/>
      <c r="BF452" s="35"/>
      <c r="BG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c r="AV453" s="35"/>
      <c r="AW453" s="35"/>
      <c r="AX453" s="35"/>
      <c r="AY453" s="35"/>
      <c r="AZ453" s="35"/>
      <c r="BA453" s="35"/>
      <c r="BB453" s="35"/>
      <c r="BC453" s="35"/>
      <c r="BD453" s="35"/>
      <c r="BE453" s="35"/>
      <c r="BF453" s="35"/>
      <c r="BG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c r="AV454" s="35"/>
      <c r="AW454" s="35"/>
      <c r="AX454" s="35"/>
      <c r="AY454" s="35"/>
      <c r="AZ454" s="35"/>
      <c r="BA454" s="35"/>
      <c r="BB454" s="35"/>
      <c r="BC454" s="35"/>
      <c r="BD454" s="35"/>
      <c r="BE454" s="35"/>
      <c r="BF454" s="35"/>
      <c r="BG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c r="AV455" s="35"/>
      <c r="AW455" s="35"/>
      <c r="AX455" s="35"/>
      <c r="AY455" s="35"/>
      <c r="AZ455" s="35"/>
      <c r="BA455" s="35"/>
      <c r="BB455" s="35"/>
      <c r="BC455" s="35"/>
      <c r="BD455" s="35"/>
      <c r="BE455" s="35"/>
      <c r="BF455" s="35"/>
      <c r="BG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c r="AV456" s="35"/>
      <c r="AW456" s="35"/>
      <c r="AX456" s="35"/>
      <c r="AY456" s="35"/>
      <c r="AZ456" s="35"/>
      <c r="BA456" s="35"/>
      <c r="BB456" s="35"/>
      <c r="BC456" s="35"/>
      <c r="BD456" s="35"/>
      <c r="BE456" s="35"/>
      <c r="BF456" s="35"/>
      <c r="BG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c r="AV457" s="35"/>
      <c r="AW457" s="35"/>
      <c r="AX457" s="35"/>
      <c r="AY457" s="35"/>
      <c r="AZ457" s="35"/>
      <c r="BA457" s="35"/>
      <c r="BB457" s="35"/>
      <c r="BC457" s="35"/>
      <c r="BD457" s="35"/>
      <c r="BE457" s="35"/>
      <c r="BF457" s="35"/>
      <c r="BG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c r="AV458" s="35"/>
      <c r="AW458" s="35"/>
      <c r="AX458" s="35"/>
      <c r="AY458" s="35"/>
      <c r="AZ458" s="35"/>
      <c r="BA458" s="35"/>
      <c r="BB458" s="35"/>
      <c r="BC458" s="35"/>
      <c r="BD458" s="35"/>
      <c r="BE458" s="35"/>
      <c r="BF458" s="35"/>
      <c r="BG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c r="AV459" s="35"/>
      <c r="AW459" s="35"/>
      <c r="AX459" s="35"/>
      <c r="AY459" s="35"/>
      <c r="AZ459" s="35"/>
      <c r="BA459" s="35"/>
      <c r="BB459" s="35"/>
      <c r="BC459" s="35"/>
      <c r="BD459" s="35"/>
      <c r="BE459" s="35"/>
      <c r="BF459" s="35"/>
      <c r="BG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c r="AV460" s="35"/>
      <c r="AW460" s="35"/>
      <c r="AX460" s="35"/>
      <c r="AY460" s="35"/>
      <c r="AZ460" s="35"/>
      <c r="BA460" s="35"/>
      <c r="BB460" s="35"/>
      <c r="BC460" s="35"/>
      <c r="BD460" s="35"/>
      <c r="BE460" s="35"/>
      <c r="BF460" s="35"/>
      <c r="BG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c r="AV461" s="35"/>
      <c r="AW461" s="35"/>
      <c r="AX461" s="35"/>
      <c r="AY461" s="35"/>
      <c r="AZ461" s="35"/>
      <c r="BA461" s="35"/>
      <c r="BB461" s="35"/>
      <c r="BC461" s="35"/>
      <c r="BD461" s="35"/>
      <c r="BE461" s="35"/>
      <c r="BF461" s="35"/>
      <c r="BG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c r="AV462" s="35"/>
      <c r="AW462" s="35"/>
      <c r="AX462" s="35"/>
      <c r="AY462" s="35"/>
      <c r="AZ462" s="35"/>
      <c r="BA462" s="35"/>
      <c r="BB462" s="35"/>
      <c r="BC462" s="35"/>
      <c r="BD462" s="35"/>
      <c r="BE462" s="35"/>
      <c r="BF462" s="35"/>
      <c r="BG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c r="AV463" s="35"/>
      <c r="AW463" s="35"/>
      <c r="AX463" s="35"/>
      <c r="AY463" s="35"/>
      <c r="AZ463" s="35"/>
      <c r="BA463" s="35"/>
      <c r="BB463" s="35"/>
      <c r="BC463" s="35"/>
      <c r="BD463" s="35"/>
      <c r="BE463" s="35"/>
      <c r="BF463" s="35"/>
      <c r="BG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c r="AV464" s="35"/>
      <c r="AW464" s="35"/>
      <c r="AX464" s="35"/>
      <c r="AY464" s="35"/>
      <c r="AZ464" s="35"/>
      <c r="BA464" s="35"/>
      <c r="BB464" s="35"/>
      <c r="BC464" s="35"/>
      <c r="BD464" s="35"/>
      <c r="BE464" s="35"/>
      <c r="BF464" s="35"/>
      <c r="BG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c r="AV465" s="35"/>
      <c r="AW465" s="35"/>
      <c r="AX465" s="35"/>
      <c r="AY465" s="35"/>
      <c r="AZ465" s="35"/>
      <c r="BA465" s="35"/>
      <c r="BB465" s="35"/>
      <c r="BC465" s="35"/>
      <c r="BD465" s="35"/>
      <c r="BE465" s="35"/>
      <c r="BF465" s="35"/>
      <c r="BG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c r="AV466" s="35"/>
      <c r="AW466" s="35"/>
      <c r="AX466" s="35"/>
      <c r="AY466" s="35"/>
      <c r="AZ466" s="35"/>
      <c r="BA466" s="35"/>
      <c r="BB466" s="35"/>
      <c r="BC466" s="35"/>
      <c r="BD466" s="35"/>
      <c r="BE466" s="35"/>
      <c r="BF466" s="35"/>
      <c r="BG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c r="AV467" s="35"/>
      <c r="AW467" s="35"/>
      <c r="AX467" s="35"/>
      <c r="AY467" s="35"/>
      <c r="AZ467" s="35"/>
      <c r="BA467" s="35"/>
      <c r="BB467" s="35"/>
      <c r="BC467" s="35"/>
      <c r="BD467" s="35"/>
      <c r="BE467" s="35"/>
      <c r="BF467" s="35"/>
      <c r="BG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c r="AV468" s="35"/>
      <c r="AW468" s="35"/>
      <c r="AX468" s="35"/>
      <c r="AY468" s="35"/>
      <c r="AZ468" s="35"/>
      <c r="BA468" s="35"/>
      <c r="BB468" s="35"/>
      <c r="BC468" s="35"/>
      <c r="BD468" s="35"/>
      <c r="BE468" s="35"/>
      <c r="BF468" s="35"/>
      <c r="BG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c r="AV469" s="35"/>
      <c r="AW469" s="35"/>
      <c r="AX469" s="35"/>
      <c r="AY469" s="35"/>
      <c r="AZ469" s="35"/>
      <c r="BA469" s="35"/>
      <c r="BB469" s="35"/>
      <c r="BC469" s="35"/>
      <c r="BD469" s="35"/>
      <c r="BE469" s="35"/>
      <c r="BF469" s="35"/>
      <c r="BG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c r="AV470" s="35"/>
      <c r="AW470" s="35"/>
      <c r="AX470" s="35"/>
      <c r="AY470" s="35"/>
      <c r="AZ470" s="35"/>
      <c r="BA470" s="35"/>
      <c r="BB470" s="35"/>
      <c r="BC470" s="35"/>
      <c r="BD470" s="35"/>
      <c r="BE470" s="35"/>
      <c r="BF470" s="35"/>
      <c r="BG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c r="AV471" s="35"/>
      <c r="AW471" s="35"/>
      <c r="AX471" s="35"/>
      <c r="AY471" s="35"/>
      <c r="AZ471" s="35"/>
      <c r="BA471" s="35"/>
      <c r="BB471" s="35"/>
      <c r="BC471" s="35"/>
      <c r="BD471" s="35"/>
      <c r="BE471" s="35"/>
      <c r="BF471" s="35"/>
      <c r="BG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c r="AV472" s="35"/>
      <c r="AW472" s="35"/>
      <c r="AX472" s="35"/>
      <c r="AY472" s="35"/>
      <c r="AZ472" s="35"/>
      <c r="BA472" s="35"/>
      <c r="BB472" s="35"/>
      <c r="BC472" s="35"/>
      <c r="BD472" s="35"/>
      <c r="BE472" s="35"/>
      <c r="BF472" s="35"/>
      <c r="BG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c r="AV473" s="35"/>
      <c r="AW473" s="35"/>
      <c r="AX473" s="35"/>
      <c r="AY473" s="35"/>
      <c r="AZ473" s="35"/>
      <c r="BA473" s="35"/>
      <c r="BB473" s="35"/>
      <c r="BC473" s="35"/>
      <c r="BD473" s="35"/>
      <c r="BE473" s="35"/>
      <c r="BF473" s="35"/>
      <c r="BG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c r="AV474" s="35"/>
      <c r="AW474" s="35"/>
      <c r="AX474" s="35"/>
      <c r="AY474" s="35"/>
      <c r="AZ474" s="35"/>
      <c r="BA474" s="35"/>
      <c r="BB474" s="35"/>
      <c r="BC474" s="35"/>
      <c r="BD474" s="35"/>
      <c r="BE474" s="35"/>
      <c r="BF474" s="35"/>
      <c r="BG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c r="AV475" s="35"/>
      <c r="AW475" s="35"/>
      <c r="AX475" s="35"/>
      <c r="AY475" s="35"/>
      <c r="AZ475" s="35"/>
      <c r="BA475" s="35"/>
      <c r="BB475" s="35"/>
      <c r="BC475" s="35"/>
      <c r="BD475" s="35"/>
      <c r="BE475" s="35"/>
      <c r="BF475" s="35"/>
      <c r="BG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c r="AV476" s="35"/>
      <c r="AW476" s="35"/>
      <c r="AX476" s="35"/>
      <c r="AY476" s="35"/>
      <c r="AZ476" s="35"/>
      <c r="BA476" s="35"/>
      <c r="BB476" s="35"/>
      <c r="BC476" s="35"/>
      <c r="BD476" s="35"/>
      <c r="BE476" s="35"/>
      <c r="BF476" s="35"/>
      <c r="BG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c r="AV477" s="35"/>
      <c r="AW477" s="35"/>
      <c r="AX477" s="35"/>
      <c r="AY477" s="35"/>
      <c r="AZ477" s="35"/>
      <c r="BA477" s="35"/>
      <c r="BB477" s="35"/>
      <c r="BC477" s="35"/>
      <c r="BD477" s="35"/>
      <c r="BE477" s="35"/>
      <c r="BF477" s="35"/>
      <c r="BG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c r="AV478" s="35"/>
      <c r="AW478" s="35"/>
      <c r="AX478" s="35"/>
      <c r="AY478" s="35"/>
      <c r="AZ478" s="35"/>
      <c r="BA478" s="35"/>
      <c r="BB478" s="35"/>
      <c r="BC478" s="35"/>
      <c r="BD478" s="35"/>
      <c r="BE478" s="35"/>
      <c r="BF478" s="35"/>
      <c r="BG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c r="AV479" s="35"/>
      <c r="AW479" s="35"/>
      <c r="AX479" s="35"/>
      <c r="AY479" s="35"/>
      <c r="AZ479" s="35"/>
      <c r="BA479" s="35"/>
      <c r="BB479" s="35"/>
      <c r="BC479" s="35"/>
      <c r="BD479" s="35"/>
      <c r="BE479" s="35"/>
      <c r="BF479" s="35"/>
      <c r="BG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c r="AV480" s="35"/>
      <c r="AW480" s="35"/>
      <c r="AX480" s="35"/>
      <c r="AY480" s="35"/>
      <c r="AZ480" s="35"/>
      <c r="BA480" s="35"/>
      <c r="BB480" s="35"/>
      <c r="BC480" s="35"/>
      <c r="BD480" s="35"/>
      <c r="BE480" s="35"/>
      <c r="BF480" s="35"/>
      <c r="BG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c r="AV481" s="35"/>
      <c r="AW481" s="35"/>
      <c r="AX481" s="35"/>
      <c r="AY481" s="35"/>
      <c r="AZ481" s="35"/>
      <c r="BA481" s="35"/>
      <c r="BB481" s="35"/>
      <c r="BC481" s="35"/>
      <c r="BD481" s="35"/>
      <c r="BE481" s="35"/>
      <c r="BF481" s="35"/>
      <c r="BG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c r="AV482" s="35"/>
      <c r="AW482" s="35"/>
      <c r="AX482" s="35"/>
      <c r="AY482" s="35"/>
      <c r="AZ482" s="35"/>
      <c r="BA482" s="35"/>
      <c r="BB482" s="35"/>
      <c r="BC482" s="35"/>
      <c r="BD482" s="35"/>
      <c r="BE482" s="35"/>
      <c r="BF482" s="35"/>
      <c r="BG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c r="AV483" s="35"/>
      <c r="AW483" s="35"/>
      <c r="AX483" s="35"/>
      <c r="AY483" s="35"/>
      <c r="AZ483" s="35"/>
      <c r="BA483" s="35"/>
      <c r="BB483" s="35"/>
      <c r="BC483" s="35"/>
      <c r="BD483" s="35"/>
      <c r="BE483" s="35"/>
      <c r="BF483" s="35"/>
      <c r="BG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c r="AV484" s="35"/>
      <c r="AW484" s="35"/>
      <c r="AX484" s="35"/>
      <c r="AY484" s="35"/>
      <c r="AZ484" s="35"/>
      <c r="BA484" s="35"/>
      <c r="BB484" s="35"/>
      <c r="BC484" s="35"/>
      <c r="BD484" s="35"/>
      <c r="BE484" s="35"/>
      <c r="BF484" s="35"/>
      <c r="BG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c r="AV485" s="35"/>
      <c r="AW485" s="35"/>
      <c r="AX485" s="35"/>
      <c r="AY485" s="35"/>
      <c r="AZ485" s="35"/>
      <c r="BA485" s="35"/>
      <c r="BB485" s="35"/>
      <c r="BC485" s="35"/>
      <c r="BD485" s="35"/>
      <c r="BE485" s="35"/>
      <c r="BF485" s="35"/>
      <c r="BG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c r="AV486" s="35"/>
      <c r="AW486" s="35"/>
      <c r="AX486" s="35"/>
      <c r="AY486" s="35"/>
      <c r="AZ486" s="35"/>
      <c r="BA486" s="35"/>
      <c r="BB486" s="35"/>
      <c r="BC486" s="35"/>
      <c r="BD486" s="35"/>
      <c r="BE486" s="35"/>
      <c r="BF486" s="35"/>
      <c r="BG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35"/>
      <c r="AY487" s="35"/>
      <c r="AZ487" s="35"/>
      <c r="BA487" s="35"/>
      <c r="BB487" s="35"/>
      <c r="BC487" s="35"/>
      <c r="BD487" s="35"/>
      <c r="BE487" s="35"/>
      <c r="BF487" s="35"/>
      <c r="BG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c r="AV488" s="35"/>
      <c r="AW488" s="35"/>
      <c r="AX488" s="35"/>
      <c r="AY488" s="35"/>
      <c r="AZ488" s="35"/>
      <c r="BA488" s="35"/>
      <c r="BB488" s="35"/>
      <c r="BC488" s="35"/>
      <c r="BD488" s="35"/>
      <c r="BE488" s="35"/>
      <c r="BF488" s="35"/>
      <c r="BG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c r="AV489" s="35"/>
      <c r="AW489" s="35"/>
      <c r="AX489" s="35"/>
      <c r="AY489" s="35"/>
      <c r="AZ489" s="35"/>
      <c r="BA489" s="35"/>
      <c r="BB489" s="35"/>
      <c r="BC489" s="35"/>
      <c r="BD489" s="35"/>
      <c r="BE489" s="35"/>
      <c r="BF489" s="35"/>
      <c r="BG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c r="AV491" s="35"/>
      <c r="AW491" s="35"/>
      <c r="AX491" s="35"/>
      <c r="AY491" s="35"/>
      <c r="AZ491" s="35"/>
      <c r="BA491" s="35"/>
      <c r="BB491" s="35"/>
      <c r="BC491" s="35"/>
      <c r="BD491" s="35"/>
      <c r="BE491" s="35"/>
      <c r="BF491" s="35"/>
      <c r="BG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c r="AV492" s="35"/>
      <c r="AW492" s="35"/>
      <c r="AX492" s="35"/>
      <c r="AY492" s="35"/>
      <c r="AZ492" s="35"/>
      <c r="BA492" s="35"/>
      <c r="BB492" s="35"/>
      <c r="BC492" s="35"/>
      <c r="BD492" s="35"/>
      <c r="BE492" s="35"/>
      <c r="BF492" s="35"/>
      <c r="BG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c r="AV493" s="35"/>
      <c r="AW493" s="35"/>
      <c r="AX493" s="35"/>
      <c r="AY493" s="35"/>
      <c r="AZ493" s="35"/>
      <c r="BA493" s="35"/>
      <c r="BB493" s="35"/>
      <c r="BC493" s="35"/>
      <c r="BD493" s="35"/>
      <c r="BE493" s="35"/>
      <c r="BF493" s="35"/>
      <c r="BG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c r="AV494" s="35"/>
      <c r="AW494" s="35"/>
      <c r="AX494" s="35"/>
      <c r="AY494" s="35"/>
      <c r="AZ494" s="35"/>
      <c r="BA494" s="35"/>
      <c r="BB494" s="35"/>
      <c r="BC494" s="35"/>
      <c r="BD494" s="35"/>
      <c r="BE494" s="35"/>
      <c r="BF494" s="35"/>
      <c r="BG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c r="AV495" s="35"/>
      <c r="AW495" s="35"/>
      <c r="AX495" s="35"/>
      <c r="AY495" s="35"/>
      <c r="AZ495" s="35"/>
      <c r="BA495" s="35"/>
      <c r="BB495" s="35"/>
      <c r="BC495" s="35"/>
      <c r="BD495" s="35"/>
      <c r="BE495" s="35"/>
      <c r="BF495" s="35"/>
      <c r="BG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c r="AV496" s="35"/>
      <c r="AW496" s="35"/>
      <c r="AX496" s="35"/>
      <c r="AY496" s="35"/>
      <c r="AZ496" s="35"/>
      <c r="BA496" s="35"/>
      <c r="BB496" s="35"/>
      <c r="BC496" s="35"/>
      <c r="BD496" s="35"/>
      <c r="BE496" s="35"/>
      <c r="BF496" s="35"/>
      <c r="BG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c r="AV497" s="35"/>
      <c r="AW497" s="35"/>
      <c r="AX497" s="35"/>
      <c r="AY497" s="35"/>
      <c r="AZ497" s="35"/>
      <c r="BA497" s="35"/>
      <c r="BB497" s="35"/>
      <c r="BC497" s="35"/>
      <c r="BD497" s="35"/>
      <c r="BE497" s="35"/>
      <c r="BF497" s="35"/>
      <c r="BG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c r="AV498" s="35"/>
      <c r="AW498" s="35"/>
      <c r="AX498" s="35"/>
      <c r="AY498" s="35"/>
      <c r="AZ498" s="35"/>
      <c r="BA498" s="35"/>
      <c r="BB498" s="35"/>
      <c r="BC498" s="35"/>
      <c r="BD498" s="35"/>
      <c r="BE498" s="35"/>
      <c r="BF498" s="35"/>
      <c r="BG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c r="AV499" s="35"/>
      <c r="AW499" s="35"/>
      <c r="AX499" s="35"/>
      <c r="AY499" s="35"/>
      <c r="AZ499" s="35"/>
      <c r="BA499" s="35"/>
      <c r="BB499" s="35"/>
      <c r="BC499" s="35"/>
      <c r="BD499" s="35"/>
      <c r="BE499" s="35"/>
      <c r="BF499" s="35"/>
      <c r="BG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c r="AV500" s="35"/>
      <c r="AW500" s="35"/>
      <c r="AX500" s="35"/>
      <c r="AY500" s="35"/>
      <c r="AZ500" s="35"/>
      <c r="BA500" s="35"/>
      <c r="BB500" s="35"/>
      <c r="BC500" s="35"/>
      <c r="BD500" s="35"/>
      <c r="BE500" s="35"/>
      <c r="BF500" s="35"/>
      <c r="BG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c r="AV501" s="35"/>
      <c r="AW501" s="35"/>
      <c r="AX501" s="35"/>
      <c r="AY501" s="35"/>
      <c r="AZ501" s="35"/>
      <c r="BA501" s="35"/>
      <c r="BB501" s="35"/>
      <c r="BC501" s="35"/>
      <c r="BD501" s="35"/>
      <c r="BE501" s="35"/>
      <c r="BF501" s="35"/>
      <c r="BG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c r="AV517" s="35"/>
      <c r="AW517" s="35"/>
      <c r="AX517" s="35"/>
      <c r="AY517" s="35"/>
      <c r="AZ517" s="35"/>
      <c r="BA517" s="35"/>
      <c r="BB517" s="35"/>
      <c r="BC517" s="35"/>
      <c r="BD517" s="35"/>
      <c r="BE517" s="35"/>
      <c r="BF517" s="35"/>
      <c r="BG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c r="AV518" s="35"/>
      <c r="AW518" s="35"/>
      <c r="AX518" s="35"/>
      <c r="AY518" s="35"/>
      <c r="AZ518" s="35"/>
      <c r="BA518" s="35"/>
      <c r="BB518" s="35"/>
      <c r="BC518" s="35"/>
      <c r="BD518" s="35"/>
      <c r="BE518" s="35"/>
      <c r="BF518" s="35"/>
      <c r="BG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c r="AV519" s="35"/>
      <c r="AW519" s="35"/>
      <c r="AX519" s="35"/>
      <c r="AY519" s="35"/>
      <c r="AZ519" s="35"/>
      <c r="BA519" s="35"/>
      <c r="BB519" s="35"/>
      <c r="BC519" s="35"/>
      <c r="BD519" s="35"/>
      <c r="BE519" s="35"/>
      <c r="BF519" s="35"/>
      <c r="BG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c r="AV520" s="35"/>
      <c r="AW520" s="35"/>
      <c r="AX520" s="35"/>
      <c r="AY520" s="35"/>
      <c r="AZ520" s="35"/>
      <c r="BA520" s="35"/>
      <c r="BB520" s="35"/>
      <c r="BC520" s="35"/>
      <c r="BD520" s="35"/>
      <c r="BE520" s="35"/>
      <c r="BF520" s="35"/>
      <c r="BG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c r="AV521" s="35"/>
      <c r="AW521" s="35"/>
      <c r="AX521" s="35"/>
      <c r="AY521" s="35"/>
      <c r="AZ521" s="35"/>
      <c r="BA521" s="35"/>
      <c r="BB521" s="35"/>
      <c r="BC521" s="35"/>
      <c r="BD521" s="35"/>
      <c r="BE521" s="35"/>
      <c r="BF521" s="35"/>
      <c r="BG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c r="AV522" s="35"/>
      <c r="AW522" s="35"/>
      <c r="AX522" s="35"/>
      <c r="AY522" s="35"/>
      <c r="AZ522" s="35"/>
      <c r="BA522" s="35"/>
      <c r="BB522" s="35"/>
      <c r="BC522" s="35"/>
      <c r="BD522" s="35"/>
      <c r="BE522" s="35"/>
      <c r="BF522" s="35"/>
      <c r="BG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c r="AV523" s="35"/>
      <c r="AW523" s="35"/>
      <c r="AX523" s="35"/>
      <c r="AY523" s="35"/>
      <c r="AZ523" s="35"/>
      <c r="BA523" s="35"/>
      <c r="BB523" s="35"/>
      <c r="BC523" s="35"/>
      <c r="BD523" s="35"/>
      <c r="BE523" s="35"/>
      <c r="BF523" s="35"/>
      <c r="BG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c r="AV524" s="35"/>
      <c r="AW524" s="35"/>
      <c r="AX524" s="35"/>
      <c r="AY524" s="35"/>
      <c r="AZ524" s="35"/>
      <c r="BA524" s="35"/>
      <c r="BB524" s="35"/>
      <c r="BC524" s="35"/>
      <c r="BD524" s="35"/>
      <c r="BE524" s="35"/>
      <c r="BF524" s="35"/>
      <c r="BG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c r="AV525" s="35"/>
      <c r="AW525" s="35"/>
      <c r="AX525" s="35"/>
      <c r="AY525" s="35"/>
      <c r="AZ525" s="35"/>
      <c r="BA525" s="35"/>
      <c r="BB525" s="35"/>
      <c r="BC525" s="35"/>
      <c r="BD525" s="35"/>
      <c r="BE525" s="35"/>
      <c r="BF525" s="35"/>
      <c r="BG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c r="AV526" s="35"/>
      <c r="AW526" s="35"/>
      <c r="AX526" s="35"/>
      <c r="AY526" s="35"/>
      <c r="AZ526" s="35"/>
      <c r="BA526" s="35"/>
      <c r="BB526" s="35"/>
      <c r="BC526" s="35"/>
      <c r="BD526" s="35"/>
      <c r="BE526" s="35"/>
      <c r="BF526" s="35"/>
      <c r="BG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c r="AV527" s="35"/>
      <c r="AW527" s="35"/>
      <c r="AX527" s="35"/>
      <c r="AY527" s="35"/>
      <c r="AZ527" s="35"/>
      <c r="BA527" s="35"/>
      <c r="BB527" s="35"/>
      <c r="BC527" s="35"/>
      <c r="BD527" s="35"/>
      <c r="BE527" s="35"/>
      <c r="BF527" s="35"/>
      <c r="BG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c r="AV528" s="35"/>
      <c r="AW528" s="35"/>
      <c r="AX528" s="35"/>
      <c r="AY528" s="35"/>
      <c r="AZ528" s="35"/>
      <c r="BA528" s="35"/>
      <c r="BB528" s="35"/>
      <c r="BC528" s="35"/>
      <c r="BD528" s="35"/>
      <c r="BE528" s="35"/>
      <c r="BF528" s="35"/>
      <c r="BG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c r="AV529" s="35"/>
      <c r="AW529" s="35"/>
      <c r="AX529" s="35"/>
      <c r="AY529" s="35"/>
      <c r="AZ529" s="35"/>
      <c r="BA529" s="35"/>
      <c r="BB529" s="35"/>
      <c r="BC529" s="35"/>
      <c r="BD529" s="35"/>
      <c r="BE529" s="35"/>
      <c r="BF529" s="35"/>
      <c r="BG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c r="AV530" s="35"/>
      <c r="AW530" s="35"/>
      <c r="AX530" s="35"/>
      <c r="AY530" s="35"/>
      <c r="AZ530" s="35"/>
      <c r="BA530" s="35"/>
      <c r="BB530" s="35"/>
      <c r="BC530" s="35"/>
      <c r="BD530" s="35"/>
      <c r="BE530" s="35"/>
      <c r="BF530" s="35"/>
      <c r="BG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c r="AV531" s="35"/>
      <c r="AW531" s="35"/>
      <c r="AX531" s="35"/>
      <c r="AY531" s="35"/>
      <c r="AZ531" s="35"/>
      <c r="BA531" s="35"/>
      <c r="BB531" s="35"/>
      <c r="BC531" s="35"/>
      <c r="BD531" s="35"/>
      <c r="BE531" s="35"/>
      <c r="BF531" s="35"/>
      <c r="BG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c r="AV532" s="35"/>
      <c r="AW532" s="35"/>
      <c r="AX532" s="35"/>
      <c r="AY532" s="35"/>
      <c r="AZ532" s="35"/>
      <c r="BA532" s="35"/>
      <c r="BB532" s="35"/>
      <c r="BC532" s="35"/>
      <c r="BD532" s="35"/>
      <c r="BE532" s="35"/>
      <c r="BF532" s="35"/>
      <c r="BG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c r="AV533" s="35"/>
      <c r="AW533" s="35"/>
      <c r="AX533" s="35"/>
      <c r="AY533" s="35"/>
      <c r="AZ533" s="35"/>
      <c r="BA533" s="35"/>
      <c r="BB533" s="35"/>
      <c r="BC533" s="35"/>
      <c r="BD533" s="35"/>
      <c r="BE533" s="35"/>
      <c r="BF533" s="35"/>
      <c r="BG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c r="AV534" s="35"/>
      <c r="AW534" s="35"/>
      <c r="AX534" s="35"/>
      <c r="AY534" s="35"/>
      <c r="AZ534" s="35"/>
      <c r="BA534" s="35"/>
      <c r="BB534" s="35"/>
      <c r="BC534" s="35"/>
      <c r="BD534" s="35"/>
      <c r="BE534" s="35"/>
      <c r="BF534" s="35"/>
      <c r="BG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c r="AV535" s="35"/>
      <c r="AW535" s="35"/>
      <c r="AX535" s="35"/>
      <c r="AY535" s="35"/>
      <c r="AZ535" s="35"/>
      <c r="BA535" s="35"/>
      <c r="BB535" s="35"/>
      <c r="BC535" s="35"/>
      <c r="BD535" s="35"/>
      <c r="BE535" s="35"/>
      <c r="BF535" s="35"/>
      <c r="BG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c r="AV536" s="35"/>
      <c r="AW536" s="35"/>
      <c r="AX536" s="35"/>
      <c r="AY536" s="35"/>
      <c r="AZ536" s="35"/>
      <c r="BA536" s="35"/>
      <c r="BB536" s="35"/>
      <c r="BC536" s="35"/>
      <c r="BD536" s="35"/>
      <c r="BE536" s="35"/>
      <c r="BF536" s="35"/>
      <c r="BG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c r="AV537" s="35"/>
      <c r="AW537" s="35"/>
      <c r="AX537" s="35"/>
      <c r="AY537" s="35"/>
      <c r="AZ537" s="35"/>
      <c r="BA537" s="35"/>
      <c r="BB537" s="35"/>
      <c r="BC537" s="35"/>
      <c r="BD537" s="35"/>
      <c r="BE537" s="35"/>
      <c r="BF537" s="35"/>
      <c r="BG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c r="AV538" s="35"/>
      <c r="AW538" s="35"/>
      <c r="AX538" s="35"/>
      <c r="AY538" s="35"/>
      <c r="AZ538" s="35"/>
      <c r="BA538" s="35"/>
      <c r="BB538" s="35"/>
      <c r="BC538" s="35"/>
      <c r="BD538" s="35"/>
      <c r="BE538" s="35"/>
      <c r="BF538" s="35"/>
      <c r="BG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c r="AV539" s="35"/>
      <c r="AW539" s="35"/>
      <c r="AX539" s="35"/>
      <c r="AY539" s="35"/>
      <c r="AZ539" s="35"/>
      <c r="BA539" s="35"/>
      <c r="BB539" s="35"/>
      <c r="BC539" s="35"/>
      <c r="BD539" s="35"/>
      <c r="BE539" s="35"/>
      <c r="BF539" s="35"/>
      <c r="BG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c r="AV540" s="35"/>
      <c r="AW540" s="35"/>
      <c r="AX540" s="35"/>
      <c r="AY540" s="35"/>
      <c r="AZ540" s="35"/>
      <c r="BA540" s="35"/>
      <c r="BB540" s="35"/>
      <c r="BC540" s="35"/>
      <c r="BD540" s="35"/>
      <c r="BE540" s="35"/>
      <c r="BF540" s="35"/>
      <c r="BG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c r="AV541" s="35"/>
      <c r="AW541" s="35"/>
      <c r="AX541" s="35"/>
      <c r="AY541" s="35"/>
      <c r="AZ541" s="35"/>
      <c r="BA541" s="35"/>
      <c r="BB541" s="35"/>
      <c r="BC541" s="35"/>
      <c r="BD541" s="35"/>
      <c r="BE541" s="35"/>
      <c r="BF541" s="35"/>
      <c r="BG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c r="AV542" s="35"/>
      <c r="AW542" s="35"/>
      <c r="AX542" s="35"/>
      <c r="AY542" s="35"/>
      <c r="AZ542" s="35"/>
      <c r="BA542" s="35"/>
      <c r="BB542" s="35"/>
      <c r="BC542" s="35"/>
      <c r="BD542" s="35"/>
      <c r="BE542" s="35"/>
      <c r="BF542" s="35"/>
      <c r="BG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c r="AV543" s="35"/>
      <c r="AW543" s="35"/>
      <c r="AX543" s="35"/>
      <c r="AY543" s="35"/>
      <c r="AZ543" s="35"/>
      <c r="BA543" s="35"/>
      <c r="BB543" s="35"/>
      <c r="BC543" s="35"/>
      <c r="BD543" s="35"/>
      <c r="BE543" s="35"/>
      <c r="BF543" s="35"/>
      <c r="BG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c r="AV544" s="35"/>
      <c r="AW544" s="35"/>
      <c r="AX544" s="35"/>
      <c r="AY544" s="35"/>
      <c r="AZ544" s="35"/>
      <c r="BA544" s="35"/>
      <c r="BB544" s="35"/>
      <c r="BC544" s="35"/>
      <c r="BD544" s="35"/>
      <c r="BE544" s="35"/>
      <c r="BF544" s="35"/>
      <c r="BG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c r="AV545" s="35"/>
      <c r="AW545" s="35"/>
      <c r="AX545" s="35"/>
      <c r="AY545" s="35"/>
      <c r="AZ545" s="35"/>
      <c r="BA545" s="35"/>
      <c r="BB545" s="35"/>
      <c r="BC545" s="35"/>
      <c r="BD545" s="35"/>
      <c r="BE545" s="35"/>
      <c r="BF545" s="35"/>
      <c r="BG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c r="AV546" s="35"/>
      <c r="AW546" s="35"/>
      <c r="AX546" s="35"/>
      <c r="AY546" s="35"/>
      <c r="AZ546" s="35"/>
      <c r="BA546" s="35"/>
      <c r="BB546" s="35"/>
      <c r="BC546" s="35"/>
      <c r="BD546" s="35"/>
      <c r="BE546" s="35"/>
      <c r="BF546" s="35"/>
      <c r="BG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c r="AV547" s="35"/>
      <c r="AW547" s="35"/>
      <c r="AX547" s="35"/>
      <c r="AY547" s="35"/>
      <c r="AZ547" s="35"/>
      <c r="BA547" s="35"/>
      <c r="BB547" s="35"/>
      <c r="BC547" s="35"/>
      <c r="BD547" s="35"/>
      <c r="BE547" s="35"/>
      <c r="BF547" s="35"/>
      <c r="BG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c r="AV548" s="35"/>
      <c r="AW548" s="35"/>
      <c r="AX548" s="35"/>
      <c r="AY548" s="35"/>
      <c r="AZ548" s="35"/>
      <c r="BA548" s="35"/>
      <c r="BB548" s="35"/>
      <c r="BC548" s="35"/>
      <c r="BD548" s="35"/>
      <c r="BE548" s="35"/>
      <c r="BF548" s="35"/>
      <c r="BG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c r="AV549" s="35"/>
      <c r="AW549" s="35"/>
      <c r="AX549" s="35"/>
      <c r="AY549" s="35"/>
      <c r="AZ549" s="35"/>
      <c r="BA549" s="35"/>
      <c r="BB549" s="35"/>
      <c r="BC549" s="35"/>
      <c r="BD549" s="35"/>
      <c r="BE549" s="35"/>
      <c r="BF549" s="35"/>
      <c r="BG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c r="AV550" s="35"/>
      <c r="AW550" s="35"/>
      <c r="AX550" s="35"/>
      <c r="AY550" s="35"/>
      <c r="AZ550" s="35"/>
      <c r="BA550" s="35"/>
      <c r="BB550" s="35"/>
      <c r="BC550" s="35"/>
      <c r="BD550" s="35"/>
      <c r="BE550" s="35"/>
      <c r="BF550" s="35"/>
      <c r="BG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c r="AV551" s="35"/>
      <c r="AW551" s="35"/>
      <c r="AX551" s="35"/>
      <c r="AY551" s="35"/>
      <c r="AZ551" s="35"/>
      <c r="BA551" s="35"/>
      <c r="BB551" s="35"/>
      <c r="BC551" s="35"/>
      <c r="BD551" s="35"/>
      <c r="BE551" s="35"/>
      <c r="BF551" s="35"/>
      <c r="BG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c r="AV552" s="35"/>
      <c r="AW552" s="35"/>
      <c r="AX552" s="35"/>
      <c r="AY552" s="35"/>
      <c r="AZ552" s="35"/>
      <c r="BA552" s="35"/>
      <c r="BB552" s="35"/>
      <c r="BC552" s="35"/>
      <c r="BD552" s="35"/>
      <c r="BE552" s="35"/>
      <c r="BF552" s="35"/>
      <c r="BG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c r="AV553" s="35"/>
      <c r="AW553" s="35"/>
      <c r="AX553" s="35"/>
      <c r="AY553" s="35"/>
      <c r="AZ553" s="35"/>
      <c r="BA553" s="35"/>
      <c r="BB553" s="35"/>
      <c r="BC553" s="35"/>
      <c r="BD553" s="35"/>
      <c r="BE553" s="35"/>
      <c r="BF553" s="35"/>
      <c r="BG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c r="AV554" s="35"/>
      <c r="AW554" s="35"/>
      <c r="AX554" s="35"/>
      <c r="AY554" s="35"/>
      <c r="AZ554" s="35"/>
      <c r="BA554" s="35"/>
      <c r="BB554" s="35"/>
      <c r="BC554" s="35"/>
      <c r="BD554" s="35"/>
      <c r="BE554" s="35"/>
      <c r="BF554" s="35"/>
      <c r="BG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c r="AV555" s="35"/>
      <c r="AW555" s="35"/>
      <c r="AX555" s="35"/>
      <c r="AY555" s="35"/>
      <c r="AZ555" s="35"/>
      <c r="BA555" s="35"/>
      <c r="BB555" s="35"/>
      <c r="BC555" s="35"/>
      <c r="BD555" s="35"/>
      <c r="BE555" s="35"/>
      <c r="BF555" s="35"/>
      <c r="BG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c r="AV556" s="35"/>
      <c r="AW556" s="35"/>
      <c r="AX556" s="35"/>
      <c r="AY556" s="35"/>
      <c r="AZ556" s="35"/>
      <c r="BA556" s="35"/>
      <c r="BB556" s="35"/>
      <c r="BC556" s="35"/>
      <c r="BD556" s="35"/>
      <c r="BE556" s="35"/>
      <c r="BF556" s="35"/>
      <c r="BG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c r="AV557" s="35"/>
      <c r="AW557" s="35"/>
      <c r="AX557" s="35"/>
      <c r="AY557" s="35"/>
      <c r="AZ557" s="35"/>
      <c r="BA557" s="35"/>
      <c r="BB557" s="35"/>
      <c r="BC557" s="35"/>
      <c r="BD557" s="35"/>
      <c r="BE557" s="35"/>
      <c r="BF557" s="35"/>
      <c r="BG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c r="AV558" s="35"/>
      <c r="AW558" s="35"/>
      <c r="AX558" s="35"/>
      <c r="AY558" s="35"/>
      <c r="AZ558" s="35"/>
      <c r="BA558" s="35"/>
      <c r="BB558" s="35"/>
      <c r="BC558" s="35"/>
      <c r="BD558" s="35"/>
      <c r="BE558" s="35"/>
      <c r="BF558" s="35"/>
      <c r="BG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c r="AV559" s="35"/>
      <c r="AW559" s="35"/>
      <c r="AX559" s="35"/>
      <c r="AY559" s="35"/>
      <c r="AZ559" s="35"/>
      <c r="BA559" s="35"/>
      <c r="BB559" s="35"/>
      <c r="BC559" s="35"/>
      <c r="BD559" s="35"/>
      <c r="BE559" s="35"/>
      <c r="BF559" s="35"/>
      <c r="BG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c r="AV560" s="35"/>
      <c r="AW560" s="35"/>
      <c r="AX560" s="35"/>
      <c r="AY560" s="35"/>
      <c r="AZ560" s="35"/>
      <c r="BA560" s="35"/>
      <c r="BB560" s="35"/>
      <c r="BC560" s="35"/>
      <c r="BD560" s="35"/>
      <c r="BE560" s="35"/>
      <c r="BF560" s="35"/>
      <c r="BG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c r="AV561" s="35"/>
      <c r="AW561" s="35"/>
      <c r="AX561" s="35"/>
      <c r="AY561" s="35"/>
      <c r="AZ561" s="35"/>
      <c r="BA561" s="35"/>
      <c r="BB561" s="35"/>
      <c r="BC561" s="35"/>
      <c r="BD561" s="35"/>
      <c r="BE561" s="35"/>
      <c r="BF561" s="35"/>
      <c r="BG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c r="AV562" s="35"/>
      <c r="AW562" s="35"/>
      <c r="AX562" s="35"/>
      <c r="AY562" s="35"/>
      <c r="AZ562" s="35"/>
      <c r="BA562" s="35"/>
      <c r="BB562" s="35"/>
      <c r="BC562" s="35"/>
      <c r="BD562" s="35"/>
      <c r="BE562" s="35"/>
      <c r="BF562" s="35"/>
      <c r="BG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c r="AV563" s="35"/>
      <c r="AW563" s="35"/>
      <c r="AX563" s="35"/>
      <c r="AY563" s="35"/>
      <c r="AZ563" s="35"/>
      <c r="BA563" s="35"/>
      <c r="BB563" s="35"/>
      <c r="BC563" s="35"/>
      <c r="BD563" s="35"/>
      <c r="BE563" s="35"/>
      <c r="BF563" s="35"/>
      <c r="BG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c r="AV564" s="35"/>
      <c r="AW564" s="35"/>
      <c r="AX564" s="35"/>
      <c r="AY564" s="35"/>
      <c r="AZ564" s="35"/>
      <c r="BA564" s="35"/>
      <c r="BB564" s="35"/>
      <c r="BC564" s="35"/>
      <c r="BD564" s="35"/>
      <c r="BE564" s="35"/>
      <c r="BF564" s="35"/>
      <c r="BG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c r="AV565" s="35"/>
      <c r="AW565" s="35"/>
      <c r="AX565" s="35"/>
      <c r="AY565" s="35"/>
      <c r="AZ565" s="35"/>
      <c r="BA565" s="35"/>
      <c r="BB565" s="35"/>
      <c r="BC565" s="35"/>
      <c r="BD565" s="35"/>
      <c r="BE565" s="35"/>
      <c r="BF565" s="35"/>
      <c r="BG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c r="AV566" s="35"/>
      <c r="AW566" s="35"/>
      <c r="AX566" s="35"/>
      <c r="AY566" s="35"/>
      <c r="AZ566" s="35"/>
      <c r="BA566" s="35"/>
      <c r="BB566" s="35"/>
      <c r="BC566" s="35"/>
      <c r="BD566" s="35"/>
      <c r="BE566" s="35"/>
      <c r="BF566" s="35"/>
      <c r="BG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c r="AV567" s="35"/>
      <c r="AW567" s="35"/>
      <c r="AX567" s="35"/>
      <c r="AY567" s="35"/>
      <c r="AZ567" s="35"/>
      <c r="BA567" s="35"/>
      <c r="BB567" s="35"/>
      <c r="BC567" s="35"/>
      <c r="BD567" s="35"/>
      <c r="BE567" s="35"/>
      <c r="BF567" s="35"/>
      <c r="BG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c r="AV568" s="35"/>
      <c r="AW568" s="35"/>
      <c r="AX568" s="35"/>
      <c r="AY568" s="35"/>
      <c r="AZ568" s="35"/>
      <c r="BA568" s="35"/>
      <c r="BB568" s="35"/>
      <c r="BC568" s="35"/>
      <c r="BD568" s="35"/>
      <c r="BE568" s="35"/>
      <c r="BF568" s="35"/>
      <c r="BG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c r="AV569" s="35"/>
      <c r="AW569" s="35"/>
      <c r="AX569" s="35"/>
      <c r="AY569" s="35"/>
      <c r="AZ569" s="35"/>
      <c r="BA569" s="35"/>
      <c r="BB569" s="35"/>
      <c r="BC569" s="35"/>
      <c r="BD569" s="35"/>
      <c r="BE569" s="35"/>
      <c r="BF569" s="35"/>
      <c r="BG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c r="AV570" s="35"/>
      <c r="AW570" s="35"/>
      <c r="AX570" s="35"/>
      <c r="AY570" s="35"/>
      <c r="AZ570" s="35"/>
      <c r="BA570" s="35"/>
      <c r="BB570" s="35"/>
      <c r="BC570" s="35"/>
      <c r="BD570" s="35"/>
      <c r="BE570" s="35"/>
      <c r="BF570" s="35"/>
      <c r="BG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c r="AV571" s="35"/>
      <c r="AW571" s="35"/>
      <c r="AX571" s="35"/>
      <c r="AY571" s="35"/>
      <c r="AZ571" s="35"/>
      <c r="BA571" s="35"/>
      <c r="BB571" s="35"/>
      <c r="BC571" s="35"/>
      <c r="BD571" s="35"/>
      <c r="BE571" s="35"/>
      <c r="BF571" s="35"/>
      <c r="BG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c r="AV572" s="35"/>
      <c r="AW572" s="35"/>
      <c r="AX572" s="35"/>
      <c r="AY572" s="35"/>
      <c r="AZ572" s="35"/>
      <c r="BA572" s="35"/>
      <c r="BB572" s="35"/>
      <c r="BC572" s="35"/>
      <c r="BD572" s="35"/>
      <c r="BE572" s="35"/>
      <c r="BF572" s="35"/>
      <c r="BG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c r="AV573" s="35"/>
      <c r="AW573" s="35"/>
      <c r="AX573" s="35"/>
      <c r="AY573" s="35"/>
      <c r="AZ573" s="35"/>
      <c r="BA573" s="35"/>
      <c r="BB573" s="35"/>
      <c r="BC573" s="35"/>
      <c r="BD573" s="35"/>
      <c r="BE573" s="35"/>
      <c r="BF573" s="35"/>
      <c r="BG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c r="AV574" s="35"/>
      <c r="AW574" s="35"/>
      <c r="AX574" s="35"/>
      <c r="AY574" s="35"/>
      <c r="AZ574" s="35"/>
      <c r="BA574" s="35"/>
      <c r="BB574" s="35"/>
      <c r="BC574" s="35"/>
      <c r="BD574" s="35"/>
      <c r="BE574" s="35"/>
      <c r="BF574" s="35"/>
      <c r="BG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c r="AV575" s="35"/>
      <c r="AW575" s="35"/>
      <c r="AX575" s="35"/>
      <c r="AY575" s="35"/>
      <c r="AZ575" s="35"/>
      <c r="BA575" s="35"/>
      <c r="BB575" s="35"/>
      <c r="BC575" s="35"/>
      <c r="BD575" s="35"/>
      <c r="BE575" s="35"/>
      <c r="BF575" s="35"/>
      <c r="BG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c r="AV576" s="35"/>
      <c r="AW576" s="35"/>
      <c r="AX576" s="35"/>
      <c r="AY576" s="35"/>
      <c r="AZ576" s="35"/>
      <c r="BA576" s="35"/>
      <c r="BB576" s="35"/>
      <c r="BC576" s="35"/>
      <c r="BD576" s="35"/>
      <c r="BE576" s="35"/>
      <c r="BF576" s="35"/>
      <c r="BG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c r="AV577" s="35"/>
      <c r="AW577" s="35"/>
      <c r="AX577" s="35"/>
      <c r="AY577" s="35"/>
      <c r="AZ577" s="35"/>
      <c r="BA577" s="35"/>
      <c r="BB577" s="35"/>
      <c r="BC577" s="35"/>
      <c r="BD577" s="35"/>
      <c r="BE577" s="35"/>
      <c r="BF577" s="35"/>
      <c r="BG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c r="AV578" s="35"/>
      <c r="AW578" s="35"/>
      <c r="AX578" s="35"/>
      <c r="AY578" s="35"/>
      <c r="AZ578" s="35"/>
      <c r="BA578" s="35"/>
      <c r="BB578" s="35"/>
      <c r="BC578" s="35"/>
      <c r="BD578" s="35"/>
      <c r="BE578" s="35"/>
      <c r="BF578" s="35"/>
      <c r="BG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c r="AV579" s="35"/>
      <c r="AW579" s="35"/>
      <c r="AX579" s="35"/>
      <c r="AY579" s="35"/>
      <c r="AZ579" s="35"/>
      <c r="BA579" s="35"/>
      <c r="BB579" s="35"/>
      <c r="BC579" s="35"/>
      <c r="BD579" s="35"/>
      <c r="BE579" s="35"/>
      <c r="BF579" s="35"/>
      <c r="BG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c r="AV580" s="35"/>
      <c r="AW580" s="35"/>
      <c r="AX580" s="35"/>
      <c r="AY580" s="35"/>
      <c r="AZ580" s="35"/>
      <c r="BA580" s="35"/>
      <c r="BB580" s="35"/>
      <c r="BC580" s="35"/>
      <c r="BD580" s="35"/>
      <c r="BE580" s="35"/>
      <c r="BF580" s="35"/>
      <c r="BG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c r="AV581" s="35"/>
      <c r="AW581" s="35"/>
      <c r="AX581" s="35"/>
      <c r="AY581" s="35"/>
      <c r="AZ581" s="35"/>
      <c r="BA581" s="35"/>
      <c r="BB581" s="35"/>
      <c r="BC581" s="35"/>
      <c r="BD581" s="35"/>
      <c r="BE581" s="35"/>
      <c r="BF581" s="35"/>
      <c r="BG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c r="AV582" s="35"/>
      <c r="AW582" s="35"/>
      <c r="AX582" s="35"/>
      <c r="AY582" s="35"/>
      <c r="AZ582" s="35"/>
      <c r="BA582" s="35"/>
      <c r="BB582" s="35"/>
      <c r="BC582" s="35"/>
      <c r="BD582" s="35"/>
      <c r="BE582" s="35"/>
      <c r="BF582" s="35"/>
      <c r="BG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c r="AV583" s="35"/>
      <c r="AW583" s="35"/>
      <c r="AX583" s="35"/>
      <c r="AY583" s="35"/>
      <c r="AZ583" s="35"/>
      <c r="BA583" s="35"/>
      <c r="BB583" s="35"/>
      <c r="BC583" s="35"/>
      <c r="BD583" s="35"/>
      <c r="BE583" s="35"/>
      <c r="BF583" s="35"/>
      <c r="BG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c r="AV584" s="35"/>
      <c r="AW584" s="35"/>
      <c r="AX584" s="35"/>
      <c r="AY584" s="35"/>
      <c r="AZ584" s="35"/>
      <c r="BA584" s="35"/>
      <c r="BB584" s="35"/>
      <c r="BC584" s="35"/>
      <c r="BD584" s="35"/>
      <c r="BE584" s="35"/>
      <c r="BF584" s="35"/>
      <c r="BG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c r="AV585" s="35"/>
      <c r="AW585" s="35"/>
      <c r="AX585" s="35"/>
      <c r="AY585" s="35"/>
      <c r="AZ585" s="35"/>
      <c r="BA585" s="35"/>
      <c r="BB585" s="35"/>
      <c r="BC585" s="35"/>
      <c r="BD585" s="35"/>
      <c r="BE585" s="35"/>
      <c r="BF585" s="35"/>
      <c r="BG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c r="AV586" s="35"/>
      <c r="AW586" s="35"/>
      <c r="AX586" s="35"/>
      <c r="AY586" s="35"/>
      <c r="AZ586" s="35"/>
      <c r="BA586" s="35"/>
      <c r="BB586" s="35"/>
      <c r="BC586" s="35"/>
      <c r="BD586" s="35"/>
      <c r="BE586" s="35"/>
      <c r="BF586" s="35"/>
      <c r="BG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c r="AV587" s="35"/>
      <c r="AW587" s="35"/>
      <c r="AX587" s="35"/>
      <c r="AY587" s="35"/>
      <c r="AZ587" s="35"/>
      <c r="BA587" s="35"/>
      <c r="BB587" s="35"/>
      <c r="BC587" s="35"/>
      <c r="BD587" s="35"/>
      <c r="BE587" s="35"/>
      <c r="BF587" s="35"/>
      <c r="BG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c r="AV588" s="35"/>
      <c r="AW588" s="35"/>
      <c r="AX588" s="35"/>
      <c r="AY588" s="35"/>
      <c r="AZ588" s="35"/>
      <c r="BA588" s="35"/>
      <c r="BB588" s="35"/>
      <c r="BC588" s="35"/>
      <c r="BD588" s="35"/>
      <c r="BE588" s="35"/>
      <c r="BF588" s="35"/>
      <c r="BG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c r="AV589" s="35"/>
      <c r="AW589" s="35"/>
      <c r="AX589" s="35"/>
      <c r="AY589" s="35"/>
      <c r="AZ589" s="35"/>
      <c r="BA589" s="35"/>
      <c r="BB589" s="35"/>
      <c r="BC589" s="35"/>
      <c r="BD589" s="35"/>
      <c r="BE589" s="35"/>
      <c r="BF589" s="35"/>
      <c r="BG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c r="AV590" s="35"/>
      <c r="AW590" s="35"/>
      <c r="AX590" s="35"/>
      <c r="AY590" s="35"/>
      <c r="AZ590" s="35"/>
      <c r="BA590" s="35"/>
      <c r="BB590" s="35"/>
      <c r="BC590" s="35"/>
      <c r="BD590" s="35"/>
      <c r="BE590" s="35"/>
      <c r="BF590" s="35"/>
      <c r="BG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c r="AV626" s="35"/>
      <c r="AW626" s="35"/>
      <c r="AX626" s="35"/>
      <c r="AY626" s="35"/>
      <c r="AZ626" s="35"/>
      <c r="BA626" s="35"/>
      <c r="BB626" s="35"/>
      <c r="BC626" s="35"/>
      <c r="BD626" s="35"/>
      <c r="BE626" s="35"/>
      <c r="BF626" s="35"/>
      <c r="BG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c r="AV627" s="35"/>
      <c r="AW627" s="35"/>
      <c r="AX627" s="35"/>
      <c r="AY627" s="35"/>
      <c r="AZ627" s="35"/>
      <c r="BA627" s="35"/>
      <c r="BB627" s="35"/>
      <c r="BC627" s="35"/>
      <c r="BD627" s="35"/>
      <c r="BE627" s="35"/>
      <c r="BF627" s="35"/>
      <c r="BG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c r="AV628" s="35"/>
      <c r="AW628" s="35"/>
      <c r="AX628" s="35"/>
      <c r="AY628" s="35"/>
      <c r="AZ628" s="35"/>
      <c r="BA628" s="35"/>
      <c r="BB628" s="35"/>
      <c r="BC628" s="35"/>
      <c r="BD628" s="35"/>
      <c r="BE628" s="35"/>
      <c r="BF628" s="35"/>
      <c r="BG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c r="AV629" s="35"/>
      <c r="AW629" s="35"/>
      <c r="AX629" s="35"/>
      <c r="AY629" s="35"/>
      <c r="AZ629" s="35"/>
      <c r="BA629" s="35"/>
      <c r="BB629" s="35"/>
      <c r="BC629" s="35"/>
      <c r="BD629" s="35"/>
      <c r="BE629" s="35"/>
      <c r="BF629" s="35"/>
      <c r="BG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c r="AV630" s="35"/>
      <c r="AW630" s="35"/>
      <c r="AX630" s="35"/>
      <c r="AY630" s="35"/>
      <c r="AZ630" s="35"/>
      <c r="BA630" s="35"/>
      <c r="BB630" s="35"/>
      <c r="BC630" s="35"/>
      <c r="BD630" s="35"/>
      <c r="BE630" s="35"/>
      <c r="BF630" s="35"/>
      <c r="BG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c r="AV631" s="35"/>
      <c r="AW631" s="35"/>
      <c r="AX631" s="35"/>
      <c r="AY631" s="35"/>
      <c r="AZ631" s="35"/>
      <c r="BA631" s="35"/>
      <c r="BB631" s="35"/>
      <c r="BC631" s="35"/>
      <c r="BD631" s="35"/>
      <c r="BE631" s="35"/>
      <c r="BF631" s="35"/>
      <c r="BG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c r="AV632" s="35"/>
      <c r="AW632" s="35"/>
      <c r="AX632" s="35"/>
      <c r="AY632" s="35"/>
      <c r="AZ632" s="35"/>
      <c r="BA632" s="35"/>
      <c r="BB632" s="35"/>
      <c r="BC632" s="35"/>
      <c r="BD632" s="35"/>
      <c r="BE632" s="35"/>
      <c r="BF632" s="35"/>
      <c r="BG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c r="AV633" s="35"/>
      <c r="AW633" s="35"/>
      <c r="AX633" s="35"/>
      <c r="AY633" s="35"/>
      <c r="AZ633" s="35"/>
      <c r="BA633" s="35"/>
      <c r="BB633" s="35"/>
      <c r="BC633" s="35"/>
      <c r="BD633" s="35"/>
      <c r="BE633" s="35"/>
      <c r="BF633" s="35"/>
      <c r="BG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c r="AV634" s="35"/>
      <c r="AW634" s="35"/>
      <c r="AX634" s="35"/>
      <c r="AY634" s="35"/>
      <c r="AZ634" s="35"/>
      <c r="BA634" s="35"/>
      <c r="BB634" s="35"/>
      <c r="BC634" s="35"/>
      <c r="BD634" s="35"/>
      <c r="BE634" s="35"/>
      <c r="BF634" s="35"/>
      <c r="BG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c r="AV635" s="35"/>
      <c r="AW635" s="35"/>
      <c r="AX635" s="35"/>
      <c r="AY635" s="35"/>
      <c r="AZ635" s="35"/>
      <c r="BA635" s="35"/>
      <c r="BB635" s="35"/>
      <c r="BC635" s="35"/>
      <c r="BD635" s="35"/>
      <c r="BE635" s="35"/>
      <c r="BF635" s="35"/>
      <c r="BG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c r="AV636" s="35"/>
      <c r="AW636" s="35"/>
      <c r="AX636" s="35"/>
      <c r="AY636" s="35"/>
      <c r="AZ636" s="35"/>
      <c r="BA636" s="35"/>
      <c r="BB636" s="35"/>
      <c r="BC636" s="35"/>
      <c r="BD636" s="35"/>
      <c r="BE636" s="35"/>
      <c r="BF636" s="35"/>
      <c r="BG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c r="AV637" s="35"/>
      <c r="AW637" s="35"/>
      <c r="AX637" s="35"/>
      <c r="AY637" s="35"/>
      <c r="AZ637" s="35"/>
      <c r="BA637" s="35"/>
      <c r="BB637" s="35"/>
      <c r="BC637" s="35"/>
      <c r="BD637" s="35"/>
      <c r="BE637" s="35"/>
      <c r="BF637" s="35"/>
      <c r="BG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c r="AV638" s="35"/>
      <c r="AW638" s="35"/>
      <c r="AX638" s="35"/>
      <c r="AY638" s="35"/>
      <c r="AZ638" s="35"/>
      <c r="BA638" s="35"/>
      <c r="BB638" s="35"/>
      <c r="BC638" s="35"/>
      <c r="BD638" s="35"/>
      <c r="BE638" s="35"/>
      <c r="BF638" s="35"/>
      <c r="BG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c r="AV639" s="35"/>
      <c r="AW639" s="35"/>
      <c r="AX639" s="35"/>
      <c r="AY639" s="35"/>
      <c r="AZ639" s="35"/>
      <c r="BA639" s="35"/>
      <c r="BB639" s="35"/>
      <c r="BC639" s="35"/>
      <c r="BD639" s="35"/>
      <c r="BE639" s="35"/>
      <c r="BF639" s="35"/>
      <c r="BG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c r="AV640" s="35"/>
      <c r="AW640" s="35"/>
      <c r="AX640" s="35"/>
      <c r="AY640" s="35"/>
      <c r="AZ640" s="35"/>
      <c r="BA640" s="35"/>
      <c r="BB640" s="35"/>
      <c r="BC640" s="35"/>
      <c r="BD640" s="35"/>
      <c r="BE640" s="35"/>
      <c r="BF640" s="35"/>
      <c r="BG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c r="AV641" s="35"/>
      <c r="AW641" s="35"/>
      <c r="AX641" s="35"/>
      <c r="AY641" s="35"/>
      <c r="AZ641" s="35"/>
      <c r="BA641" s="35"/>
      <c r="BB641" s="35"/>
      <c r="BC641" s="35"/>
      <c r="BD641" s="35"/>
      <c r="BE641" s="35"/>
      <c r="BF641" s="35"/>
      <c r="BG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c r="AV642" s="35"/>
      <c r="AW642" s="35"/>
      <c r="AX642" s="35"/>
      <c r="AY642" s="35"/>
      <c r="AZ642" s="35"/>
      <c r="BA642" s="35"/>
      <c r="BB642" s="35"/>
      <c r="BC642" s="35"/>
      <c r="BD642" s="35"/>
      <c r="BE642" s="35"/>
      <c r="BF642" s="35"/>
      <c r="BG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c r="AV643" s="35"/>
      <c r="AW643" s="35"/>
      <c r="AX643" s="35"/>
      <c r="AY643" s="35"/>
      <c r="AZ643" s="35"/>
      <c r="BA643" s="35"/>
      <c r="BB643" s="35"/>
      <c r="BC643" s="35"/>
      <c r="BD643" s="35"/>
      <c r="BE643" s="35"/>
      <c r="BF643" s="35"/>
      <c r="BG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c r="AV644" s="35"/>
      <c r="AW644" s="35"/>
      <c r="AX644" s="35"/>
      <c r="AY644" s="35"/>
      <c r="AZ644" s="35"/>
      <c r="BA644" s="35"/>
      <c r="BB644" s="35"/>
      <c r="BC644" s="35"/>
      <c r="BD644" s="35"/>
      <c r="BE644" s="35"/>
      <c r="BF644" s="35"/>
      <c r="BG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c r="AV645" s="35"/>
      <c r="AW645" s="35"/>
      <c r="AX645" s="35"/>
      <c r="AY645" s="35"/>
      <c r="AZ645" s="35"/>
      <c r="BA645" s="35"/>
      <c r="BB645" s="35"/>
      <c r="BC645" s="35"/>
      <c r="BD645" s="35"/>
      <c r="BE645" s="35"/>
      <c r="BF645" s="35"/>
      <c r="BG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c r="AV646" s="35"/>
      <c r="AW646" s="35"/>
      <c r="AX646" s="35"/>
      <c r="AY646" s="35"/>
      <c r="AZ646" s="35"/>
      <c r="BA646" s="35"/>
      <c r="BB646" s="35"/>
      <c r="BC646" s="35"/>
      <c r="BD646" s="35"/>
      <c r="BE646" s="35"/>
      <c r="BF646" s="35"/>
      <c r="BG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c r="AV647" s="35"/>
      <c r="AW647" s="35"/>
      <c r="AX647" s="35"/>
      <c r="AY647" s="35"/>
      <c r="AZ647" s="35"/>
      <c r="BA647" s="35"/>
      <c r="BB647" s="35"/>
      <c r="BC647" s="35"/>
      <c r="BD647" s="35"/>
      <c r="BE647" s="35"/>
      <c r="BF647" s="35"/>
      <c r="BG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c r="AV648" s="35"/>
      <c r="AW648" s="35"/>
      <c r="AX648" s="35"/>
      <c r="AY648" s="35"/>
      <c r="AZ648" s="35"/>
      <c r="BA648" s="35"/>
      <c r="BB648" s="35"/>
      <c r="BC648" s="35"/>
      <c r="BD648" s="35"/>
      <c r="BE648" s="35"/>
      <c r="BF648" s="35"/>
      <c r="BG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c r="AV649" s="35"/>
      <c r="AW649" s="35"/>
      <c r="AX649" s="35"/>
      <c r="AY649" s="35"/>
      <c r="AZ649" s="35"/>
      <c r="BA649" s="35"/>
      <c r="BB649" s="35"/>
      <c r="BC649" s="35"/>
      <c r="BD649" s="35"/>
      <c r="BE649" s="35"/>
      <c r="BF649" s="35"/>
      <c r="BG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c r="AV650" s="35"/>
      <c r="AW650" s="35"/>
      <c r="AX650" s="35"/>
      <c r="AY650" s="35"/>
      <c r="AZ650" s="35"/>
      <c r="BA650" s="35"/>
      <c r="BB650" s="35"/>
      <c r="BC650" s="35"/>
      <c r="BD650" s="35"/>
      <c r="BE650" s="35"/>
      <c r="BF650" s="35"/>
      <c r="BG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c r="AV651" s="35"/>
      <c r="AW651" s="35"/>
      <c r="AX651" s="35"/>
      <c r="AY651" s="35"/>
      <c r="AZ651" s="35"/>
      <c r="BA651" s="35"/>
      <c r="BB651" s="35"/>
      <c r="BC651" s="35"/>
      <c r="BD651" s="35"/>
      <c r="BE651" s="35"/>
      <c r="BF651" s="35"/>
      <c r="BG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c r="AV652" s="35"/>
      <c r="AW652" s="35"/>
      <c r="AX652" s="35"/>
      <c r="AY652" s="35"/>
      <c r="AZ652" s="35"/>
      <c r="BA652" s="35"/>
      <c r="BB652" s="35"/>
      <c r="BC652" s="35"/>
      <c r="BD652" s="35"/>
      <c r="BE652" s="35"/>
      <c r="BF652" s="35"/>
      <c r="BG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c r="AV653" s="35"/>
      <c r="AW653" s="35"/>
      <c r="AX653" s="35"/>
      <c r="AY653" s="35"/>
      <c r="AZ653" s="35"/>
      <c r="BA653" s="35"/>
      <c r="BB653" s="35"/>
      <c r="BC653" s="35"/>
      <c r="BD653" s="35"/>
      <c r="BE653" s="35"/>
      <c r="BF653" s="35"/>
      <c r="BG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c r="AV654" s="35"/>
      <c r="AW654" s="35"/>
      <c r="AX654" s="35"/>
      <c r="AY654" s="35"/>
      <c r="AZ654" s="35"/>
      <c r="BA654" s="35"/>
      <c r="BB654" s="35"/>
      <c r="BC654" s="35"/>
      <c r="BD654" s="35"/>
      <c r="BE654" s="35"/>
      <c r="BF654" s="35"/>
      <c r="BG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c r="AV655" s="35"/>
      <c r="AW655" s="35"/>
      <c r="AX655" s="35"/>
      <c r="AY655" s="35"/>
      <c r="AZ655" s="35"/>
      <c r="BA655" s="35"/>
      <c r="BB655" s="35"/>
      <c r="BC655" s="35"/>
      <c r="BD655" s="35"/>
      <c r="BE655" s="35"/>
      <c r="BF655" s="35"/>
      <c r="BG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c r="AV656" s="35"/>
      <c r="AW656" s="35"/>
      <c r="AX656" s="35"/>
      <c r="AY656" s="35"/>
      <c r="AZ656" s="35"/>
      <c r="BA656" s="35"/>
      <c r="BB656" s="35"/>
      <c r="BC656" s="35"/>
      <c r="BD656" s="35"/>
      <c r="BE656" s="35"/>
      <c r="BF656" s="35"/>
      <c r="BG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c r="AV657" s="35"/>
      <c r="AW657" s="35"/>
      <c r="AX657" s="35"/>
      <c r="AY657" s="35"/>
      <c r="AZ657" s="35"/>
      <c r="BA657" s="35"/>
      <c r="BB657" s="35"/>
      <c r="BC657" s="35"/>
      <c r="BD657" s="35"/>
      <c r="BE657" s="35"/>
      <c r="BF657" s="35"/>
      <c r="BG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c r="AV658" s="35"/>
      <c r="AW658" s="35"/>
      <c r="AX658" s="35"/>
      <c r="AY658" s="35"/>
      <c r="AZ658" s="35"/>
      <c r="BA658" s="35"/>
      <c r="BB658" s="35"/>
      <c r="BC658" s="35"/>
      <c r="BD658" s="35"/>
      <c r="BE658" s="35"/>
      <c r="BF658" s="35"/>
      <c r="BG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c r="AV659" s="35"/>
      <c r="AW659" s="35"/>
      <c r="AX659" s="35"/>
      <c r="AY659" s="35"/>
      <c r="AZ659" s="35"/>
      <c r="BA659" s="35"/>
      <c r="BB659" s="35"/>
      <c r="BC659" s="35"/>
      <c r="BD659" s="35"/>
      <c r="BE659" s="35"/>
      <c r="BF659" s="35"/>
      <c r="BG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c r="AV660" s="35"/>
      <c r="AW660" s="35"/>
      <c r="AX660" s="35"/>
      <c r="AY660" s="35"/>
      <c r="AZ660" s="35"/>
      <c r="BA660" s="35"/>
      <c r="BB660" s="35"/>
      <c r="BC660" s="35"/>
      <c r="BD660" s="35"/>
      <c r="BE660" s="35"/>
      <c r="BF660" s="35"/>
      <c r="BG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c r="AV661" s="35"/>
      <c r="AW661" s="35"/>
      <c r="AX661" s="35"/>
      <c r="AY661" s="35"/>
      <c r="AZ661" s="35"/>
      <c r="BA661" s="35"/>
      <c r="BB661" s="35"/>
      <c r="BC661" s="35"/>
      <c r="BD661" s="35"/>
      <c r="BE661" s="35"/>
      <c r="BF661" s="35"/>
      <c r="BG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c r="AV662" s="35"/>
      <c r="AW662" s="35"/>
      <c r="AX662" s="35"/>
      <c r="AY662" s="35"/>
      <c r="AZ662" s="35"/>
      <c r="BA662" s="35"/>
      <c r="BB662" s="35"/>
      <c r="BC662" s="35"/>
      <c r="BD662" s="35"/>
      <c r="BE662" s="35"/>
      <c r="BF662" s="35"/>
      <c r="BG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c r="AV663" s="35"/>
      <c r="AW663" s="35"/>
      <c r="AX663" s="35"/>
      <c r="AY663" s="35"/>
      <c r="AZ663" s="35"/>
      <c r="BA663" s="35"/>
      <c r="BB663" s="35"/>
      <c r="BC663" s="35"/>
      <c r="BD663" s="35"/>
      <c r="BE663" s="35"/>
      <c r="BF663" s="35"/>
      <c r="BG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c r="AV664" s="35"/>
      <c r="AW664" s="35"/>
      <c r="AX664" s="35"/>
      <c r="AY664" s="35"/>
      <c r="AZ664" s="35"/>
      <c r="BA664" s="35"/>
      <c r="BB664" s="35"/>
      <c r="BC664" s="35"/>
      <c r="BD664" s="35"/>
      <c r="BE664" s="35"/>
      <c r="BF664" s="35"/>
      <c r="BG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c r="AV665" s="35"/>
      <c r="AW665" s="35"/>
      <c r="AX665" s="35"/>
      <c r="AY665" s="35"/>
      <c r="AZ665" s="35"/>
      <c r="BA665" s="35"/>
      <c r="BB665" s="35"/>
      <c r="BC665" s="35"/>
      <c r="BD665" s="35"/>
      <c r="BE665" s="35"/>
      <c r="BF665" s="35"/>
      <c r="BG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c r="AV666" s="35"/>
      <c r="AW666" s="35"/>
      <c r="AX666" s="35"/>
      <c r="AY666" s="35"/>
      <c r="AZ666" s="35"/>
      <c r="BA666" s="35"/>
      <c r="BB666" s="35"/>
      <c r="BC666" s="35"/>
      <c r="BD666" s="35"/>
      <c r="BE666" s="35"/>
      <c r="BF666" s="35"/>
      <c r="BG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c r="AV667" s="35"/>
      <c r="AW667" s="35"/>
      <c r="AX667" s="35"/>
      <c r="AY667" s="35"/>
      <c r="AZ667" s="35"/>
      <c r="BA667" s="35"/>
      <c r="BB667" s="35"/>
      <c r="BC667" s="35"/>
      <c r="BD667" s="35"/>
      <c r="BE667" s="35"/>
      <c r="BF667" s="35"/>
      <c r="BG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c r="AV668" s="35"/>
      <c r="AW668" s="35"/>
      <c r="AX668" s="35"/>
      <c r="AY668" s="35"/>
      <c r="AZ668" s="35"/>
      <c r="BA668" s="35"/>
      <c r="BB668" s="35"/>
      <c r="BC668" s="35"/>
      <c r="BD668" s="35"/>
      <c r="BE668" s="35"/>
      <c r="BF668" s="35"/>
      <c r="BG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c r="AV669" s="35"/>
      <c r="AW669" s="35"/>
      <c r="AX669" s="35"/>
      <c r="AY669" s="35"/>
      <c r="AZ669" s="35"/>
      <c r="BA669" s="35"/>
      <c r="BB669" s="35"/>
      <c r="BC669" s="35"/>
      <c r="BD669" s="35"/>
      <c r="BE669" s="35"/>
      <c r="BF669" s="35"/>
      <c r="BG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c r="AV670" s="35"/>
      <c r="AW670" s="35"/>
      <c r="AX670" s="35"/>
      <c r="AY670" s="35"/>
      <c r="AZ670" s="35"/>
      <c r="BA670" s="35"/>
      <c r="BB670" s="35"/>
      <c r="BC670" s="35"/>
      <c r="BD670" s="35"/>
      <c r="BE670" s="35"/>
      <c r="BF670" s="35"/>
      <c r="BG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c r="AV671" s="35"/>
      <c r="AW671" s="35"/>
      <c r="AX671" s="35"/>
      <c r="AY671" s="35"/>
      <c r="AZ671" s="35"/>
      <c r="BA671" s="35"/>
      <c r="BB671" s="35"/>
      <c r="BC671" s="35"/>
      <c r="BD671" s="35"/>
      <c r="BE671" s="35"/>
      <c r="BF671" s="35"/>
      <c r="BG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c r="AV672" s="35"/>
      <c r="AW672" s="35"/>
      <c r="AX672" s="35"/>
      <c r="AY672" s="35"/>
      <c r="AZ672" s="35"/>
      <c r="BA672" s="35"/>
      <c r="BB672" s="35"/>
      <c r="BC672" s="35"/>
      <c r="BD672" s="35"/>
      <c r="BE672" s="35"/>
      <c r="BF672" s="35"/>
      <c r="BG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c r="AV673" s="35"/>
      <c r="AW673" s="35"/>
      <c r="AX673" s="35"/>
      <c r="AY673" s="35"/>
      <c r="AZ673" s="35"/>
      <c r="BA673" s="35"/>
      <c r="BB673" s="35"/>
      <c r="BC673" s="35"/>
      <c r="BD673" s="35"/>
      <c r="BE673" s="35"/>
      <c r="BF673" s="35"/>
      <c r="BG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c r="AV674" s="35"/>
      <c r="AW674" s="35"/>
      <c r="AX674" s="35"/>
      <c r="AY674" s="35"/>
      <c r="AZ674" s="35"/>
      <c r="BA674" s="35"/>
      <c r="BB674" s="35"/>
      <c r="BC674" s="35"/>
      <c r="BD674" s="35"/>
      <c r="BE674" s="35"/>
      <c r="BF674" s="35"/>
      <c r="BG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c r="AV675" s="35"/>
      <c r="AW675" s="35"/>
      <c r="AX675" s="35"/>
      <c r="AY675" s="35"/>
      <c r="AZ675" s="35"/>
      <c r="BA675" s="35"/>
      <c r="BB675" s="35"/>
      <c r="BC675" s="35"/>
      <c r="BD675" s="35"/>
      <c r="BE675" s="35"/>
      <c r="BF675" s="35"/>
      <c r="BG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c r="AV676" s="35"/>
      <c r="AW676" s="35"/>
      <c r="AX676" s="35"/>
      <c r="AY676" s="35"/>
      <c r="AZ676" s="35"/>
      <c r="BA676" s="35"/>
      <c r="BB676" s="35"/>
      <c r="BC676" s="35"/>
      <c r="BD676" s="35"/>
      <c r="BE676" s="35"/>
      <c r="BF676" s="35"/>
      <c r="BG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c r="AV677" s="35"/>
      <c r="AW677" s="35"/>
      <c r="AX677" s="35"/>
      <c r="AY677" s="35"/>
      <c r="AZ677" s="35"/>
      <c r="BA677" s="35"/>
      <c r="BB677" s="35"/>
      <c r="BC677" s="35"/>
      <c r="BD677" s="35"/>
      <c r="BE677" s="35"/>
      <c r="BF677" s="35"/>
      <c r="BG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c r="AV678" s="35"/>
      <c r="AW678" s="35"/>
      <c r="AX678" s="35"/>
      <c r="AY678" s="35"/>
      <c r="AZ678" s="35"/>
      <c r="BA678" s="35"/>
      <c r="BB678" s="35"/>
      <c r="BC678" s="35"/>
      <c r="BD678" s="35"/>
      <c r="BE678" s="35"/>
      <c r="BF678" s="35"/>
      <c r="BG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c r="AV679" s="35"/>
      <c r="AW679" s="35"/>
      <c r="AX679" s="35"/>
      <c r="AY679" s="35"/>
      <c r="AZ679" s="35"/>
      <c r="BA679" s="35"/>
      <c r="BB679" s="35"/>
      <c r="BC679" s="35"/>
      <c r="BD679" s="35"/>
      <c r="BE679" s="35"/>
      <c r="BF679" s="35"/>
      <c r="BG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c r="AV680" s="35"/>
      <c r="AW680" s="35"/>
      <c r="AX680" s="35"/>
      <c r="AY680" s="35"/>
      <c r="AZ680" s="35"/>
      <c r="BA680" s="35"/>
      <c r="BB680" s="35"/>
      <c r="BC680" s="35"/>
      <c r="BD680" s="35"/>
      <c r="BE680" s="35"/>
      <c r="BF680" s="35"/>
      <c r="BG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c r="AV681" s="35"/>
      <c r="AW681" s="35"/>
      <c r="AX681" s="35"/>
      <c r="AY681" s="35"/>
      <c r="AZ681" s="35"/>
      <c r="BA681" s="35"/>
      <c r="BB681" s="35"/>
      <c r="BC681" s="35"/>
      <c r="BD681" s="35"/>
      <c r="BE681" s="35"/>
      <c r="BF681" s="35"/>
      <c r="BG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c r="AV682" s="35"/>
      <c r="AW682" s="35"/>
      <c r="AX682" s="35"/>
      <c r="AY682" s="35"/>
      <c r="AZ682" s="35"/>
      <c r="BA682" s="35"/>
      <c r="BB682" s="35"/>
      <c r="BC682" s="35"/>
      <c r="BD682" s="35"/>
      <c r="BE682" s="35"/>
      <c r="BF682" s="35"/>
      <c r="BG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c r="AV683" s="35"/>
      <c r="AW683" s="35"/>
      <c r="AX683" s="35"/>
      <c r="AY683" s="35"/>
      <c r="AZ683" s="35"/>
      <c r="BA683" s="35"/>
      <c r="BB683" s="35"/>
      <c r="BC683" s="35"/>
      <c r="BD683" s="35"/>
      <c r="BE683" s="35"/>
      <c r="BF683" s="35"/>
      <c r="BG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c r="AV684" s="35"/>
      <c r="AW684" s="35"/>
      <c r="AX684" s="35"/>
      <c r="AY684" s="35"/>
      <c r="AZ684" s="35"/>
      <c r="BA684" s="35"/>
      <c r="BB684" s="35"/>
      <c r="BC684" s="35"/>
      <c r="BD684" s="35"/>
      <c r="BE684" s="35"/>
      <c r="BF684" s="35"/>
      <c r="BG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c r="AV685" s="35"/>
      <c r="AW685" s="35"/>
      <c r="AX685" s="35"/>
      <c r="AY685" s="35"/>
      <c r="AZ685" s="35"/>
      <c r="BA685" s="35"/>
      <c r="BB685" s="35"/>
      <c r="BC685" s="35"/>
      <c r="BD685" s="35"/>
      <c r="BE685" s="35"/>
      <c r="BF685" s="35"/>
      <c r="BG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c r="AV686" s="35"/>
      <c r="AW686" s="35"/>
      <c r="AX686" s="35"/>
      <c r="AY686" s="35"/>
      <c r="AZ686" s="35"/>
      <c r="BA686" s="35"/>
      <c r="BB686" s="35"/>
      <c r="BC686" s="35"/>
      <c r="BD686" s="35"/>
      <c r="BE686" s="35"/>
      <c r="BF686" s="35"/>
      <c r="BG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c r="AV687" s="35"/>
      <c r="AW687" s="35"/>
      <c r="AX687" s="35"/>
      <c r="AY687" s="35"/>
      <c r="AZ687" s="35"/>
      <c r="BA687" s="35"/>
      <c r="BB687" s="35"/>
      <c r="BC687" s="35"/>
      <c r="BD687" s="35"/>
      <c r="BE687" s="35"/>
      <c r="BF687" s="35"/>
      <c r="BG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c r="AV688" s="35"/>
      <c r="AW688" s="35"/>
      <c r="AX688" s="35"/>
      <c r="AY688" s="35"/>
      <c r="AZ688" s="35"/>
      <c r="BA688" s="35"/>
      <c r="BB688" s="35"/>
      <c r="BC688" s="35"/>
      <c r="BD688" s="35"/>
      <c r="BE688" s="35"/>
      <c r="BF688" s="35"/>
      <c r="BG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c r="AV689" s="35"/>
      <c r="AW689" s="35"/>
      <c r="AX689" s="35"/>
      <c r="AY689" s="35"/>
      <c r="AZ689" s="35"/>
      <c r="BA689" s="35"/>
      <c r="BB689" s="35"/>
      <c r="BC689" s="35"/>
      <c r="BD689" s="35"/>
      <c r="BE689" s="35"/>
      <c r="BF689" s="35"/>
      <c r="BG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c r="AV690" s="35"/>
      <c r="AW690" s="35"/>
      <c r="AX690" s="35"/>
      <c r="AY690" s="35"/>
      <c r="AZ690" s="35"/>
      <c r="BA690" s="35"/>
      <c r="BB690" s="35"/>
      <c r="BC690" s="35"/>
      <c r="BD690" s="35"/>
      <c r="BE690" s="35"/>
      <c r="BF690" s="35"/>
      <c r="BG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c r="AV691" s="35"/>
      <c r="AW691" s="35"/>
      <c r="AX691" s="35"/>
      <c r="AY691" s="35"/>
      <c r="AZ691" s="35"/>
      <c r="BA691" s="35"/>
      <c r="BB691" s="35"/>
      <c r="BC691" s="35"/>
      <c r="BD691" s="35"/>
      <c r="BE691" s="35"/>
      <c r="BF691" s="35"/>
      <c r="BG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c r="AV692" s="35"/>
      <c r="AW692" s="35"/>
      <c r="AX692" s="35"/>
      <c r="AY692" s="35"/>
      <c r="AZ692" s="35"/>
      <c r="BA692" s="35"/>
      <c r="BB692" s="35"/>
      <c r="BC692" s="35"/>
      <c r="BD692" s="35"/>
      <c r="BE692" s="35"/>
      <c r="BF692" s="35"/>
      <c r="BG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c r="AV693" s="35"/>
      <c r="AW693" s="35"/>
      <c r="AX693" s="35"/>
      <c r="AY693" s="35"/>
      <c r="AZ693" s="35"/>
      <c r="BA693" s="35"/>
      <c r="BB693" s="35"/>
      <c r="BC693" s="35"/>
      <c r="BD693" s="35"/>
      <c r="BE693" s="35"/>
      <c r="BF693" s="35"/>
      <c r="BG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c r="AV694" s="35"/>
      <c r="AW694" s="35"/>
      <c r="AX694" s="35"/>
      <c r="AY694" s="35"/>
      <c r="AZ694" s="35"/>
      <c r="BA694" s="35"/>
      <c r="BB694" s="35"/>
      <c r="BC694" s="35"/>
      <c r="BD694" s="35"/>
      <c r="BE694" s="35"/>
      <c r="BF694" s="35"/>
      <c r="BG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c r="AV695" s="35"/>
      <c r="AW695" s="35"/>
      <c r="AX695" s="35"/>
      <c r="AY695" s="35"/>
      <c r="AZ695" s="35"/>
      <c r="BA695" s="35"/>
      <c r="BB695" s="35"/>
      <c r="BC695" s="35"/>
      <c r="BD695" s="35"/>
      <c r="BE695" s="35"/>
      <c r="BF695" s="35"/>
      <c r="BG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c r="AV696" s="35"/>
      <c r="AW696" s="35"/>
      <c r="AX696" s="35"/>
      <c r="AY696" s="35"/>
      <c r="AZ696" s="35"/>
      <c r="BA696" s="35"/>
      <c r="BB696" s="35"/>
      <c r="BC696" s="35"/>
      <c r="BD696" s="35"/>
      <c r="BE696" s="35"/>
      <c r="BF696" s="35"/>
      <c r="BG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c r="AV697" s="35"/>
      <c r="AW697" s="35"/>
      <c r="AX697" s="35"/>
      <c r="AY697" s="35"/>
      <c r="AZ697" s="35"/>
      <c r="BA697" s="35"/>
      <c r="BB697" s="35"/>
      <c r="BC697" s="35"/>
      <c r="BD697" s="35"/>
      <c r="BE697" s="35"/>
      <c r="BF697" s="35"/>
      <c r="BG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c r="AV698" s="35"/>
      <c r="AW698" s="35"/>
      <c r="AX698" s="35"/>
      <c r="AY698" s="35"/>
      <c r="AZ698" s="35"/>
      <c r="BA698" s="35"/>
      <c r="BB698" s="35"/>
      <c r="BC698" s="35"/>
      <c r="BD698" s="35"/>
      <c r="BE698" s="35"/>
      <c r="BF698" s="35"/>
      <c r="BG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c r="AV699" s="35"/>
      <c r="AW699" s="35"/>
      <c r="AX699" s="35"/>
      <c r="AY699" s="35"/>
      <c r="AZ699" s="35"/>
      <c r="BA699" s="35"/>
      <c r="BB699" s="35"/>
      <c r="BC699" s="35"/>
      <c r="BD699" s="35"/>
      <c r="BE699" s="35"/>
      <c r="BF699" s="35"/>
      <c r="BG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c r="AV700" s="35"/>
      <c r="AW700" s="35"/>
      <c r="AX700" s="35"/>
      <c r="AY700" s="35"/>
      <c r="AZ700" s="35"/>
      <c r="BA700" s="35"/>
      <c r="BB700" s="35"/>
      <c r="BC700" s="35"/>
      <c r="BD700" s="35"/>
      <c r="BE700" s="35"/>
      <c r="BF700" s="35"/>
      <c r="BG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c r="AV701" s="35"/>
      <c r="AW701" s="35"/>
      <c r="AX701" s="35"/>
      <c r="AY701" s="35"/>
      <c r="AZ701" s="35"/>
      <c r="BA701" s="35"/>
      <c r="BB701" s="35"/>
      <c r="BC701" s="35"/>
      <c r="BD701" s="35"/>
      <c r="BE701" s="35"/>
      <c r="BF701" s="35"/>
      <c r="BG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c r="AV702" s="35"/>
      <c r="AW702" s="35"/>
      <c r="AX702" s="35"/>
      <c r="AY702" s="35"/>
      <c r="AZ702" s="35"/>
      <c r="BA702" s="35"/>
      <c r="BB702" s="35"/>
      <c r="BC702" s="35"/>
      <c r="BD702" s="35"/>
      <c r="BE702" s="35"/>
      <c r="BF702" s="35"/>
      <c r="BG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c r="AV703" s="35"/>
      <c r="AW703" s="35"/>
      <c r="AX703" s="35"/>
      <c r="AY703" s="35"/>
      <c r="AZ703" s="35"/>
      <c r="BA703" s="35"/>
      <c r="BB703" s="35"/>
      <c r="BC703" s="35"/>
      <c r="BD703" s="35"/>
      <c r="BE703" s="35"/>
      <c r="BF703" s="35"/>
      <c r="BG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c r="AV704" s="35"/>
      <c r="AW704" s="35"/>
      <c r="AX704" s="35"/>
      <c r="AY704" s="35"/>
      <c r="AZ704" s="35"/>
      <c r="BA704" s="35"/>
      <c r="BB704" s="35"/>
      <c r="BC704" s="35"/>
      <c r="BD704" s="35"/>
      <c r="BE704" s="35"/>
      <c r="BF704" s="35"/>
      <c r="BG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c r="AV705" s="35"/>
      <c r="AW705" s="35"/>
      <c r="AX705" s="35"/>
      <c r="AY705" s="35"/>
      <c r="AZ705" s="35"/>
      <c r="BA705" s="35"/>
      <c r="BB705" s="35"/>
      <c r="BC705" s="35"/>
      <c r="BD705" s="35"/>
      <c r="BE705" s="35"/>
      <c r="BF705" s="35"/>
      <c r="BG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c r="AV706" s="35"/>
      <c r="AW706" s="35"/>
      <c r="AX706" s="35"/>
      <c r="AY706" s="35"/>
      <c r="AZ706" s="35"/>
      <c r="BA706" s="35"/>
      <c r="BB706" s="35"/>
      <c r="BC706" s="35"/>
      <c r="BD706" s="35"/>
      <c r="BE706" s="35"/>
      <c r="BF706" s="35"/>
      <c r="BG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c r="AV707" s="35"/>
      <c r="AW707" s="35"/>
      <c r="AX707" s="35"/>
      <c r="AY707" s="35"/>
      <c r="AZ707" s="35"/>
      <c r="BA707" s="35"/>
      <c r="BB707" s="35"/>
      <c r="BC707" s="35"/>
      <c r="BD707" s="35"/>
      <c r="BE707" s="35"/>
      <c r="BF707" s="35"/>
      <c r="BG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c r="AV708" s="35"/>
      <c r="AW708" s="35"/>
      <c r="AX708" s="35"/>
      <c r="AY708" s="35"/>
      <c r="AZ708" s="35"/>
      <c r="BA708" s="35"/>
      <c r="BB708" s="35"/>
      <c r="BC708" s="35"/>
      <c r="BD708" s="35"/>
      <c r="BE708" s="35"/>
      <c r="BF708" s="35"/>
      <c r="BG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c r="AV709" s="35"/>
      <c r="AW709" s="35"/>
      <c r="AX709" s="35"/>
      <c r="AY709" s="35"/>
      <c r="AZ709" s="35"/>
      <c r="BA709" s="35"/>
      <c r="BB709" s="35"/>
      <c r="BC709" s="35"/>
      <c r="BD709" s="35"/>
      <c r="BE709" s="35"/>
      <c r="BF709" s="35"/>
      <c r="BG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c r="AV710" s="35"/>
      <c r="AW710" s="35"/>
      <c r="AX710" s="35"/>
      <c r="AY710" s="35"/>
      <c r="AZ710" s="35"/>
      <c r="BA710" s="35"/>
      <c r="BB710" s="35"/>
      <c r="BC710" s="35"/>
      <c r="BD710" s="35"/>
      <c r="BE710" s="35"/>
      <c r="BF710" s="35"/>
      <c r="BG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c r="AV711" s="35"/>
      <c r="AW711" s="35"/>
      <c r="AX711" s="35"/>
      <c r="AY711" s="35"/>
      <c r="AZ711" s="35"/>
      <c r="BA711" s="35"/>
      <c r="BB711" s="35"/>
      <c r="BC711" s="35"/>
      <c r="BD711" s="35"/>
      <c r="BE711" s="35"/>
      <c r="BF711" s="35"/>
      <c r="BG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c r="AV712" s="35"/>
      <c r="AW712" s="35"/>
      <c r="AX712" s="35"/>
      <c r="AY712" s="35"/>
      <c r="AZ712" s="35"/>
      <c r="BA712" s="35"/>
      <c r="BB712" s="35"/>
      <c r="BC712" s="35"/>
      <c r="BD712" s="35"/>
      <c r="BE712" s="35"/>
      <c r="BF712" s="35"/>
      <c r="BG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c r="AV713" s="35"/>
      <c r="AW713" s="35"/>
      <c r="AX713" s="35"/>
      <c r="AY713" s="35"/>
      <c r="AZ713" s="35"/>
      <c r="BA713" s="35"/>
      <c r="BB713" s="35"/>
      <c r="BC713" s="35"/>
      <c r="BD713" s="35"/>
      <c r="BE713" s="35"/>
      <c r="BF713" s="35"/>
      <c r="BG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c r="AV714" s="35"/>
      <c r="AW714" s="35"/>
      <c r="AX714" s="35"/>
      <c r="AY714" s="35"/>
      <c r="AZ714" s="35"/>
      <c r="BA714" s="35"/>
      <c r="BB714" s="35"/>
      <c r="BC714" s="35"/>
      <c r="BD714" s="35"/>
      <c r="BE714" s="35"/>
      <c r="BF714" s="35"/>
      <c r="BG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c r="AV715" s="35"/>
      <c r="AW715" s="35"/>
      <c r="AX715" s="35"/>
      <c r="AY715" s="35"/>
      <c r="AZ715" s="35"/>
      <c r="BA715" s="35"/>
      <c r="BB715" s="35"/>
      <c r="BC715" s="35"/>
      <c r="BD715" s="35"/>
      <c r="BE715" s="35"/>
      <c r="BF715" s="35"/>
      <c r="BG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c r="AV716" s="35"/>
      <c r="AW716" s="35"/>
      <c r="AX716" s="35"/>
      <c r="AY716" s="35"/>
      <c r="AZ716" s="35"/>
      <c r="BA716" s="35"/>
      <c r="BB716" s="35"/>
      <c r="BC716" s="35"/>
      <c r="BD716" s="35"/>
      <c r="BE716" s="35"/>
      <c r="BF716" s="35"/>
      <c r="BG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c r="AV717" s="35"/>
      <c r="AW717" s="35"/>
      <c r="AX717" s="35"/>
      <c r="AY717" s="35"/>
      <c r="AZ717" s="35"/>
      <c r="BA717" s="35"/>
      <c r="BB717" s="35"/>
      <c r="BC717" s="35"/>
      <c r="BD717" s="35"/>
      <c r="BE717" s="35"/>
      <c r="BF717" s="35"/>
      <c r="BG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c r="AV718" s="35"/>
      <c r="AW718" s="35"/>
      <c r="AX718" s="35"/>
      <c r="AY718" s="35"/>
      <c r="AZ718" s="35"/>
      <c r="BA718" s="35"/>
      <c r="BB718" s="35"/>
      <c r="BC718" s="35"/>
      <c r="BD718" s="35"/>
      <c r="BE718" s="35"/>
      <c r="BF718" s="35"/>
      <c r="BG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c r="AV719" s="35"/>
      <c r="AW719" s="35"/>
      <c r="AX719" s="35"/>
      <c r="AY719" s="35"/>
      <c r="AZ719" s="35"/>
      <c r="BA719" s="35"/>
      <c r="BB719" s="35"/>
      <c r="BC719" s="35"/>
      <c r="BD719" s="35"/>
      <c r="BE719" s="35"/>
      <c r="BF719" s="35"/>
      <c r="BG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c r="AV720" s="35"/>
      <c r="AW720" s="35"/>
      <c r="AX720" s="35"/>
      <c r="AY720" s="35"/>
      <c r="AZ720" s="35"/>
      <c r="BA720" s="35"/>
      <c r="BB720" s="35"/>
      <c r="BC720" s="35"/>
      <c r="BD720" s="35"/>
      <c r="BE720" s="35"/>
      <c r="BF720" s="35"/>
      <c r="BG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c r="AV721" s="35"/>
      <c r="AW721" s="35"/>
      <c r="AX721" s="35"/>
      <c r="AY721" s="35"/>
      <c r="AZ721" s="35"/>
      <c r="BA721" s="35"/>
      <c r="BB721" s="35"/>
      <c r="BC721" s="35"/>
      <c r="BD721" s="35"/>
      <c r="BE721" s="35"/>
      <c r="BF721" s="35"/>
      <c r="BG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c r="AV722" s="35"/>
      <c r="AW722" s="35"/>
      <c r="AX722" s="35"/>
      <c r="AY722" s="35"/>
      <c r="AZ722" s="35"/>
      <c r="BA722" s="35"/>
      <c r="BB722" s="35"/>
      <c r="BC722" s="35"/>
      <c r="BD722" s="35"/>
      <c r="BE722" s="35"/>
      <c r="BF722" s="35"/>
      <c r="BG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c r="AV723" s="35"/>
      <c r="AW723" s="35"/>
      <c r="AX723" s="35"/>
      <c r="AY723" s="35"/>
      <c r="AZ723" s="35"/>
      <c r="BA723" s="35"/>
      <c r="BB723" s="35"/>
      <c r="BC723" s="35"/>
      <c r="BD723" s="35"/>
      <c r="BE723" s="35"/>
      <c r="BF723" s="35"/>
      <c r="BG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c r="AV724" s="35"/>
      <c r="AW724" s="35"/>
      <c r="AX724" s="35"/>
      <c r="AY724" s="35"/>
      <c r="AZ724" s="35"/>
      <c r="BA724" s="35"/>
      <c r="BB724" s="35"/>
      <c r="BC724" s="35"/>
      <c r="BD724" s="35"/>
      <c r="BE724" s="35"/>
      <c r="BF724" s="35"/>
      <c r="BG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c r="AV725" s="35"/>
      <c r="AW725" s="35"/>
      <c r="AX725" s="35"/>
      <c r="AY725" s="35"/>
      <c r="AZ725" s="35"/>
      <c r="BA725" s="35"/>
      <c r="BB725" s="35"/>
      <c r="BC725" s="35"/>
      <c r="BD725" s="35"/>
      <c r="BE725" s="35"/>
      <c r="BF725" s="35"/>
      <c r="BG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c r="AV726" s="35"/>
      <c r="AW726" s="35"/>
      <c r="AX726" s="35"/>
      <c r="AY726" s="35"/>
      <c r="AZ726" s="35"/>
      <c r="BA726" s="35"/>
      <c r="BB726" s="35"/>
      <c r="BC726" s="35"/>
      <c r="BD726" s="35"/>
      <c r="BE726" s="35"/>
      <c r="BF726" s="35"/>
      <c r="BG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c r="AV727" s="35"/>
      <c r="AW727" s="35"/>
      <c r="AX727" s="35"/>
      <c r="AY727" s="35"/>
      <c r="AZ727" s="35"/>
      <c r="BA727" s="35"/>
      <c r="BB727" s="35"/>
      <c r="BC727" s="35"/>
      <c r="BD727" s="35"/>
      <c r="BE727" s="35"/>
      <c r="BF727" s="35"/>
      <c r="BG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c r="AV728" s="35"/>
      <c r="AW728" s="35"/>
      <c r="AX728" s="35"/>
      <c r="AY728" s="35"/>
      <c r="AZ728" s="35"/>
      <c r="BA728" s="35"/>
      <c r="BB728" s="35"/>
      <c r="BC728" s="35"/>
      <c r="BD728" s="35"/>
      <c r="BE728" s="35"/>
      <c r="BF728" s="35"/>
      <c r="BG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c r="AV729" s="35"/>
      <c r="AW729" s="35"/>
      <c r="AX729" s="35"/>
      <c r="AY729" s="35"/>
      <c r="AZ729" s="35"/>
      <c r="BA729" s="35"/>
      <c r="BB729" s="35"/>
      <c r="BC729" s="35"/>
      <c r="BD729" s="35"/>
      <c r="BE729" s="35"/>
      <c r="BF729" s="35"/>
      <c r="BG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c r="AV730" s="35"/>
      <c r="AW730" s="35"/>
      <c r="AX730" s="35"/>
      <c r="AY730" s="35"/>
      <c r="AZ730" s="35"/>
      <c r="BA730" s="35"/>
      <c r="BB730" s="35"/>
      <c r="BC730" s="35"/>
      <c r="BD730" s="35"/>
      <c r="BE730" s="35"/>
      <c r="BF730" s="35"/>
      <c r="BG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c r="AV731" s="35"/>
      <c r="AW731" s="35"/>
      <c r="AX731" s="35"/>
      <c r="AY731" s="35"/>
      <c r="AZ731" s="35"/>
      <c r="BA731" s="35"/>
      <c r="BB731" s="35"/>
      <c r="BC731" s="35"/>
      <c r="BD731" s="35"/>
      <c r="BE731" s="35"/>
      <c r="BF731" s="35"/>
      <c r="BG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c r="AV732" s="35"/>
      <c r="AW732" s="35"/>
      <c r="AX732" s="35"/>
      <c r="AY732" s="35"/>
      <c r="AZ732" s="35"/>
      <c r="BA732" s="35"/>
      <c r="BB732" s="35"/>
      <c r="BC732" s="35"/>
      <c r="BD732" s="35"/>
      <c r="BE732" s="35"/>
      <c r="BF732" s="35"/>
      <c r="BG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c r="AV733" s="35"/>
      <c r="AW733" s="35"/>
      <c r="AX733" s="35"/>
      <c r="AY733" s="35"/>
      <c r="AZ733" s="35"/>
      <c r="BA733" s="35"/>
      <c r="BB733" s="35"/>
      <c r="BC733" s="35"/>
      <c r="BD733" s="35"/>
      <c r="BE733" s="35"/>
      <c r="BF733" s="35"/>
      <c r="BG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c r="AV734" s="35"/>
      <c r="AW734" s="35"/>
      <c r="AX734" s="35"/>
      <c r="AY734" s="35"/>
      <c r="AZ734" s="35"/>
      <c r="BA734" s="35"/>
      <c r="BB734" s="35"/>
      <c r="BC734" s="35"/>
      <c r="BD734" s="35"/>
      <c r="BE734" s="35"/>
      <c r="BF734" s="35"/>
      <c r="BG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c r="AV735" s="35"/>
      <c r="AW735" s="35"/>
      <c r="AX735" s="35"/>
      <c r="AY735" s="35"/>
      <c r="AZ735" s="35"/>
      <c r="BA735" s="35"/>
      <c r="BB735" s="35"/>
      <c r="BC735" s="35"/>
      <c r="BD735" s="35"/>
      <c r="BE735" s="35"/>
      <c r="BF735" s="35"/>
      <c r="BG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c r="AV736" s="35"/>
      <c r="AW736" s="35"/>
      <c r="AX736" s="35"/>
      <c r="AY736" s="35"/>
      <c r="AZ736" s="35"/>
      <c r="BA736" s="35"/>
      <c r="BB736" s="35"/>
      <c r="BC736" s="35"/>
      <c r="BD736" s="35"/>
      <c r="BE736" s="35"/>
      <c r="BF736" s="35"/>
      <c r="BG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c r="AV737" s="35"/>
      <c r="AW737" s="35"/>
      <c r="AX737" s="35"/>
      <c r="AY737" s="35"/>
      <c r="AZ737" s="35"/>
      <c r="BA737" s="35"/>
      <c r="BB737" s="35"/>
      <c r="BC737" s="35"/>
      <c r="BD737" s="35"/>
      <c r="BE737" s="35"/>
      <c r="BF737" s="35"/>
      <c r="BG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c r="AV738" s="35"/>
      <c r="AW738" s="35"/>
      <c r="AX738" s="35"/>
      <c r="AY738" s="35"/>
      <c r="AZ738" s="35"/>
      <c r="BA738" s="35"/>
      <c r="BB738" s="35"/>
      <c r="BC738" s="35"/>
      <c r="BD738" s="35"/>
      <c r="BE738" s="35"/>
      <c r="BF738" s="35"/>
      <c r="BG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c r="AV739" s="35"/>
      <c r="AW739" s="35"/>
      <c r="AX739" s="35"/>
      <c r="AY739" s="35"/>
      <c r="AZ739" s="35"/>
      <c r="BA739" s="35"/>
      <c r="BB739" s="35"/>
      <c r="BC739" s="35"/>
      <c r="BD739" s="35"/>
      <c r="BE739" s="35"/>
      <c r="BF739" s="35"/>
      <c r="BG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c r="AV740" s="35"/>
      <c r="AW740" s="35"/>
      <c r="AX740" s="35"/>
      <c r="AY740" s="35"/>
      <c r="AZ740" s="35"/>
      <c r="BA740" s="35"/>
      <c r="BB740" s="35"/>
      <c r="BC740" s="35"/>
      <c r="BD740" s="35"/>
      <c r="BE740" s="35"/>
      <c r="BF740" s="35"/>
      <c r="BG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c r="AV741" s="35"/>
      <c r="AW741" s="35"/>
      <c r="AX741" s="35"/>
      <c r="AY741" s="35"/>
      <c r="AZ741" s="35"/>
      <c r="BA741" s="35"/>
      <c r="BB741" s="35"/>
      <c r="BC741" s="35"/>
      <c r="BD741" s="35"/>
      <c r="BE741" s="35"/>
      <c r="BF741" s="35"/>
      <c r="BG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c r="AV742" s="35"/>
      <c r="AW742" s="35"/>
      <c r="AX742" s="35"/>
      <c r="AY742" s="35"/>
      <c r="AZ742" s="35"/>
      <c r="BA742" s="35"/>
      <c r="BB742" s="35"/>
      <c r="BC742" s="35"/>
      <c r="BD742" s="35"/>
      <c r="BE742" s="35"/>
      <c r="BF742" s="35"/>
      <c r="BG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c r="AV743" s="35"/>
      <c r="AW743" s="35"/>
      <c r="AX743" s="35"/>
      <c r="AY743" s="35"/>
      <c r="AZ743" s="35"/>
      <c r="BA743" s="35"/>
      <c r="BB743" s="35"/>
      <c r="BC743" s="35"/>
      <c r="BD743" s="35"/>
      <c r="BE743" s="35"/>
      <c r="BF743" s="35"/>
      <c r="BG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c r="AV744" s="35"/>
      <c r="AW744" s="35"/>
      <c r="AX744" s="35"/>
      <c r="AY744" s="35"/>
      <c r="AZ744" s="35"/>
      <c r="BA744" s="35"/>
      <c r="BB744" s="35"/>
      <c r="BC744" s="35"/>
      <c r="BD744" s="35"/>
      <c r="BE744" s="35"/>
      <c r="BF744" s="35"/>
      <c r="BG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c r="AV745" s="35"/>
      <c r="AW745" s="35"/>
      <c r="AX745" s="35"/>
      <c r="AY745" s="35"/>
      <c r="AZ745" s="35"/>
      <c r="BA745" s="35"/>
      <c r="BB745" s="35"/>
      <c r="BC745" s="35"/>
      <c r="BD745" s="35"/>
      <c r="BE745" s="35"/>
      <c r="BF745" s="35"/>
      <c r="BG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c r="AV746" s="35"/>
      <c r="AW746" s="35"/>
      <c r="AX746" s="35"/>
      <c r="AY746" s="35"/>
      <c r="AZ746" s="35"/>
      <c r="BA746" s="35"/>
      <c r="BB746" s="35"/>
      <c r="BC746" s="35"/>
      <c r="BD746" s="35"/>
      <c r="BE746" s="35"/>
      <c r="BF746" s="35"/>
      <c r="BG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c r="AV747" s="35"/>
      <c r="AW747" s="35"/>
      <c r="AX747" s="35"/>
      <c r="AY747" s="35"/>
      <c r="AZ747" s="35"/>
      <c r="BA747" s="35"/>
      <c r="BB747" s="35"/>
      <c r="BC747" s="35"/>
      <c r="BD747" s="35"/>
      <c r="BE747" s="35"/>
      <c r="BF747" s="35"/>
      <c r="BG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c r="AV748" s="35"/>
      <c r="AW748" s="35"/>
      <c r="AX748" s="35"/>
      <c r="AY748" s="35"/>
      <c r="AZ748" s="35"/>
      <c r="BA748" s="35"/>
      <c r="BB748" s="35"/>
      <c r="BC748" s="35"/>
      <c r="BD748" s="35"/>
      <c r="BE748" s="35"/>
      <c r="BF748" s="35"/>
      <c r="BG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c r="AV749" s="35"/>
      <c r="AW749" s="35"/>
      <c r="AX749" s="35"/>
      <c r="AY749" s="35"/>
      <c r="AZ749" s="35"/>
      <c r="BA749" s="35"/>
      <c r="BB749" s="35"/>
      <c r="BC749" s="35"/>
      <c r="BD749" s="35"/>
      <c r="BE749" s="35"/>
      <c r="BF749" s="35"/>
      <c r="BG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c r="AV750" s="35"/>
      <c r="AW750" s="35"/>
      <c r="AX750" s="35"/>
      <c r="AY750" s="35"/>
      <c r="AZ750" s="35"/>
      <c r="BA750" s="35"/>
      <c r="BB750" s="35"/>
      <c r="BC750" s="35"/>
      <c r="BD750" s="35"/>
      <c r="BE750" s="35"/>
      <c r="BF750" s="35"/>
      <c r="BG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c r="AV751" s="35"/>
      <c r="AW751" s="35"/>
      <c r="AX751" s="35"/>
      <c r="AY751" s="35"/>
      <c r="AZ751" s="35"/>
      <c r="BA751" s="35"/>
      <c r="BB751" s="35"/>
      <c r="BC751" s="35"/>
      <c r="BD751" s="35"/>
      <c r="BE751" s="35"/>
      <c r="BF751" s="35"/>
      <c r="BG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c r="AV752" s="35"/>
      <c r="AW752" s="35"/>
      <c r="AX752" s="35"/>
      <c r="AY752" s="35"/>
      <c r="AZ752" s="35"/>
      <c r="BA752" s="35"/>
      <c r="BB752" s="35"/>
      <c r="BC752" s="35"/>
      <c r="BD752" s="35"/>
      <c r="BE752" s="35"/>
      <c r="BF752" s="35"/>
      <c r="BG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c r="AV753" s="35"/>
      <c r="AW753" s="35"/>
      <c r="AX753" s="35"/>
      <c r="AY753" s="35"/>
      <c r="AZ753" s="35"/>
      <c r="BA753" s="35"/>
      <c r="BB753" s="35"/>
      <c r="BC753" s="35"/>
      <c r="BD753" s="35"/>
      <c r="BE753" s="35"/>
      <c r="BF753" s="35"/>
      <c r="BG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c r="AV754" s="35"/>
      <c r="AW754" s="35"/>
      <c r="AX754" s="35"/>
      <c r="AY754" s="35"/>
      <c r="AZ754" s="35"/>
      <c r="BA754" s="35"/>
      <c r="BB754" s="35"/>
      <c r="BC754" s="35"/>
      <c r="BD754" s="35"/>
      <c r="BE754" s="35"/>
      <c r="BF754" s="35"/>
      <c r="BG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c r="AV755" s="35"/>
      <c r="AW755" s="35"/>
      <c r="AX755" s="35"/>
      <c r="AY755" s="35"/>
      <c r="AZ755" s="35"/>
      <c r="BA755" s="35"/>
      <c r="BB755" s="35"/>
      <c r="BC755" s="35"/>
      <c r="BD755" s="35"/>
      <c r="BE755" s="35"/>
      <c r="BF755" s="35"/>
      <c r="BG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c r="AV756" s="35"/>
      <c r="AW756" s="35"/>
      <c r="AX756" s="35"/>
      <c r="AY756" s="35"/>
      <c r="AZ756" s="35"/>
      <c r="BA756" s="35"/>
      <c r="BB756" s="35"/>
      <c r="BC756" s="35"/>
      <c r="BD756" s="35"/>
      <c r="BE756" s="35"/>
      <c r="BF756" s="35"/>
      <c r="BG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c r="AV757" s="35"/>
      <c r="AW757" s="35"/>
      <c r="AX757" s="35"/>
      <c r="AY757" s="35"/>
      <c r="AZ757" s="35"/>
      <c r="BA757" s="35"/>
      <c r="BB757" s="35"/>
      <c r="BC757" s="35"/>
      <c r="BD757" s="35"/>
      <c r="BE757" s="35"/>
      <c r="BF757" s="35"/>
      <c r="BG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c r="AV758" s="35"/>
      <c r="AW758" s="35"/>
      <c r="AX758" s="35"/>
      <c r="AY758" s="35"/>
      <c r="AZ758" s="35"/>
      <c r="BA758" s="35"/>
      <c r="BB758" s="35"/>
      <c r="BC758" s="35"/>
      <c r="BD758" s="35"/>
      <c r="BE758" s="35"/>
      <c r="BF758" s="35"/>
      <c r="BG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c r="AV759" s="35"/>
      <c r="AW759" s="35"/>
      <c r="AX759" s="35"/>
      <c r="AY759" s="35"/>
      <c r="AZ759" s="35"/>
      <c r="BA759" s="35"/>
      <c r="BB759" s="35"/>
      <c r="BC759" s="35"/>
      <c r="BD759" s="35"/>
      <c r="BE759" s="35"/>
      <c r="BF759" s="35"/>
      <c r="BG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c r="AV760" s="35"/>
      <c r="AW760" s="35"/>
      <c r="AX760" s="35"/>
      <c r="AY760" s="35"/>
      <c r="AZ760" s="35"/>
      <c r="BA760" s="35"/>
      <c r="BB760" s="35"/>
      <c r="BC760" s="35"/>
      <c r="BD760" s="35"/>
      <c r="BE760" s="35"/>
      <c r="BF760" s="35"/>
      <c r="BG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c r="AV761" s="35"/>
      <c r="AW761" s="35"/>
      <c r="AX761" s="35"/>
      <c r="AY761" s="35"/>
      <c r="AZ761" s="35"/>
      <c r="BA761" s="35"/>
      <c r="BB761" s="35"/>
      <c r="BC761" s="35"/>
      <c r="BD761" s="35"/>
      <c r="BE761" s="35"/>
      <c r="BF761" s="35"/>
      <c r="BG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c r="AV762" s="35"/>
      <c r="AW762" s="35"/>
      <c r="AX762" s="35"/>
      <c r="AY762" s="35"/>
      <c r="AZ762" s="35"/>
      <c r="BA762" s="35"/>
      <c r="BB762" s="35"/>
      <c r="BC762" s="35"/>
      <c r="BD762" s="35"/>
      <c r="BE762" s="35"/>
      <c r="BF762" s="35"/>
      <c r="BG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c r="AV763" s="35"/>
      <c r="AW763" s="35"/>
      <c r="AX763" s="35"/>
      <c r="AY763" s="35"/>
      <c r="AZ763" s="35"/>
      <c r="BA763" s="35"/>
      <c r="BB763" s="35"/>
      <c r="BC763" s="35"/>
      <c r="BD763" s="35"/>
      <c r="BE763" s="35"/>
      <c r="BF763" s="35"/>
      <c r="BG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c r="AV764" s="35"/>
      <c r="AW764" s="35"/>
      <c r="AX764" s="35"/>
      <c r="AY764" s="35"/>
      <c r="AZ764" s="35"/>
      <c r="BA764" s="35"/>
      <c r="BB764" s="35"/>
      <c r="BC764" s="35"/>
      <c r="BD764" s="35"/>
      <c r="BE764" s="35"/>
      <c r="BF764" s="35"/>
      <c r="BG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c r="AV765" s="35"/>
      <c r="AW765" s="35"/>
      <c r="AX765" s="35"/>
      <c r="AY765" s="35"/>
      <c r="AZ765" s="35"/>
      <c r="BA765" s="35"/>
      <c r="BB765" s="35"/>
      <c r="BC765" s="35"/>
      <c r="BD765" s="35"/>
      <c r="BE765" s="35"/>
      <c r="BF765" s="35"/>
      <c r="BG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c r="AV766" s="35"/>
      <c r="AW766" s="35"/>
      <c r="AX766" s="35"/>
      <c r="AY766" s="35"/>
      <c r="AZ766" s="35"/>
      <c r="BA766" s="35"/>
      <c r="BB766" s="35"/>
      <c r="BC766" s="35"/>
      <c r="BD766" s="35"/>
      <c r="BE766" s="35"/>
      <c r="BF766" s="35"/>
      <c r="BG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c r="AV767" s="35"/>
      <c r="AW767" s="35"/>
      <c r="AX767" s="35"/>
      <c r="AY767" s="35"/>
      <c r="AZ767" s="35"/>
      <c r="BA767" s="35"/>
      <c r="BB767" s="35"/>
      <c r="BC767" s="35"/>
      <c r="BD767" s="35"/>
      <c r="BE767" s="35"/>
      <c r="BF767" s="35"/>
      <c r="BG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c r="AV768" s="35"/>
      <c r="AW768" s="35"/>
      <c r="AX768" s="35"/>
      <c r="AY768" s="35"/>
      <c r="AZ768" s="35"/>
      <c r="BA768" s="35"/>
      <c r="BB768" s="35"/>
      <c r="BC768" s="35"/>
      <c r="BD768" s="35"/>
      <c r="BE768" s="35"/>
      <c r="BF768" s="35"/>
      <c r="BG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c r="AV769" s="35"/>
      <c r="AW769" s="35"/>
      <c r="AX769" s="35"/>
      <c r="AY769" s="35"/>
      <c r="AZ769" s="35"/>
      <c r="BA769" s="35"/>
      <c r="BB769" s="35"/>
      <c r="BC769" s="35"/>
      <c r="BD769" s="35"/>
      <c r="BE769" s="35"/>
      <c r="BF769" s="35"/>
      <c r="BG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c r="AV770" s="35"/>
      <c r="AW770" s="35"/>
      <c r="AX770" s="35"/>
      <c r="AY770" s="35"/>
      <c r="AZ770" s="35"/>
      <c r="BA770" s="35"/>
      <c r="BB770" s="35"/>
      <c r="BC770" s="35"/>
      <c r="BD770" s="35"/>
      <c r="BE770" s="35"/>
      <c r="BF770" s="35"/>
      <c r="BG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c r="AV771" s="35"/>
      <c r="AW771" s="35"/>
      <c r="AX771" s="35"/>
      <c r="AY771" s="35"/>
      <c r="AZ771" s="35"/>
      <c r="BA771" s="35"/>
      <c r="BB771" s="35"/>
      <c r="BC771" s="35"/>
      <c r="BD771" s="35"/>
      <c r="BE771" s="35"/>
      <c r="BF771" s="35"/>
      <c r="BG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c r="AV772" s="35"/>
      <c r="AW772" s="35"/>
      <c r="AX772" s="35"/>
      <c r="AY772" s="35"/>
      <c r="AZ772" s="35"/>
      <c r="BA772" s="35"/>
      <c r="BB772" s="35"/>
      <c r="BC772" s="35"/>
      <c r="BD772" s="35"/>
      <c r="BE772" s="35"/>
      <c r="BF772" s="35"/>
      <c r="BG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c r="AV773" s="35"/>
      <c r="AW773" s="35"/>
      <c r="AX773" s="35"/>
      <c r="AY773" s="35"/>
      <c r="AZ773" s="35"/>
      <c r="BA773" s="35"/>
      <c r="BB773" s="35"/>
      <c r="BC773" s="35"/>
      <c r="BD773" s="35"/>
      <c r="BE773" s="35"/>
      <c r="BF773" s="35"/>
      <c r="BG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c r="AV774" s="35"/>
      <c r="AW774" s="35"/>
      <c r="AX774" s="35"/>
      <c r="AY774" s="35"/>
      <c r="AZ774" s="35"/>
      <c r="BA774" s="35"/>
      <c r="BB774" s="35"/>
      <c r="BC774" s="35"/>
      <c r="BD774" s="35"/>
      <c r="BE774" s="35"/>
      <c r="BF774" s="35"/>
      <c r="BG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c r="AV775" s="35"/>
      <c r="AW775" s="35"/>
      <c r="AX775" s="35"/>
      <c r="AY775" s="35"/>
      <c r="AZ775" s="35"/>
      <c r="BA775" s="35"/>
      <c r="BB775" s="35"/>
      <c r="BC775" s="35"/>
      <c r="BD775" s="35"/>
      <c r="BE775" s="35"/>
      <c r="BF775" s="35"/>
      <c r="BG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c r="AV776" s="35"/>
      <c r="AW776" s="35"/>
      <c r="AX776" s="35"/>
      <c r="AY776" s="35"/>
      <c r="AZ776" s="35"/>
      <c r="BA776" s="35"/>
      <c r="BB776" s="35"/>
      <c r="BC776" s="35"/>
      <c r="BD776" s="35"/>
      <c r="BE776" s="35"/>
      <c r="BF776" s="35"/>
      <c r="BG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c r="AV777" s="35"/>
      <c r="AW777" s="35"/>
      <c r="AX777" s="35"/>
      <c r="AY777" s="35"/>
      <c r="AZ777" s="35"/>
      <c r="BA777" s="35"/>
      <c r="BB777" s="35"/>
      <c r="BC777" s="35"/>
      <c r="BD777" s="35"/>
      <c r="BE777" s="35"/>
      <c r="BF777" s="35"/>
      <c r="BG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c r="AV778" s="35"/>
      <c r="AW778" s="35"/>
      <c r="AX778" s="35"/>
      <c r="AY778" s="35"/>
      <c r="AZ778" s="35"/>
      <c r="BA778" s="35"/>
      <c r="BB778" s="35"/>
      <c r="BC778" s="35"/>
      <c r="BD778" s="35"/>
      <c r="BE778" s="35"/>
      <c r="BF778" s="35"/>
      <c r="BG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c r="AV779" s="35"/>
      <c r="AW779" s="35"/>
      <c r="AX779" s="35"/>
      <c r="AY779" s="35"/>
      <c r="AZ779" s="35"/>
      <c r="BA779" s="35"/>
      <c r="BB779" s="35"/>
      <c r="BC779" s="35"/>
      <c r="BD779" s="35"/>
      <c r="BE779" s="35"/>
      <c r="BF779" s="35"/>
      <c r="BG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c r="AV780" s="35"/>
      <c r="AW780" s="35"/>
      <c r="AX780" s="35"/>
      <c r="AY780" s="35"/>
      <c r="AZ780" s="35"/>
      <c r="BA780" s="35"/>
      <c r="BB780" s="35"/>
      <c r="BC780" s="35"/>
      <c r="BD780" s="35"/>
      <c r="BE780" s="35"/>
      <c r="BF780" s="35"/>
      <c r="BG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c r="AV781" s="35"/>
      <c r="AW781" s="35"/>
      <c r="AX781" s="35"/>
      <c r="AY781" s="35"/>
      <c r="AZ781" s="35"/>
      <c r="BA781" s="35"/>
      <c r="BB781" s="35"/>
      <c r="BC781" s="35"/>
      <c r="BD781" s="35"/>
      <c r="BE781" s="35"/>
      <c r="BF781" s="35"/>
      <c r="BG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c r="AV782" s="35"/>
      <c r="AW782" s="35"/>
      <c r="AX782" s="35"/>
      <c r="AY782" s="35"/>
      <c r="AZ782" s="35"/>
      <c r="BA782" s="35"/>
      <c r="BB782" s="35"/>
      <c r="BC782" s="35"/>
      <c r="BD782" s="35"/>
      <c r="BE782" s="35"/>
      <c r="BF782" s="35"/>
      <c r="BG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c r="AV783" s="35"/>
      <c r="AW783" s="35"/>
      <c r="AX783" s="35"/>
      <c r="AY783" s="35"/>
      <c r="AZ783" s="35"/>
      <c r="BA783" s="35"/>
      <c r="BB783" s="35"/>
      <c r="BC783" s="35"/>
      <c r="BD783" s="35"/>
      <c r="BE783" s="35"/>
      <c r="BF783" s="35"/>
      <c r="BG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c r="AV784" s="35"/>
      <c r="AW784" s="35"/>
      <c r="AX784" s="35"/>
      <c r="AY784" s="35"/>
      <c r="AZ784" s="35"/>
      <c r="BA784" s="35"/>
      <c r="BB784" s="35"/>
      <c r="BC784" s="35"/>
      <c r="BD784" s="35"/>
      <c r="BE784" s="35"/>
      <c r="BF784" s="35"/>
      <c r="BG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c r="AV785" s="35"/>
      <c r="AW785" s="35"/>
      <c r="AX785" s="35"/>
      <c r="AY785" s="35"/>
      <c r="AZ785" s="35"/>
      <c r="BA785" s="35"/>
      <c r="BB785" s="35"/>
      <c r="BC785" s="35"/>
      <c r="BD785" s="35"/>
      <c r="BE785" s="35"/>
      <c r="BF785" s="35"/>
      <c r="BG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c r="AV786" s="35"/>
      <c r="AW786" s="35"/>
      <c r="AX786" s="35"/>
      <c r="AY786" s="35"/>
      <c r="AZ786" s="35"/>
      <c r="BA786" s="35"/>
      <c r="BB786" s="35"/>
      <c r="BC786" s="35"/>
      <c r="BD786" s="35"/>
      <c r="BE786" s="35"/>
      <c r="BF786" s="35"/>
      <c r="BG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c r="AV787" s="35"/>
      <c r="AW787" s="35"/>
      <c r="AX787" s="35"/>
      <c r="AY787" s="35"/>
      <c r="AZ787" s="35"/>
      <c r="BA787" s="35"/>
      <c r="BB787" s="35"/>
      <c r="BC787" s="35"/>
      <c r="BD787" s="35"/>
      <c r="BE787" s="35"/>
      <c r="BF787" s="35"/>
      <c r="BG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c r="AV788" s="35"/>
      <c r="AW788" s="35"/>
      <c r="AX788" s="35"/>
      <c r="AY788" s="35"/>
      <c r="AZ788" s="35"/>
      <c r="BA788" s="35"/>
      <c r="BB788" s="35"/>
      <c r="BC788" s="35"/>
      <c r="BD788" s="35"/>
      <c r="BE788" s="35"/>
      <c r="BF788" s="35"/>
      <c r="BG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c r="AV789" s="35"/>
      <c r="AW789" s="35"/>
      <c r="AX789" s="35"/>
      <c r="AY789" s="35"/>
      <c r="AZ789" s="35"/>
      <c r="BA789" s="35"/>
      <c r="BB789" s="35"/>
      <c r="BC789" s="35"/>
      <c r="BD789" s="35"/>
      <c r="BE789" s="35"/>
      <c r="BF789" s="35"/>
      <c r="BG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c r="AV790" s="35"/>
      <c r="AW790" s="35"/>
      <c r="AX790" s="35"/>
      <c r="AY790" s="35"/>
      <c r="AZ790" s="35"/>
      <c r="BA790" s="35"/>
      <c r="BB790" s="35"/>
      <c r="BC790" s="35"/>
      <c r="BD790" s="35"/>
      <c r="BE790" s="35"/>
      <c r="BF790" s="35"/>
      <c r="BG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c r="AV791" s="35"/>
      <c r="AW791" s="35"/>
      <c r="AX791" s="35"/>
      <c r="AY791" s="35"/>
      <c r="AZ791" s="35"/>
      <c r="BA791" s="35"/>
      <c r="BB791" s="35"/>
      <c r="BC791" s="35"/>
      <c r="BD791" s="35"/>
      <c r="BE791" s="35"/>
      <c r="BF791" s="35"/>
      <c r="BG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c r="AV792" s="35"/>
      <c r="AW792" s="35"/>
      <c r="AX792" s="35"/>
      <c r="AY792" s="35"/>
      <c r="AZ792" s="35"/>
      <c r="BA792" s="35"/>
      <c r="BB792" s="35"/>
      <c r="BC792" s="35"/>
      <c r="BD792" s="35"/>
      <c r="BE792" s="35"/>
      <c r="BF792" s="35"/>
      <c r="BG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c r="AV793" s="35"/>
      <c r="AW793" s="35"/>
      <c r="AX793" s="35"/>
      <c r="AY793" s="35"/>
      <c r="AZ793" s="35"/>
      <c r="BA793" s="35"/>
      <c r="BB793" s="35"/>
      <c r="BC793" s="35"/>
      <c r="BD793" s="35"/>
      <c r="BE793" s="35"/>
      <c r="BF793" s="35"/>
      <c r="BG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c r="AV794" s="35"/>
      <c r="AW794" s="35"/>
      <c r="AX794" s="35"/>
      <c r="AY794" s="35"/>
      <c r="AZ794" s="35"/>
      <c r="BA794" s="35"/>
      <c r="BB794" s="35"/>
      <c r="BC794" s="35"/>
      <c r="BD794" s="35"/>
      <c r="BE794" s="35"/>
      <c r="BF794" s="35"/>
      <c r="BG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c r="AV795" s="35"/>
      <c r="AW795" s="35"/>
      <c r="AX795" s="35"/>
      <c r="AY795" s="35"/>
      <c r="AZ795" s="35"/>
      <c r="BA795" s="35"/>
      <c r="BB795" s="35"/>
      <c r="BC795" s="35"/>
      <c r="BD795" s="35"/>
      <c r="BE795" s="35"/>
      <c r="BF795" s="35"/>
      <c r="BG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c r="AV796" s="35"/>
      <c r="AW796" s="35"/>
      <c r="AX796" s="35"/>
      <c r="AY796" s="35"/>
      <c r="AZ796" s="35"/>
      <c r="BA796" s="35"/>
      <c r="BB796" s="35"/>
      <c r="BC796" s="35"/>
      <c r="BD796" s="35"/>
      <c r="BE796" s="35"/>
      <c r="BF796" s="35"/>
      <c r="BG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c r="AV797" s="35"/>
      <c r="AW797" s="35"/>
      <c r="AX797" s="35"/>
      <c r="AY797" s="35"/>
      <c r="AZ797" s="35"/>
      <c r="BA797" s="35"/>
      <c r="BB797" s="35"/>
      <c r="BC797" s="35"/>
      <c r="BD797" s="35"/>
      <c r="BE797" s="35"/>
      <c r="BF797" s="35"/>
      <c r="BG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c r="AV798" s="35"/>
      <c r="AW798" s="35"/>
      <c r="AX798" s="35"/>
      <c r="AY798" s="35"/>
      <c r="AZ798" s="35"/>
      <c r="BA798" s="35"/>
      <c r="BB798" s="35"/>
      <c r="BC798" s="35"/>
      <c r="BD798" s="35"/>
      <c r="BE798" s="35"/>
      <c r="BF798" s="35"/>
      <c r="BG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c r="AV799" s="35"/>
      <c r="AW799" s="35"/>
      <c r="AX799" s="35"/>
      <c r="AY799" s="35"/>
      <c r="AZ799" s="35"/>
      <c r="BA799" s="35"/>
      <c r="BB799" s="35"/>
      <c r="BC799" s="35"/>
      <c r="BD799" s="35"/>
      <c r="BE799" s="35"/>
      <c r="BF799" s="35"/>
      <c r="BG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c r="AV800" s="35"/>
      <c r="AW800" s="35"/>
      <c r="AX800" s="35"/>
      <c r="AY800" s="35"/>
      <c r="AZ800" s="35"/>
      <c r="BA800" s="35"/>
      <c r="BB800" s="35"/>
      <c r="BC800" s="35"/>
      <c r="BD800" s="35"/>
      <c r="BE800" s="35"/>
      <c r="BF800" s="35"/>
      <c r="BG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c r="AV801" s="35"/>
      <c r="AW801" s="35"/>
      <c r="AX801" s="35"/>
      <c r="AY801" s="35"/>
      <c r="AZ801" s="35"/>
      <c r="BA801" s="35"/>
      <c r="BB801" s="35"/>
      <c r="BC801" s="35"/>
      <c r="BD801" s="35"/>
      <c r="BE801" s="35"/>
      <c r="BF801" s="35"/>
      <c r="BG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c r="AV802" s="35"/>
      <c r="AW802" s="35"/>
      <c r="AX802" s="35"/>
      <c r="AY802" s="35"/>
      <c r="AZ802" s="35"/>
      <c r="BA802" s="35"/>
      <c r="BB802" s="35"/>
      <c r="BC802" s="35"/>
      <c r="BD802" s="35"/>
      <c r="BE802" s="35"/>
      <c r="BF802" s="35"/>
      <c r="BG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c r="AV803" s="35"/>
      <c r="AW803" s="35"/>
      <c r="AX803" s="35"/>
      <c r="AY803" s="35"/>
      <c r="AZ803" s="35"/>
      <c r="BA803" s="35"/>
      <c r="BB803" s="35"/>
      <c r="BC803" s="35"/>
      <c r="BD803" s="35"/>
      <c r="BE803" s="35"/>
      <c r="BF803" s="35"/>
      <c r="BG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c r="AV804" s="35"/>
      <c r="AW804" s="35"/>
      <c r="AX804" s="35"/>
      <c r="AY804" s="35"/>
      <c r="AZ804" s="35"/>
      <c r="BA804" s="35"/>
      <c r="BB804" s="35"/>
      <c r="BC804" s="35"/>
      <c r="BD804" s="35"/>
      <c r="BE804" s="35"/>
      <c r="BF804" s="35"/>
      <c r="BG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c r="AV805" s="35"/>
      <c r="AW805" s="35"/>
      <c r="AX805" s="35"/>
      <c r="AY805" s="35"/>
      <c r="AZ805" s="35"/>
      <c r="BA805" s="35"/>
      <c r="BB805" s="35"/>
      <c r="BC805" s="35"/>
      <c r="BD805" s="35"/>
      <c r="BE805" s="35"/>
      <c r="BF805" s="35"/>
      <c r="BG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c r="AV806" s="35"/>
      <c r="AW806" s="35"/>
      <c r="AX806" s="35"/>
      <c r="AY806" s="35"/>
      <c r="AZ806" s="35"/>
      <c r="BA806" s="35"/>
      <c r="BB806" s="35"/>
      <c r="BC806" s="35"/>
      <c r="BD806" s="35"/>
      <c r="BE806" s="35"/>
      <c r="BF806" s="35"/>
      <c r="BG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c r="AV807" s="35"/>
      <c r="AW807" s="35"/>
      <c r="AX807" s="35"/>
      <c r="AY807" s="35"/>
      <c r="AZ807" s="35"/>
      <c r="BA807" s="35"/>
      <c r="BB807" s="35"/>
      <c r="BC807" s="35"/>
      <c r="BD807" s="35"/>
      <c r="BE807" s="35"/>
      <c r="BF807" s="35"/>
      <c r="BG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c r="AV808" s="35"/>
      <c r="AW808" s="35"/>
      <c r="AX808" s="35"/>
      <c r="AY808" s="35"/>
      <c r="AZ808" s="35"/>
      <c r="BA808" s="35"/>
      <c r="BB808" s="35"/>
      <c r="BC808" s="35"/>
      <c r="BD808" s="35"/>
      <c r="BE808" s="35"/>
      <c r="BF808" s="35"/>
      <c r="BG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c r="AV809" s="35"/>
      <c r="AW809" s="35"/>
      <c r="AX809" s="35"/>
      <c r="AY809" s="35"/>
      <c r="AZ809" s="35"/>
      <c r="BA809" s="35"/>
      <c r="BB809" s="35"/>
      <c r="BC809" s="35"/>
      <c r="BD809" s="35"/>
      <c r="BE809" s="35"/>
      <c r="BF809" s="35"/>
      <c r="BG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c r="AV810" s="35"/>
      <c r="AW810" s="35"/>
      <c r="AX810" s="35"/>
      <c r="AY810" s="35"/>
      <c r="AZ810" s="35"/>
      <c r="BA810" s="35"/>
      <c r="BB810" s="35"/>
      <c r="BC810" s="35"/>
      <c r="BD810" s="35"/>
      <c r="BE810" s="35"/>
      <c r="BF810" s="35"/>
      <c r="BG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c r="AV811" s="35"/>
      <c r="AW811" s="35"/>
      <c r="AX811" s="35"/>
      <c r="AY811" s="35"/>
      <c r="AZ811" s="35"/>
      <c r="BA811" s="35"/>
      <c r="BB811" s="35"/>
      <c r="BC811" s="35"/>
      <c r="BD811" s="35"/>
      <c r="BE811" s="35"/>
      <c r="BF811" s="35"/>
      <c r="BG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c r="AV812" s="35"/>
      <c r="AW812" s="35"/>
      <c r="AX812" s="35"/>
      <c r="AY812" s="35"/>
      <c r="AZ812" s="35"/>
      <c r="BA812" s="35"/>
      <c r="BB812" s="35"/>
      <c r="BC812" s="35"/>
      <c r="BD812" s="35"/>
      <c r="BE812" s="35"/>
      <c r="BF812" s="35"/>
      <c r="BG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c r="AV813" s="35"/>
      <c r="AW813" s="35"/>
      <c r="AX813" s="35"/>
      <c r="AY813" s="35"/>
      <c r="AZ813" s="35"/>
      <c r="BA813" s="35"/>
      <c r="BB813" s="35"/>
      <c r="BC813" s="35"/>
      <c r="BD813" s="35"/>
      <c r="BE813" s="35"/>
      <c r="BF813" s="35"/>
      <c r="BG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c r="AV814" s="35"/>
      <c r="AW814" s="35"/>
      <c r="AX814" s="35"/>
      <c r="AY814" s="35"/>
      <c r="AZ814" s="35"/>
      <c r="BA814" s="35"/>
      <c r="BB814" s="35"/>
      <c r="BC814" s="35"/>
      <c r="BD814" s="35"/>
      <c r="BE814" s="35"/>
      <c r="BF814" s="35"/>
      <c r="BG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c r="AV815" s="35"/>
      <c r="AW815" s="35"/>
      <c r="AX815" s="35"/>
      <c r="AY815" s="35"/>
      <c r="AZ815" s="35"/>
      <c r="BA815" s="35"/>
      <c r="BB815" s="35"/>
      <c r="BC815" s="35"/>
      <c r="BD815" s="35"/>
      <c r="BE815" s="35"/>
      <c r="BF815" s="35"/>
      <c r="BG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c r="AV816" s="35"/>
      <c r="AW816" s="35"/>
      <c r="AX816" s="35"/>
      <c r="AY816" s="35"/>
      <c r="AZ816" s="35"/>
      <c r="BA816" s="35"/>
      <c r="BB816" s="35"/>
      <c r="BC816" s="35"/>
      <c r="BD816" s="35"/>
      <c r="BE816" s="35"/>
      <c r="BF816" s="35"/>
      <c r="BG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c r="AV817" s="35"/>
      <c r="AW817" s="35"/>
      <c r="AX817" s="35"/>
      <c r="AY817" s="35"/>
      <c r="AZ817" s="35"/>
      <c r="BA817" s="35"/>
      <c r="BB817" s="35"/>
      <c r="BC817" s="35"/>
      <c r="BD817" s="35"/>
      <c r="BE817" s="35"/>
      <c r="BF817" s="35"/>
      <c r="BG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c r="AV818" s="35"/>
      <c r="AW818" s="35"/>
      <c r="AX818" s="35"/>
      <c r="AY818" s="35"/>
      <c r="AZ818" s="35"/>
      <c r="BA818" s="35"/>
      <c r="BB818" s="35"/>
      <c r="BC818" s="35"/>
      <c r="BD818" s="35"/>
      <c r="BE818" s="35"/>
      <c r="BF818" s="35"/>
      <c r="BG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c r="AV819" s="35"/>
      <c r="AW819" s="35"/>
      <c r="AX819" s="35"/>
      <c r="AY819" s="35"/>
      <c r="AZ819" s="35"/>
      <c r="BA819" s="35"/>
      <c r="BB819" s="35"/>
      <c r="BC819" s="35"/>
      <c r="BD819" s="35"/>
      <c r="BE819" s="35"/>
      <c r="BF819" s="35"/>
      <c r="BG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c r="AV820" s="35"/>
      <c r="AW820" s="35"/>
      <c r="AX820" s="35"/>
      <c r="AY820" s="35"/>
      <c r="AZ820" s="35"/>
      <c r="BA820" s="35"/>
      <c r="BB820" s="35"/>
      <c r="BC820" s="35"/>
      <c r="BD820" s="35"/>
      <c r="BE820" s="35"/>
      <c r="BF820" s="35"/>
      <c r="BG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c r="AV821" s="35"/>
      <c r="AW821" s="35"/>
      <c r="AX821" s="35"/>
      <c r="AY821" s="35"/>
      <c r="AZ821" s="35"/>
      <c r="BA821" s="35"/>
      <c r="BB821" s="35"/>
      <c r="BC821" s="35"/>
      <c r="BD821" s="35"/>
      <c r="BE821" s="35"/>
      <c r="BF821" s="35"/>
      <c r="BG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c r="AV822" s="35"/>
      <c r="AW822" s="35"/>
      <c r="AX822" s="35"/>
      <c r="AY822" s="35"/>
      <c r="AZ822" s="35"/>
      <c r="BA822" s="35"/>
      <c r="BB822" s="35"/>
      <c r="BC822" s="35"/>
      <c r="BD822" s="35"/>
      <c r="BE822" s="35"/>
      <c r="BF822" s="35"/>
      <c r="BG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c r="AV823" s="35"/>
      <c r="AW823" s="35"/>
      <c r="AX823" s="35"/>
      <c r="AY823" s="35"/>
      <c r="AZ823" s="35"/>
      <c r="BA823" s="35"/>
      <c r="BB823" s="35"/>
      <c r="BC823" s="35"/>
      <c r="BD823" s="35"/>
      <c r="BE823" s="35"/>
      <c r="BF823" s="35"/>
      <c r="BG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c r="AV824" s="35"/>
      <c r="AW824" s="35"/>
      <c r="AX824" s="35"/>
      <c r="AY824" s="35"/>
      <c r="AZ824" s="35"/>
      <c r="BA824" s="35"/>
      <c r="BB824" s="35"/>
      <c r="BC824" s="35"/>
      <c r="BD824" s="35"/>
      <c r="BE824" s="35"/>
      <c r="BF824" s="35"/>
      <c r="BG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c r="AV825" s="35"/>
      <c r="AW825" s="35"/>
      <c r="AX825" s="35"/>
      <c r="AY825" s="35"/>
      <c r="AZ825" s="35"/>
      <c r="BA825" s="35"/>
      <c r="BB825" s="35"/>
      <c r="BC825" s="35"/>
      <c r="BD825" s="35"/>
      <c r="BE825" s="35"/>
      <c r="BF825" s="35"/>
      <c r="BG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c r="AV826" s="35"/>
      <c r="AW826" s="35"/>
      <c r="AX826" s="35"/>
      <c r="AY826" s="35"/>
      <c r="AZ826" s="35"/>
      <c r="BA826" s="35"/>
      <c r="BB826" s="35"/>
      <c r="BC826" s="35"/>
      <c r="BD826" s="35"/>
      <c r="BE826" s="35"/>
      <c r="BF826" s="35"/>
      <c r="BG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c r="AV827" s="35"/>
      <c r="AW827" s="35"/>
      <c r="AX827" s="35"/>
      <c r="AY827" s="35"/>
      <c r="AZ827" s="35"/>
      <c r="BA827" s="35"/>
      <c r="BB827" s="35"/>
      <c r="BC827" s="35"/>
      <c r="BD827" s="35"/>
      <c r="BE827" s="35"/>
      <c r="BF827" s="35"/>
      <c r="BG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c r="AV828" s="35"/>
      <c r="AW828" s="35"/>
      <c r="AX828" s="35"/>
      <c r="AY828" s="35"/>
      <c r="AZ828" s="35"/>
      <c r="BA828" s="35"/>
      <c r="BB828" s="35"/>
      <c r="BC828" s="35"/>
      <c r="BD828" s="35"/>
      <c r="BE828" s="35"/>
      <c r="BF828" s="35"/>
      <c r="BG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c r="AV829" s="35"/>
      <c r="AW829" s="35"/>
      <c r="AX829" s="35"/>
      <c r="AY829" s="35"/>
      <c r="AZ829" s="35"/>
      <c r="BA829" s="35"/>
      <c r="BB829" s="35"/>
      <c r="BC829" s="35"/>
      <c r="BD829" s="35"/>
      <c r="BE829" s="35"/>
      <c r="BF829" s="35"/>
      <c r="BG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c r="AV830" s="35"/>
      <c r="AW830" s="35"/>
      <c r="AX830" s="35"/>
      <c r="AY830" s="35"/>
      <c r="AZ830" s="35"/>
      <c r="BA830" s="35"/>
      <c r="BB830" s="35"/>
      <c r="BC830" s="35"/>
      <c r="BD830" s="35"/>
      <c r="BE830" s="35"/>
      <c r="BF830" s="35"/>
      <c r="BG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c r="AV831" s="35"/>
      <c r="AW831" s="35"/>
      <c r="AX831" s="35"/>
      <c r="AY831" s="35"/>
      <c r="AZ831" s="35"/>
      <c r="BA831" s="35"/>
      <c r="BB831" s="35"/>
      <c r="BC831" s="35"/>
      <c r="BD831" s="35"/>
      <c r="BE831" s="35"/>
      <c r="BF831" s="35"/>
      <c r="BG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c r="AV832" s="35"/>
      <c r="AW832" s="35"/>
      <c r="AX832" s="35"/>
      <c r="AY832" s="35"/>
      <c r="AZ832" s="35"/>
      <c r="BA832" s="35"/>
      <c r="BB832" s="35"/>
      <c r="BC832" s="35"/>
      <c r="BD832" s="35"/>
      <c r="BE832" s="35"/>
      <c r="BF832" s="35"/>
      <c r="BG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c r="AV833" s="35"/>
      <c r="AW833" s="35"/>
      <c r="AX833" s="35"/>
      <c r="AY833" s="35"/>
      <c r="AZ833" s="35"/>
      <c r="BA833" s="35"/>
      <c r="BB833" s="35"/>
      <c r="BC833" s="35"/>
      <c r="BD833" s="35"/>
      <c r="BE833" s="35"/>
      <c r="BF833" s="35"/>
      <c r="BG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c r="AV834" s="35"/>
      <c r="AW834" s="35"/>
      <c r="AX834" s="35"/>
      <c r="AY834" s="35"/>
      <c r="AZ834" s="35"/>
      <c r="BA834" s="35"/>
      <c r="BB834" s="35"/>
      <c r="BC834" s="35"/>
      <c r="BD834" s="35"/>
      <c r="BE834" s="35"/>
      <c r="BF834" s="35"/>
      <c r="BG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c r="AV835" s="35"/>
      <c r="AW835" s="35"/>
      <c r="AX835" s="35"/>
      <c r="AY835" s="35"/>
      <c r="AZ835" s="35"/>
      <c r="BA835" s="35"/>
      <c r="BB835" s="35"/>
      <c r="BC835" s="35"/>
      <c r="BD835" s="35"/>
      <c r="BE835" s="35"/>
      <c r="BF835" s="35"/>
      <c r="BG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c r="AV836" s="35"/>
      <c r="AW836" s="35"/>
      <c r="AX836" s="35"/>
      <c r="AY836" s="35"/>
      <c r="AZ836" s="35"/>
      <c r="BA836" s="35"/>
      <c r="BB836" s="35"/>
      <c r="BC836" s="35"/>
      <c r="BD836" s="35"/>
      <c r="BE836" s="35"/>
      <c r="BF836" s="35"/>
      <c r="BG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c r="AV837" s="35"/>
      <c r="AW837" s="35"/>
      <c r="AX837" s="35"/>
      <c r="AY837" s="35"/>
      <c r="AZ837" s="35"/>
      <c r="BA837" s="35"/>
      <c r="BB837" s="35"/>
      <c r="BC837" s="35"/>
      <c r="BD837" s="35"/>
      <c r="BE837" s="35"/>
      <c r="BF837" s="35"/>
      <c r="BG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c r="AV838" s="35"/>
      <c r="AW838" s="35"/>
      <c r="AX838" s="35"/>
      <c r="AY838" s="35"/>
      <c r="AZ838" s="35"/>
      <c r="BA838" s="35"/>
      <c r="BB838" s="35"/>
      <c r="BC838" s="35"/>
      <c r="BD838" s="35"/>
      <c r="BE838" s="35"/>
      <c r="BF838" s="35"/>
      <c r="BG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c r="AV839" s="35"/>
      <c r="AW839" s="35"/>
      <c r="AX839" s="35"/>
      <c r="AY839" s="35"/>
      <c r="AZ839" s="35"/>
      <c r="BA839" s="35"/>
      <c r="BB839" s="35"/>
      <c r="BC839" s="35"/>
      <c r="BD839" s="35"/>
      <c r="BE839" s="35"/>
      <c r="BF839" s="35"/>
      <c r="BG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c r="AV840" s="35"/>
      <c r="AW840" s="35"/>
      <c r="AX840" s="35"/>
      <c r="AY840" s="35"/>
      <c r="AZ840" s="35"/>
      <c r="BA840" s="35"/>
      <c r="BB840" s="35"/>
      <c r="BC840" s="35"/>
      <c r="BD840" s="35"/>
      <c r="BE840" s="35"/>
      <c r="BF840" s="35"/>
      <c r="BG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c r="AV841" s="35"/>
      <c r="AW841" s="35"/>
      <c r="AX841" s="35"/>
      <c r="AY841" s="35"/>
      <c r="AZ841" s="35"/>
      <c r="BA841" s="35"/>
      <c r="BB841" s="35"/>
      <c r="BC841" s="35"/>
      <c r="BD841" s="35"/>
      <c r="BE841" s="35"/>
      <c r="BF841" s="35"/>
      <c r="BG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c r="AV842" s="35"/>
      <c r="AW842" s="35"/>
      <c r="AX842" s="35"/>
      <c r="AY842" s="35"/>
      <c r="AZ842" s="35"/>
      <c r="BA842" s="35"/>
      <c r="BB842" s="35"/>
      <c r="BC842" s="35"/>
      <c r="BD842" s="35"/>
      <c r="BE842" s="35"/>
      <c r="BF842" s="35"/>
      <c r="BG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c r="AV843" s="35"/>
      <c r="AW843" s="35"/>
      <c r="AX843" s="35"/>
      <c r="AY843" s="35"/>
      <c r="AZ843" s="35"/>
      <c r="BA843" s="35"/>
      <c r="BB843" s="35"/>
      <c r="BC843" s="35"/>
      <c r="BD843" s="35"/>
      <c r="BE843" s="35"/>
      <c r="BF843" s="35"/>
      <c r="BG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c r="AV844" s="35"/>
      <c r="AW844" s="35"/>
      <c r="AX844" s="35"/>
      <c r="AY844" s="35"/>
      <c r="AZ844" s="35"/>
      <c r="BA844" s="35"/>
      <c r="BB844" s="35"/>
      <c r="BC844" s="35"/>
      <c r="BD844" s="35"/>
      <c r="BE844" s="35"/>
      <c r="BF844" s="35"/>
      <c r="BG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c r="AV845" s="35"/>
      <c r="AW845" s="35"/>
      <c r="AX845" s="35"/>
      <c r="AY845" s="35"/>
      <c r="AZ845" s="35"/>
      <c r="BA845" s="35"/>
      <c r="BB845" s="35"/>
      <c r="BC845" s="35"/>
      <c r="BD845" s="35"/>
      <c r="BE845" s="35"/>
      <c r="BF845" s="35"/>
      <c r="BG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c r="AV846" s="35"/>
      <c r="AW846" s="35"/>
      <c r="AX846" s="35"/>
      <c r="AY846" s="35"/>
      <c r="AZ846" s="35"/>
      <c r="BA846" s="35"/>
      <c r="BB846" s="35"/>
      <c r="BC846" s="35"/>
      <c r="BD846" s="35"/>
      <c r="BE846" s="35"/>
      <c r="BF846" s="35"/>
      <c r="BG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c r="AV847" s="35"/>
      <c r="AW847" s="35"/>
      <c r="AX847" s="35"/>
      <c r="AY847" s="35"/>
      <c r="AZ847" s="35"/>
      <c r="BA847" s="35"/>
      <c r="BB847" s="35"/>
      <c r="BC847" s="35"/>
      <c r="BD847" s="35"/>
      <c r="BE847" s="35"/>
      <c r="BF847" s="35"/>
      <c r="BG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c r="AV848" s="35"/>
      <c r="AW848" s="35"/>
      <c r="AX848" s="35"/>
      <c r="AY848" s="35"/>
      <c r="AZ848" s="35"/>
      <c r="BA848" s="35"/>
      <c r="BB848" s="35"/>
      <c r="BC848" s="35"/>
      <c r="BD848" s="35"/>
      <c r="BE848" s="35"/>
      <c r="BF848" s="35"/>
      <c r="BG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c r="AV849" s="35"/>
      <c r="AW849" s="35"/>
      <c r="AX849" s="35"/>
      <c r="AY849" s="35"/>
      <c r="AZ849" s="35"/>
      <c r="BA849" s="35"/>
      <c r="BB849" s="35"/>
      <c r="BC849" s="35"/>
      <c r="BD849" s="35"/>
      <c r="BE849" s="35"/>
      <c r="BF849" s="35"/>
      <c r="BG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c r="AV850" s="35"/>
      <c r="AW850" s="35"/>
      <c r="AX850" s="35"/>
      <c r="AY850" s="35"/>
      <c r="AZ850" s="35"/>
      <c r="BA850" s="35"/>
      <c r="BB850" s="35"/>
      <c r="BC850" s="35"/>
      <c r="BD850" s="35"/>
      <c r="BE850" s="35"/>
      <c r="BF850" s="35"/>
      <c r="BG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c r="AV851" s="35"/>
      <c r="AW851" s="35"/>
      <c r="AX851" s="35"/>
      <c r="AY851" s="35"/>
      <c r="AZ851" s="35"/>
      <c r="BA851" s="35"/>
      <c r="BB851" s="35"/>
      <c r="BC851" s="35"/>
      <c r="BD851" s="35"/>
      <c r="BE851" s="35"/>
      <c r="BF851" s="35"/>
      <c r="BG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c r="AV852" s="35"/>
      <c r="AW852" s="35"/>
      <c r="AX852" s="35"/>
      <c r="AY852" s="35"/>
      <c r="AZ852" s="35"/>
      <c r="BA852" s="35"/>
      <c r="BB852" s="35"/>
      <c r="BC852" s="35"/>
      <c r="BD852" s="35"/>
      <c r="BE852" s="35"/>
      <c r="BF852" s="35"/>
      <c r="BG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c r="AV853" s="35"/>
      <c r="AW853" s="35"/>
      <c r="AX853" s="35"/>
      <c r="AY853" s="35"/>
      <c r="AZ853" s="35"/>
      <c r="BA853" s="35"/>
      <c r="BB853" s="35"/>
      <c r="BC853" s="35"/>
      <c r="BD853" s="35"/>
      <c r="BE853" s="35"/>
      <c r="BF853" s="35"/>
      <c r="BG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c r="AV854" s="35"/>
      <c r="AW854" s="35"/>
      <c r="AX854" s="35"/>
      <c r="AY854" s="35"/>
      <c r="AZ854" s="35"/>
      <c r="BA854" s="35"/>
      <c r="BB854" s="35"/>
      <c r="BC854" s="35"/>
      <c r="BD854" s="35"/>
      <c r="BE854" s="35"/>
      <c r="BF854" s="35"/>
      <c r="BG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c r="AV855" s="35"/>
      <c r="AW855" s="35"/>
      <c r="AX855" s="35"/>
      <c r="AY855" s="35"/>
      <c r="AZ855" s="35"/>
      <c r="BA855" s="35"/>
      <c r="BB855" s="35"/>
      <c r="BC855" s="35"/>
      <c r="BD855" s="35"/>
      <c r="BE855" s="35"/>
      <c r="BF855" s="35"/>
      <c r="BG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c r="AV856" s="35"/>
      <c r="AW856" s="35"/>
      <c r="AX856" s="35"/>
      <c r="AY856" s="35"/>
      <c r="AZ856" s="35"/>
      <c r="BA856" s="35"/>
      <c r="BB856" s="35"/>
      <c r="BC856" s="35"/>
      <c r="BD856" s="35"/>
      <c r="BE856" s="35"/>
      <c r="BF856" s="35"/>
      <c r="BG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c r="AV857" s="35"/>
      <c r="AW857" s="35"/>
      <c r="AX857" s="35"/>
      <c r="AY857" s="35"/>
      <c r="AZ857" s="35"/>
      <c r="BA857" s="35"/>
      <c r="BB857" s="35"/>
      <c r="BC857" s="35"/>
      <c r="BD857" s="35"/>
      <c r="BE857" s="35"/>
      <c r="BF857" s="35"/>
      <c r="BG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c r="AV858" s="35"/>
      <c r="AW858" s="35"/>
      <c r="AX858" s="35"/>
      <c r="AY858" s="35"/>
      <c r="AZ858" s="35"/>
      <c r="BA858" s="35"/>
      <c r="BB858" s="35"/>
      <c r="BC858" s="35"/>
      <c r="BD858" s="35"/>
      <c r="BE858" s="35"/>
      <c r="BF858" s="35"/>
      <c r="BG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c r="AV859" s="35"/>
      <c r="AW859" s="35"/>
      <c r="AX859" s="35"/>
      <c r="AY859" s="35"/>
      <c r="AZ859" s="35"/>
      <c r="BA859" s="35"/>
      <c r="BB859" s="35"/>
      <c r="BC859" s="35"/>
      <c r="BD859" s="35"/>
      <c r="BE859" s="35"/>
      <c r="BF859" s="35"/>
      <c r="BG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c r="AV860" s="35"/>
      <c r="AW860" s="35"/>
      <c r="AX860" s="35"/>
      <c r="AY860" s="35"/>
      <c r="AZ860" s="35"/>
      <c r="BA860" s="35"/>
      <c r="BB860" s="35"/>
      <c r="BC860" s="35"/>
      <c r="BD860" s="35"/>
      <c r="BE860" s="35"/>
      <c r="BF860" s="35"/>
      <c r="BG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c r="AV861" s="35"/>
      <c r="AW861" s="35"/>
      <c r="AX861" s="35"/>
      <c r="AY861" s="35"/>
      <c r="AZ861" s="35"/>
      <c r="BA861" s="35"/>
      <c r="BB861" s="35"/>
      <c r="BC861" s="35"/>
      <c r="BD861" s="35"/>
      <c r="BE861" s="35"/>
      <c r="BF861" s="35"/>
      <c r="BG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c r="AV862" s="35"/>
      <c r="AW862" s="35"/>
      <c r="AX862" s="35"/>
      <c r="AY862" s="35"/>
      <c r="AZ862" s="35"/>
      <c r="BA862" s="35"/>
      <c r="BB862" s="35"/>
      <c r="BC862" s="35"/>
      <c r="BD862" s="35"/>
      <c r="BE862" s="35"/>
      <c r="BF862" s="35"/>
      <c r="BG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c r="AV863" s="35"/>
      <c r="AW863" s="35"/>
      <c r="AX863" s="35"/>
      <c r="AY863" s="35"/>
      <c r="AZ863" s="35"/>
      <c r="BA863" s="35"/>
      <c r="BB863" s="35"/>
      <c r="BC863" s="35"/>
      <c r="BD863" s="35"/>
      <c r="BE863" s="35"/>
      <c r="BF863" s="35"/>
      <c r="BG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c r="AV864" s="35"/>
      <c r="AW864" s="35"/>
      <c r="AX864" s="35"/>
      <c r="AY864" s="35"/>
      <c r="AZ864" s="35"/>
      <c r="BA864" s="35"/>
      <c r="BB864" s="35"/>
      <c r="BC864" s="35"/>
      <c r="BD864" s="35"/>
      <c r="BE864" s="35"/>
      <c r="BF864" s="35"/>
      <c r="BG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c r="AV865" s="35"/>
      <c r="AW865" s="35"/>
      <c r="AX865" s="35"/>
      <c r="AY865" s="35"/>
      <c r="AZ865" s="35"/>
      <c r="BA865" s="35"/>
      <c r="BB865" s="35"/>
      <c r="BC865" s="35"/>
      <c r="BD865" s="35"/>
      <c r="BE865" s="35"/>
      <c r="BF865" s="35"/>
      <c r="BG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c r="AV866" s="35"/>
      <c r="AW866" s="35"/>
      <c r="AX866" s="35"/>
      <c r="AY866" s="35"/>
      <c r="AZ866" s="35"/>
      <c r="BA866" s="35"/>
      <c r="BB866" s="35"/>
      <c r="BC866" s="35"/>
      <c r="BD866" s="35"/>
      <c r="BE866" s="35"/>
      <c r="BF866" s="35"/>
      <c r="BG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c r="AV867" s="35"/>
      <c r="AW867" s="35"/>
      <c r="AX867" s="35"/>
      <c r="AY867" s="35"/>
      <c r="AZ867" s="35"/>
      <c r="BA867" s="35"/>
      <c r="BB867" s="35"/>
      <c r="BC867" s="35"/>
      <c r="BD867" s="35"/>
      <c r="BE867" s="35"/>
      <c r="BF867" s="35"/>
      <c r="BG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c r="AV868" s="35"/>
      <c r="AW868" s="35"/>
      <c r="AX868" s="35"/>
      <c r="AY868" s="35"/>
      <c r="AZ868" s="35"/>
      <c r="BA868" s="35"/>
      <c r="BB868" s="35"/>
      <c r="BC868" s="35"/>
      <c r="BD868" s="35"/>
      <c r="BE868" s="35"/>
      <c r="BF868" s="35"/>
      <c r="BG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c r="AV869" s="35"/>
      <c r="AW869" s="35"/>
      <c r="AX869" s="35"/>
      <c r="AY869" s="35"/>
      <c r="AZ869" s="35"/>
      <c r="BA869" s="35"/>
      <c r="BB869" s="35"/>
      <c r="BC869" s="35"/>
      <c r="BD869" s="35"/>
      <c r="BE869" s="35"/>
      <c r="BF869" s="35"/>
      <c r="BG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c r="AV870" s="35"/>
      <c r="AW870" s="35"/>
      <c r="AX870" s="35"/>
      <c r="AY870" s="35"/>
      <c r="AZ870" s="35"/>
      <c r="BA870" s="35"/>
      <c r="BB870" s="35"/>
      <c r="BC870" s="35"/>
      <c r="BD870" s="35"/>
      <c r="BE870" s="35"/>
      <c r="BF870" s="35"/>
      <c r="BG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c r="AV871" s="35"/>
      <c r="AW871" s="35"/>
      <c r="AX871" s="35"/>
      <c r="AY871" s="35"/>
      <c r="AZ871" s="35"/>
      <c r="BA871" s="35"/>
      <c r="BB871" s="35"/>
      <c r="BC871" s="35"/>
      <c r="BD871" s="35"/>
      <c r="BE871" s="35"/>
      <c r="BF871" s="35"/>
      <c r="BG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c r="AV872" s="35"/>
      <c r="AW872" s="35"/>
      <c r="AX872" s="35"/>
      <c r="AY872" s="35"/>
      <c r="AZ872" s="35"/>
      <c r="BA872" s="35"/>
      <c r="BB872" s="35"/>
      <c r="BC872" s="35"/>
      <c r="BD872" s="35"/>
      <c r="BE872" s="35"/>
      <c r="BF872" s="35"/>
      <c r="BG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c r="AV873" s="35"/>
      <c r="AW873" s="35"/>
      <c r="AX873" s="35"/>
      <c r="AY873" s="35"/>
      <c r="AZ873" s="35"/>
      <c r="BA873" s="35"/>
      <c r="BB873" s="35"/>
      <c r="BC873" s="35"/>
      <c r="BD873" s="35"/>
      <c r="BE873" s="35"/>
      <c r="BF873" s="35"/>
      <c r="BG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c r="AV874" s="35"/>
      <c r="AW874" s="35"/>
      <c r="AX874" s="35"/>
      <c r="AY874" s="35"/>
      <c r="AZ874" s="35"/>
      <c r="BA874" s="35"/>
      <c r="BB874" s="35"/>
      <c r="BC874" s="35"/>
      <c r="BD874" s="35"/>
      <c r="BE874" s="35"/>
      <c r="BF874" s="35"/>
      <c r="BG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c r="AV875" s="35"/>
      <c r="AW875" s="35"/>
      <c r="AX875" s="35"/>
      <c r="AY875" s="35"/>
      <c r="AZ875" s="35"/>
      <c r="BA875" s="35"/>
      <c r="BB875" s="35"/>
      <c r="BC875" s="35"/>
      <c r="BD875" s="35"/>
      <c r="BE875" s="35"/>
      <c r="BF875" s="35"/>
      <c r="BG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c r="AV876" s="35"/>
      <c r="AW876" s="35"/>
      <c r="AX876" s="35"/>
      <c r="AY876" s="35"/>
      <c r="AZ876" s="35"/>
      <c r="BA876" s="35"/>
      <c r="BB876" s="35"/>
      <c r="BC876" s="35"/>
      <c r="BD876" s="35"/>
      <c r="BE876" s="35"/>
      <c r="BF876" s="35"/>
      <c r="BG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c r="AV877" s="35"/>
      <c r="AW877" s="35"/>
      <c r="AX877" s="35"/>
      <c r="AY877" s="35"/>
      <c r="AZ877" s="35"/>
      <c r="BA877" s="35"/>
      <c r="BB877" s="35"/>
      <c r="BC877" s="35"/>
      <c r="BD877" s="35"/>
      <c r="BE877" s="35"/>
      <c r="BF877" s="35"/>
      <c r="BG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c r="AV878" s="35"/>
      <c r="AW878" s="35"/>
      <c r="AX878" s="35"/>
      <c r="AY878" s="35"/>
      <c r="AZ878" s="35"/>
      <c r="BA878" s="35"/>
      <c r="BB878" s="35"/>
      <c r="BC878" s="35"/>
      <c r="BD878" s="35"/>
      <c r="BE878" s="35"/>
      <c r="BF878" s="35"/>
      <c r="BG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c r="AV879" s="35"/>
      <c r="AW879" s="35"/>
      <c r="AX879" s="35"/>
      <c r="AY879" s="35"/>
      <c r="AZ879" s="35"/>
      <c r="BA879" s="35"/>
      <c r="BB879" s="35"/>
      <c r="BC879" s="35"/>
      <c r="BD879" s="35"/>
      <c r="BE879" s="35"/>
      <c r="BF879" s="35"/>
      <c r="BG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c r="AV880" s="35"/>
      <c r="AW880" s="35"/>
      <c r="AX880" s="35"/>
      <c r="AY880" s="35"/>
      <c r="AZ880" s="35"/>
      <c r="BA880" s="35"/>
      <c r="BB880" s="35"/>
      <c r="BC880" s="35"/>
      <c r="BD880" s="35"/>
      <c r="BE880" s="35"/>
      <c r="BF880" s="35"/>
      <c r="BG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c r="AV881" s="35"/>
      <c r="AW881" s="35"/>
      <c r="AX881" s="35"/>
      <c r="AY881" s="35"/>
      <c r="AZ881" s="35"/>
      <c r="BA881" s="35"/>
      <c r="BB881" s="35"/>
      <c r="BC881" s="35"/>
      <c r="BD881" s="35"/>
      <c r="BE881" s="35"/>
      <c r="BF881" s="35"/>
      <c r="BG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c r="AV882" s="35"/>
      <c r="AW882" s="35"/>
      <c r="AX882" s="35"/>
      <c r="AY882" s="35"/>
      <c r="AZ882" s="35"/>
      <c r="BA882" s="35"/>
      <c r="BB882" s="35"/>
      <c r="BC882" s="35"/>
      <c r="BD882" s="35"/>
      <c r="BE882" s="35"/>
      <c r="BF882" s="35"/>
      <c r="BG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c r="AV883" s="35"/>
      <c r="AW883" s="35"/>
      <c r="AX883" s="35"/>
      <c r="AY883" s="35"/>
      <c r="AZ883" s="35"/>
      <c r="BA883" s="35"/>
      <c r="BB883" s="35"/>
      <c r="BC883" s="35"/>
      <c r="BD883" s="35"/>
      <c r="BE883" s="35"/>
      <c r="BF883" s="35"/>
      <c r="BG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c r="AV884" s="35"/>
      <c r="AW884" s="35"/>
      <c r="AX884" s="35"/>
      <c r="AY884" s="35"/>
      <c r="AZ884" s="35"/>
      <c r="BA884" s="35"/>
      <c r="BB884" s="35"/>
      <c r="BC884" s="35"/>
      <c r="BD884" s="35"/>
      <c r="BE884" s="35"/>
      <c r="BF884" s="35"/>
      <c r="BG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c r="AV885" s="35"/>
      <c r="AW885" s="35"/>
      <c r="AX885" s="35"/>
      <c r="AY885" s="35"/>
      <c r="AZ885" s="35"/>
      <c r="BA885" s="35"/>
      <c r="BB885" s="35"/>
      <c r="BC885" s="35"/>
      <c r="BD885" s="35"/>
      <c r="BE885" s="35"/>
      <c r="BF885" s="35"/>
      <c r="BG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c r="AV886" s="35"/>
      <c r="AW886" s="35"/>
      <c r="AX886" s="35"/>
      <c r="AY886" s="35"/>
      <c r="AZ886" s="35"/>
      <c r="BA886" s="35"/>
      <c r="BB886" s="35"/>
      <c r="BC886" s="35"/>
      <c r="BD886" s="35"/>
      <c r="BE886" s="35"/>
      <c r="BF886" s="35"/>
      <c r="BG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c r="AV887" s="35"/>
      <c r="AW887" s="35"/>
      <c r="AX887" s="35"/>
      <c r="AY887" s="35"/>
      <c r="AZ887" s="35"/>
      <c r="BA887" s="35"/>
      <c r="BB887" s="35"/>
      <c r="BC887" s="35"/>
      <c r="BD887" s="35"/>
      <c r="BE887" s="35"/>
      <c r="BF887" s="35"/>
      <c r="BG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c r="AV888" s="35"/>
      <c r="AW888" s="35"/>
      <c r="AX888" s="35"/>
      <c r="AY888" s="35"/>
      <c r="AZ888" s="35"/>
      <c r="BA888" s="35"/>
      <c r="BB888" s="35"/>
      <c r="BC888" s="35"/>
      <c r="BD888" s="35"/>
      <c r="BE888" s="35"/>
      <c r="BF888" s="35"/>
      <c r="BG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c r="AV889" s="35"/>
      <c r="AW889" s="35"/>
      <c r="AX889" s="35"/>
      <c r="AY889" s="35"/>
      <c r="AZ889" s="35"/>
      <c r="BA889" s="35"/>
      <c r="BB889" s="35"/>
      <c r="BC889" s="35"/>
      <c r="BD889" s="35"/>
      <c r="BE889" s="35"/>
      <c r="BF889" s="35"/>
      <c r="BG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c r="AV890" s="35"/>
      <c r="AW890" s="35"/>
      <c r="AX890" s="35"/>
      <c r="AY890" s="35"/>
      <c r="AZ890" s="35"/>
      <c r="BA890" s="35"/>
      <c r="BB890" s="35"/>
      <c r="BC890" s="35"/>
      <c r="BD890" s="35"/>
      <c r="BE890" s="35"/>
      <c r="BF890" s="35"/>
      <c r="BG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c r="AV891" s="35"/>
      <c r="AW891" s="35"/>
      <c r="AX891" s="35"/>
      <c r="AY891" s="35"/>
      <c r="AZ891" s="35"/>
      <c r="BA891" s="35"/>
      <c r="BB891" s="35"/>
      <c r="BC891" s="35"/>
      <c r="BD891" s="35"/>
      <c r="BE891" s="35"/>
      <c r="BF891" s="35"/>
      <c r="BG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c r="AV892" s="35"/>
      <c r="AW892" s="35"/>
      <c r="AX892" s="35"/>
      <c r="AY892" s="35"/>
      <c r="AZ892" s="35"/>
      <c r="BA892" s="35"/>
      <c r="BB892" s="35"/>
      <c r="BC892" s="35"/>
      <c r="BD892" s="35"/>
      <c r="BE892" s="35"/>
      <c r="BF892" s="35"/>
      <c r="BG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c r="AV893" s="35"/>
      <c r="AW893" s="35"/>
      <c r="AX893" s="35"/>
      <c r="AY893" s="35"/>
      <c r="AZ893" s="35"/>
      <c r="BA893" s="35"/>
      <c r="BB893" s="35"/>
      <c r="BC893" s="35"/>
      <c r="BD893" s="35"/>
      <c r="BE893" s="35"/>
      <c r="BF893" s="35"/>
      <c r="BG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c r="AV894" s="35"/>
      <c r="AW894" s="35"/>
      <c r="AX894" s="35"/>
      <c r="AY894" s="35"/>
      <c r="AZ894" s="35"/>
      <c r="BA894" s="35"/>
      <c r="BB894" s="35"/>
      <c r="BC894" s="35"/>
      <c r="BD894" s="35"/>
      <c r="BE894" s="35"/>
      <c r="BF894" s="35"/>
      <c r="BG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c r="AV895" s="35"/>
      <c r="AW895" s="35"/>
      <c r="AX895" s="35"/>
      <c r="AY895" s="35"/>
      <c r="AZ895" s="35"/>
      <c r="BA895" s="35"/>
      <c r="BB895" s="35"/>
      <c r="BC895" s="35"/>
      <c r="BD895" s="35"/>
      <c r="BE895" s="35"/>
      <c r="BF895" s="35"/>
      <c r="BG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c r="AV896" s="35"/>
      <c r="AW896" s="35"/>
      <c r="AX896" s="35"/>
      <c r="AY896" s="35"/>
      <c r="AZ896" s="35"/>
      <c r="BA896" s="35"/>
      <c r="BB896" s="35"/>
      <c r="BC896" s="35"/>
      <c r="BD896" s="35"/>
      <c r="BE896" s="35"/>
      <c r="BF896" s="35"/>
      <c r="BG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c r="AV897" s="35"/>
      <c r="AW897" s="35"/>
      <c r="AX897" s="35"/>
      <c r="AY897" s="35"/>
      <c r="AZ897" s="35"/>
      <c r="BA897" s="35"/>
      <c r="BB897" s="35"/>
      <c r="BC897" s="35"/>
      <c r="BD897" s="35"/>
      <c r="BE897" s="35"/>
      <c r="BF897" s="35"/>
      <c r="BG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c r="AV898" s="35"/>
      <c r="AW898" s="35"/>
      <c r="AX898" s="35"/>
      <c r="AY898" s="35"/>
      <c r="AZ898" s="35"/>
      <c r="BA898" s="35"/>
      <c r="BB898" s="35"/>
      <c r="BC898" s="35"/>
      <c r="BD898" s="35"/>
      <c r="BE898" s="35"/>
      <c r="BF898" s="35"/>
      <c r="BG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c r="AV899" s="35"/>
      <c r="AW899" s="35"/>
      <c r="AX899" s="35"/>
      <c r="AY899" s="35"/>
      <c r="AZ899" s="35"/>
      <c r="BA899" s="35"/>
      <c r="BB899" s="35"/>
      <c r="BC899" s="35"/>
      <c r="BD899" s="35"/>
      <c r="BE899" s="35"/>
      <c r="BF899" s="35"/>
      <c r="BG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c r="AV900" s="35"/>
      <c r="AW900" s="35"/>
      <c r="AX900" s="35"/>
      <c r="AY900" s="35"/>
      <c r="AZ900" s="35"/>
      <c r="BA900" s="35"/>
      <c r="BB900" s="35"/>
      <c r="BC900" s="35"/>
      <c r="BD900" s="35"/>
      <c r="BE900" s="35"/>
      <c r="BF900" s="35"/>
      <c r="BG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c r="AV901" s="35"/>
      <c r="AW901" s="35"/>
      <c r="AX901" s="35"/>
      <c r="AY901" s="35"/>
      <c r="AZ901" s="35"/>
      <c r="BA901" s="35"/>
      <c r="BB901" s="35"/>
      <c r="BC901" s="35"/>
      <c r="BD901" s="35"/>
      <c r="BE901" s="35"/>
      <c r="BF901" s="35"/>
      <c r="BG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c r="AV902" s="35"/>
      <c r="AW902" s="35"/>
      <c r="AX902" s="35"/>
      <c r="AY902" s="35"/>
      <c r="AZ902" s="35"/>
      <c r="BA902" s="35"/>
      <c r="BB902" s="35"/>
      <c r="BC902" s="35"/>
      <c r="BD902" s="35"/>
      <c r="BE902" s="35"/>
      <c r="BF902" s="35"/>
      <c r="BG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c r="AV903" s="35"/>
      <c r="AW903" s="35"/>
      <c r="AX903" s="35"/>
      <c r="AY903" s="35"/>
      <c r="AZ903" s="35"/>
      <c r="BA903" s="35"/>
      <c r="BB903" s="35"/>
      <c r="BC903" s="35"/>
      <c r="BD903" s="35"/>
      <c r="BE903" s="35"/>
      <c r="BF903" s="35"/>
      <c r="BG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c r="AV904" s="35"/>
      <c r="AW904" s="35"/>
      <c r="AX904" s="35"/>
      <c r="AY904" s="35"/>
      <c r="AZ904" s="35"/>
      <c r="BA904" s="35"/>
      <c r="BB904" s="35"/>
      <c r="BC904" s="35"/>
      <c r="BD904" s="35"/>
      <c r="BE904" s="35"/>
      <c r="BF904" s="35"/>
      <c r="BG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c r="AV905" s="35"/>
      <c r="AW905" s="35"/>
      <c r="AX905" s="35"/>
      <c r="AY905" s="35"/>
      <c r="AZ905" s="35"/>
      <c r="BA905" s="35"/>
      <c r="BB905" s="35"/>
      <c r="BC905" s="35"/>
      <c r="BD905" s="35"/>
      <c r="BE905" s="35"/>
      <c r="BF905" s="35"/>
      <c r="BG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c r="AV906" s="35"/>
      <c r="AW906" s="35"/>
      <c r="AX906" s="35"/>
      <c r="AY906" s="35"/>
      <c r="AZ906" s="35"/>
      <c r="BA906" s="35"/>
      <c r="BB906" s="35"/>
      <c r="BC906" s="35"/>
      <c r="BD906" s="35"/>
      <c r="BE906" s="35"/>
      <c r="BF906" s="35"/>
      <c r="BG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c r="AV907" s="35"/>
      <c r="AW907" s="35"/>
      <c r="AX907" s="35"/>
      <c r="AY907" s="35"/>
      <c r="AZ907" s="35"/>
      <c r="BA907" s="35"/>
      <c r="BB907" s="35"/>
      <c r="BC907" s="35"/>
      <c r="BD907" s="35"/>
      <c r="BE907" s="35"/>
      <c r="BF907" s="35"/>
      <c r="BG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c r="AV908" s="35"/>
      <c r="AW908" s="35"/>
      <c r="AX908" s="35"/>
      <c r="AY908" s="35"/>
      <c r="AZ908" s="35"/>
      <c r="BA908" s="35"/>
      <c r="BB908" s="35"/>
      <c r="BC908" s="35"/>
      <c r="BD908" s="35"/>
      <c r="BE908" s="35"/>
      <c r="BF908" s="35"/>
      <c r="BG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c r="AV909" s="35"/>
      <c r="AW909" s="35"/>
      <c r="AX909" s="35"/>
      <c r="AY909" s="35"/>
      <c r="AZ909" s="35"/>
      <c r="BA909" s="35"/>
      <c r="BB909" s="35"/>
      <c r="BC909" s="35"/>
      <c r="BD909" s="35"/>
      <c r="BE909" s="35"/>
      <c r="BF909" s="35"/>
      <c r="BG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c r="AV910" s="35"/>
      <c r="AW910" s="35"/>
      <c r="AX910" s="35"/>
      <c r="AY910" s="35"/>
      <c r="AZ910" s="35"/>
      <c r="BA910" s="35"/>
      <c r="BB910" s="35"/>
      <c r="BC910" s="35"/>
      <c r="BD910" s="35"/>
      <c r="BE910" s="35"/>
      <c r="BF910" s="35"/>
      <c r="BG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c r="AV911" s="35"/>
      <c r="AW911" s="35"/>
      <c r="AX911" s="35"/>
      <c r="AY911" s="35"/>
      <c r="AZ911" s="35"/>
      <c r="BA911" s="35"/>
      <c r="BB911" s="35"/>
      <c r="BC911" s="35"/>
      <c r="BD911" s="35"/>
      <c r="BE911" s="35"/>
      <c r="BF911" s="35"/>
      <c r="BG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c r="AV912" s="35"/>
      <c r="AW912" s="35"/>
      <c r="AX912" s="35"/>
      <c r="AY912" s="35"/>
      <c r="AZ912" s="35"/>
      <c r="BA912" s="35"/>
      <c r="BB912" s="35"/>
      <c r="BC912" s="35"/>
      <c r="BD912" s="35"/>
      <c r="BE912" s="35"/>
      <c r="BF912" s="35"/>
      <c r="BG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c r="AV913" s="35"/>
      <c r="AW913" s="35"/>
      <c r="AX913" s="35"/>
      <c r="AY913" s="35"/>
      <c r="AZ913" s="35"/>
      <c r="BA913" s="35"/>
      <c r="BB913" s="35"/>
      <c r="BC913" s="35"/>
      <c r="BD913" s="35"/>
      <c r="BE913" s="35"/>
      <c r="BF913" s="35"/>
      <c r="BG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c r="AV914" s="35"/>
      <c r="AW914" s="35"/>
      <c r="AX914" s="35"/>
      <c r="AY914" s="35"/>
      <c r="AZ914" s="35"/>
      <c r="BA914" s="35"/>
      <c r="BB914" s="35"/>
      <c r="BC914" s="35"/>
      <c r="BD914" s="35"/>
      <c r="BE914" s="35"/>
      <c r="BF914" s="35"/>
      <c r="BG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c r="AV915" s="35"/>
      <c r="AW915" s="35"/>
      <c r="AX915" s="35"/>
      <c r="AY915" s="35"/>
      <c r="AZ915" s="35"/>
      <c r="BA915" s="35"/>
      <c r="BB915" s="35"/>
      <c r="BC915" s="35"/>
      <c r="BD915" s="35"/>
      <c r="BE915" s="35"/>
      <c r="BF915" s="35"/>
      <c r="BG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c r="AV916" s="35"/>
      <c r="AW916" s="35"/>
      <c r="AX916" s="35"/>
      <c r="AY916" s="35"/>
      <c r="AZ916" s="35"/>
      <c r="BA916" s="35"/>
      <c r="BB916" s="35"/>
      <c r="BC916" s="35"/>
      <c r="BD916" s="35"/>
      <c r="BE916" s="35"/>
      <c r="BF916" s="35"/>
      <c r="BG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c r="AV917" s="35"/>
      <c r="AW917" s="35"/>
      <c r="AX917" s="35"/>
      <c r="AY917" s="35"/>
      <c r="AZ917" s="35"/>
      <c r="BA917" s="35"/>
      <c r="BB917" s="35"/>
      <c r="BC917" s="35"/>
      <c r="BD917" s="35"/>
      <c r="BE917" s="35"/>
      <c r="BF917" s="35"/>
      <c r="BG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c r="AV918" s="35"/>
      <c r="AW918" s="35"/>
      <c r="AX918" s="35"/>
      <c r="AY918" s="35"/>
      <c r="AZ918" s="35"/>
      <c r="BA918" s="35"/>
      <c r="BB918" s="35"/>
      <c r="BC918" s="35"/>
      <c r="BD918" s="35"/>
      <c r="BE918" s="35"/>
      <c r="BF918" s="35"/>
      <c r="BG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c r="AV919" s="35"/>
      <c r="AW919" s="35"/>
      <c r="AX919" s="35"/>
      <c r="AY919" s="35"/>
      <c r="AZ919" s="35"/>
      <c r="BA919" s="35"/>
      <c r="BB919" s="35"/>
      <c r="BC919" s="35"/>
      <c r="BD919" s="35"/>
      <c r="BE919" s="35"/>
      <c r="BF919" s="35"/>
      <c r="BG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c r="AV920" s="35"/>
      <c r="AW920" s="35"/>
      <c r="AX920" s="35"/>
      <c r="AY920" s="35"/>
      <c r="AZ920" s="35"/>
      <c r="BA920" s="35"/>
      <c r="BB920" s="35"/>
      <c r="BC920" s="35"/>
      <c r="BD920" s="35"/>
      <c r="BE920" s="35"/>
      <c r="BF920" s="35"/>
      <c r="BG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c r="AV921" s="35"/>
      <c r="AW921" s="35"/>
      <c r="AX921" s="35"/>
      <c r="AY921" s="35"/>
      <c r="AZ921" s="35"/>
      <c r="BA921" s="35"/>
      <c r="BB921" s="35"/>
      <c r="BC921" s="35"/>
      <c r="BD921" s="35"/>
      <c r="BE921" s="35"/>
      <c r="BF921" s="35"/>
      <c r="BG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c r="AV922" s="35"/>
      <c r="AW922" s="35"/>
      <c r="AX922" s="35"/>
      <c r="AY922" s="35"/>
      <c r="AZ922" s="35"/>
      <c r="BA922" s="35"/>
      <c r="BB922" s="35"/>
      <c r="BC922" s="35"/>
      <c r="BD922" s="35"/>
      <c r="BE922" s="35"/>
      <c r="BF922" s="35"/>
      <c r="BG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c r="AV923" s="35"/>
      <c r="AW923" s="35"/>
      <c r="AX923" s="35"/>
      <c r="AY923" s="35"/>
      <c r="AZ923" s="35"/>
      <c r="BA923" s="35"/>
      <c r="BB923" s="35"/>
      <c r="BC923" s="35"/>
      <c r="BD923" s="35"/>
      <c r="BE923" s="35"/>
      <c r="BF923" s="35"/>
      <c r="BG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c r="AV924" s="35"/>
      <c r="AW924" s="35"/>
      <c r="AX924" s="35"/>
      <c r="AY924" s="35"/>
      <c r="AZ924" s="35"/>
      <c r="BA924" s="35"/>
      <c r="BB924" s="35"/>
      <c r="BC924" s="35"/>
      <c r="BD924" s="35"/>
      <c r="BE924" s="35"/>
      <c r="BF924" s="35"/>
      <c r="BG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c r="AV925" s="35"/>
      <c r="AW925" s="35"/>
      <c r="AX925" s="35"/>
      <c r="AY925" s="35"/>
      <c r="AZ925" s="35"/>
      <c r="BA925" s="35"/>
      <c r="BB925" s="35"/>
      <c r="BC925" s="35"/>
      <c r="BD925" s="35"/>
      <c r="BE925" s="35"/>
      <c r="BF925" s="35"/>
      <c r="BG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c r="AV926" s="35"/>
      <c r="AW926" s="35"/>
      <c r="AX926" s="35"/>
      <c r="AY926" s="35"/>
      <c r="AZ926" s="35"/>
      <c r="BA926" s="35"/>
      <c r="BB926" s="35"/>
      <c r="BC926" s="35"/>
      <c r="BD926" s="35"/>
      <c r="BE926" s="35"/>
      <c r="BF926" s="35"/>
      <c r="BG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c r="AV927" s="35"/>
      <c r="AW927" s="35"/>
      <c r="AX927" s="35"/>
      <c r="AY927" s="35"/>
      <c r="AZ927" s="35"/>
      <c r="BA927" s="35"/>
      <c r="BB927" s="35"/>
      <c r="BC927" s="35"/>
      <c r="BD927" s="35"/>
      <c r="BE927" s="35"/>
      <c r="BF927" s="35"/>
      <c r="BG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c r="AV928" s="35"/>
      <c r="AW928" s="35"/>
      <c r="AX928" s="35"/>
      <c r="AY928" s="35"/>
      <c r="AZ928" s="35"/>
      <c r="BA928" s="35"/>
      <c r="BB928" s="35"/>
      <c r="BC928" s="35"/>
      <c r="BD928" s="35"/>
      <c r="BE928" s="35"/>
      <c r="BF928" s="35"/>
      <c r="BG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c r="AV929" s="35"/>
      <c r="AW929" s="35"/>
      <c r="AX929" s="35"/>
      <c r="AY929" s="35"/>
      <c r="AZ929" s="35"/>
      <c r="BA929" s="35"/>
      <c r="BB929" s="35"/>
      <c r="BC929" s="35"/>
      <c r="BD929" s="35"/>
      <c r="BE929" s="35"/>
      <c r="BF929" s="35"/>
      <c r="BG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c r="AV930" s="35"/>
      <c r="AW930" s="35"/>
      <c r="AX930" s="35"/>
      <c r="AY930" s="35"/>
      <c r="AZ930" s="35"/>
      <c r="BA930" s="35"/>
      <c r="BB930" s="35"/>
      <c r="BC930" s="35"/>
      <c r="BD930" s="35"/>
      <c r="BE930" s="35"/>
      <c r="BF930" s="35"/>
      <c r="BG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c r="AV931" s="35"/>
      <c r="AW931" s="35"/>
      <c r="AX931" s="35"/>
      <c r="AY931" s="35"/>
      <c r="AZ931" s="35"/>
      <c r="BA931" s="35"/>
      <c r="BB931" s="35"/>
      <c r="BC931" s="35"/>
      <c r="BD931" s="35"/>
      <c r="BE931" s="35"/>
      <c r="BF931" s="35"/>
      <c r="BG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c r="AV932" s="35"/>
      <c r="AW932" s="35"/>
      <c r="AX932" s="35"/>
      <c r="AY932" s="35"/>
      <c r="AZ932" s="35"/>
      <c r="BA932" s="35"/>
      <c r="BB932" s="35"/>
      <c r="BC932" s="35"/>
      <c r="BD932" s="35"/>
      <c r="BE932" s="35"/>
      <c r="BF932" s="35"/>
      <c r="BG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c r="AV933" s="35"/>
      <c r="AW933" s="35"/>
      <c r="AX933" s="35"/>
      <c r="AY933" s="35"/>
      <c r="AZ933" s="35"/>
      <c r="BA933" s="35"/>
      <c r="BB933" s="35"/>
      <c r="BC933" s="35"/>
      <c r="BD933" s="35"/>
      <c r="BE933" s="35"/>
      <c r="BF933" s="35"/>
      <c r="BG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c r="AV934" s="35"/>
      <c r="AW934" s="35"/>
      <c r="AX934" s="35"/>
      <c r="AY934" s="35"/>
      <c r="AZ934" s="35"/>
      <c r="BA934" s="35"/>
      <c r="BB934" s="35"/>
      <c r="BC934" s="35"/>
      <c r="BD934" s="35"/>
      <c r="BE934" s="35"/>
      <c r="BF934" s="35"/>
      <c r="BG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c r="AV935" s="35"/>
      <c r="AW935" s="35"/>
      <c r="AX935" s="35"/>
      <c r="AY935" s="35"/>
      <c r="AZ935" s="35"/>
      <c r="BA935" s="35"/>
      <c r="BB935" s="35"/>
      <c r="BC935" s="35"/>
      <c r="BD935" s="35"/>
      <c r="BE935" s="35"/>
      <c r="BF935" s="35"/>
      <c r="BG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c r="AV936" s="35"/>
      <c r="AW936" s="35"/>
      <c r="AX936" s="35"/>
      <c r="AY936" s="35"/>
      <c r="AZ936" s="35"/>
      <c r="BA936" s="35"/>
      <c r="BB936" s="35"/>
      <c r="BC936" s="35"/>
      <c r="BD936" s="35"/>
      <c r="BE936" s="35"/>
      <c r="BF936" s="35"/>
      <c r="BG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c r="AV937" s="35"/>
      <c r="AW937" s="35"/>
      <c r="AX937" s="35"/>
      <c r="AY937" s="35"/>
      <c r="AZ937" s="35"/>
      <c r="BA937" s="35"/>
      <c r="BB937" s="35"/>
      <c r="BC937" s="35"/>
      <c r="BD937" s="35"/>
      <c r="BE937" s="35"/>
      <c r="BF937" s="35"/>
      <c r="BG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c r="AV938" s="35"/>
      <c r="AW938" s="35"/>
      <c r="AX938" s="35"/>
      <c r="AY938" s="35"/>
      <c r="AZ938" s="35"/>
      <c r="BA938" s="35"/>
      <c r="BB938" s="35"/>
      <c r="BC938" s="35"/>
      <c r="BD938" s="35"/>
      <c r="BE938" s="35"/>
      <c r="BF938" s="35"/>
      <c r="BG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c r="AV939" s="35"/>
      <c r="AW939" s="35"/>
      <c r="AX939" s="35"/>
      <c r="AY939" s="35"/>
      <c r="AZ939" s="35"/>
      <c r="BA939" s="35"/>
      <c r="BB939" s="35"/>
      <c r="BC939" s="35"/>
      <c r="BD939" s="35"/>
      <c r="BE939" s="35"/>
      <c r="BF939" s="35"/>
      <c r="BG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c r="AV940" s="35"/>
      <c r="AW940" s="35"/>
      <c r="AX940" s="35"/>
      <c r="AY940" s="35"/>
      <c r="AZ940" s="35"/>
      <c r="BA940" s="35"/>
      <c r="BB940" s="35"/>
      <c r="BC940" s="35"/>
      <c r="BD940" s="35"/>
      <c r="BE940" s="35"/>
      <c r="BF940" s="35"/>
      <c r="BG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c r="AV941" s="35"/>
      <c r="AW941" s="35"/>
      <c r="AX941" s="35"/>
      <c r="AY941" s="35"/>
      <c r="AZ941" s="35"/>
      <c r="BA941" s="35"/>
      <c r="BB941" s="35"/>
      <c r="BC941" s="35"/>
      <c r="BD941" s="35"/>
      <c r="BE941" s="35"/>
      <c r="BF941" s="35"/>
      <c r="BG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c r="AV942" s="35"/>
      <c r="AW942" s="35"/>
      <c r="AX942" s="35"/>
      <c r="AY942" s="35"/>
      <c r="AZ942" s="35"/>
      <c r="BA942" s="35"/>
      <c r="BB942" s="35"/>
      <c r="BC942" s="35"/>
      <c r="BD942" s="35"/>
      <c r="BE942" s="35"/>
      <c r="BF942" s="35"/>
      <c r="BG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c r="AV943" s="35"/>
      <c r="AW943" s="35"/>
      <c r="AX943" s="35"/>
      <c r="AY943" s="35"/>
      <c r="AZ943" s="35"/>
      <c r="BA943" s="35"/>
      <c r="BB943" s="35"/>
      <c r="BC943" s="35"/>
      <c r="BD943" s="35"/>
      <c r="BE943" s="35"/>
      <c r="BF943" s="35"/>
      <c r="BG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c r="AV944" s="35"/>
      <c r="AW944" s="35"/>
      <c r="AX944" s="35"/>
      <c r="AY944" s="35"/>
      <c r="AZ944" s="35"/>
      <c r="BA944" s="35"/>
      <c r="BB944" s="35"/>
      <c r="BC944" s="35"/>
      <c r="BD944" s="35"/>
      <c r="BE944" s="35"/>
      <c r="BF944" s="35"/>
      <c r="BG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c r="AV945" s="35"/>
      <c r="AW945" s="35"/>
      <c r="AX945" s="35"/>
      <c r="AY945" s="35"/>
      <c r="AZ945" s="35"/>
      <c r="BA945" s="35"/>
      <c r="BB945" s="35"/>
      <c r="BC945" s="35"/>
      <c r="BD945" s="35"/>
      <c r="BE945" s="35"/>
      <c r="BF945" s="35"/>
      <c r="BG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c r="AV946" s="35"/>
      <c r="AW946" s="35"/>
      <c r="AX946" s="35"/>
      <c r="AY946" s="35"/>
      <c r="AZ946" s="35"/>
      <c r="BA946" s="35"/>
      <c r="BB946" s="35"/>
      <c r="BC946" s="35"/>
      <c r="BD946" s="35"/>
      <c r="BE946" s="35"/>
      <c r="BF946" s="35"/>
      <c r="BG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c r="AV947" s="35"/>
      <c r="AW947" s="35"/>
      <c r="AX947" s="35"/>
      <c r="AY947" s="35"/>
      <c r="AZ947" s="35"/>
      <c r="BA947" s="35"/>
      <c r="BB947" s="35"/>
      <c r="BC947" s="35"/>
      <c r="BD947" s="35"/>
      <c r="BE947" s="35"/>
      <c r="BF947" s="35"/>
      <c r="BG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c r="AV948" s="35"/>
      <c r="AW948" s="35"/>
      <c r="AX948" s="35"/>
      <c r="AY948" s="35"/>
      <c r="AZ948" s="35"/>
      <c r="BA948" s="35"/>
      <c r="BB948" s="35"/>
      <c r="BC948" s="35"/>
      <c r="BD948" s="35"/>
      <c r="BE948" s="35"/>
      <c r="BF948" s="35"/>
      <c r="BG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c r="AV949" s="35"/>
      <c r="AW949" s="35"/>
      <c r="AX949" s="35"/>
      <c r="AY949" s="35"/>
      <c r="AZ949" s="35"/>
      <c r="BA949" s="35"/>
      <c r="BB949" s="35"/>
      <c r="BC949" s="35"/>
      <c r="BD949" s="35"/>
      <c r="BE949" s="35"/>
      <c r="BF949" s="35"/>
      <c r="BG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c r="AV950" s="35"/>
      <c r="AW950" s="35"/>
      <c r="AX950" s="35"/>
      <c r="AY950" s="35"/>
      <c r="AZ950" s="35"/>
      <c r="BA950" s="35"/>
      <c r="BB950" s="35"/>
      <c r="BC950" s="35"/>
      <c r="BD950" s="35"/>
      <c r="BE950" s="35"/>
      <c r="BF950" s="35"/>
      <c r="BG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c r="AV951" s="35"/>
      <c r="AW951" s="35"/>
      <c r="AX951" s="35"/>
      <c r="AY951" s="35"/>
      <c r="AZ951" s="35"/>
      <c r="BA951" s="35"/>
      <c r="BB951" s="35"/>
      <c r="BC951" s="35"/>
      <c r="BD951" s="35"/>
      <c r="BE951" s="35"/>
      <c r="BF951" s="35"/>
      <c r="BG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c r="AV952" s="35"/>
      <c r="AW952" s="35"/>
      <c r="AX952" s="35"/>
      <c r="AY952" s="35"/>
      <c r="AZ952" s="35"/>
      <c r="BA952" s="35"/>
      <c r="BB952" s="35"/>
      <c r="BC952" s="35"/>
      <c r="BD952" s="35"/>
      <c r="BE952" s="35"/>
      <c r="BF952" s="35"/>
      <c r="BG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c r="AV953" s="35"/>
      <c r="AW953" s="35"/>
      <c r="AX953" s="35"/>
      <c r="AY953" s="35"/>
      <c r="AZ953" s="35"/>
      <c r="BA953" s="35"/>
      <c r="BB953" s="35"/>
      <c r="BC953" s="35"/>
      <c r="BD953" s="35"/>
      <c r="BE953" s="35"/>
      <c r="BF953" s="35"/>
      <c r="BG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c r="AV954" s="35"/>
      <c r="AW954" s="35"/>
      <c r="AX954" s="35"/>
      <c r="AY954" s="35"/>
      <c r="AZ954" s="35"/>
      <c r="BA954" s="35"/>
      <c r="BB954" s="35"/>
      <c r="BC954" s="35"/>
      <c r="BD954" s="35"/>
      <c r="BE954" s="35"/>
      <c r="BF954" s="35"/>
      <c r="BG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c r="AV955" s="35"/>
      <c r="AW955" s="35"/>
      <c r="AX955" s="35"/>
      <c r="AY955" s="35"/>
      <c r="AZ955" s="35"/>
      <c r="BA955" s="35"/>
      <c r="BB955" s="35"/>
      <c r="BC955" s="35"/>
      <c r="BD955" s="35"/>
      <c r="BE955" s="35"/>
      <c r="BF955" s="35"/>
      <c r="BG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c r="AV956" s="35"/>
      <c r="AW956" s="35"/>
      <c r="AX956" s="35"/>
      <c r="AY956" s="35"/>
      <c r="AZ956" s="35"/>
      <c r="BA956" s="35"/>
      <c r="BB956" s="35"/>
      <c r="BC956" s="35"/>
      <c r="BD956" s="35"/>
      <c r="BE956" s="35"/>
      <c r="BF956" s="35"/>
      <c r="BG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c r="AV957" s="35"/>
      <c r="AW957" s="35"/>
      <c r="AX957" s="35"/>
      <c r="AY957" s="35"/>
      <c r="AZ957" s="35"/>
      <c r="BA957" s="35"/>
      <c r="BB957" s="35"/>
      <c r="BC957" s="35"/>
      <c r="BD957" s="35"/>
      <c r="BE957" s="35"/>
      <c r="BF957" s="35"/>
      <c r="BG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c r="AV958" s="35"/>
      <c r="AW958" s="35"/>
      <c r="AX958" s="35"/>
      <c r="AY958" s="35"/>
      <c r="AZ958" s="35"/>
      <c r="BA958" s="35"/>
      <c r="BB958" s="35"/>
      <c r="BC958" s="35"/>
      <c r="BD958" s="35"/>
      <c r="BE958" s="35"/>
      <c r="BF958" s="35"/>
      <c r="BG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c r="AV959" s="35"/>
      <c r="AW959" s="35"/>
      <c r="AX959" s="35"/>
      <c r="AY959" s="35"/>
      <c r="AZ959" s="35"/>
      <c r="BA959" s="35"/>
      <c r="BB959" s="35"/>
      <c r="BC959" s="35"/>
      <c r="BD959" s="35"/>
      <c r="BE959" s="35"/>
      <c r="BF959" s="35"/>
      <c r="BG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c r="AV960" s="35"/>
      <c r="AW960" s="35"/>
      <c r="AX960" s="35"/>
      <c r="AY960" s="35"/>
      <c r="AZ960" s="35"/>
      <c r="BA960" s="35"/>
      <c r="BB960" s="35"/>
      <c r="BC960" s="35"/>
      <c r="BD960" s="35"/>
      <c r="BE960" s="35"/>
      <c r="BF960" s="35"/>
      <c r="BG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c r="AV961" s="35"/>
      <c r="AW961" s="35"/>
      <c r="AX961" s="35"/>
      <c r="AY961" s="35"/>
      <c r="AZ961" s="35"/>
      <c r="BA961" s="35"/>
      <c r="BB961" s="35"/>
      <c r="BC961" s="35"/>
      <c r="BD961" s="35"/>
      <c r="BE961" s="35"/>
      <c r="BF961" s="35"/>
      <c r="BG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c r="AV962" s="35"/>
      <c r="AW962" s="35"/>
      <c r="AX962" s="35"/>
      <c r="AY962" s="35"/>
      <c r="AZ962" s="35"/>
      <c r="BA962" s="35"/>
      <c r="BB962" s="35"/>
      <c r="BC962" s="35"/>
      <c r="BD962" s="35"/>
      <c r="BE962" s="35"/>
      <c r="BF962" s="35"/>
      <c r="BG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c r="AV963" s="35"/>
      <c r="AW963" s="35"/>
      <c r="AX963" s="35"/>
      <c r="AY963" s="35"/>
      <c r="AZ963" s="35"/>
      <c r="BA963" s="35"/>
      <c r="BB963" s="35"/>
      <c r="BC963" s="35"/>
      <c r="BD963" s="35"/>
      <c r="BE963" s="35"/>
      <c r="BF963" s="35"/>
      <c r="BG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c r="AV964" s="35"/>
      <c r="AW964" s="35"/>
      <c r="AX964" s="35"/>
      <c r="AY964" s="35"/>
      <c r="AZ964" s="35"/>
      <c r="BA964" s="35"/>
      <c r="BB964" s="35"/>
      <c r="BC964" s="35"/>
      <c r="BD964" s="35"/>
      <c r="BE964" s="35"/>
      <c r="BF964" s="35"/>
      <c r="BG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c r="AV965" s="35"/>
      <c r="AW965" s="35"/>
      <c r="AX965" s="35"/>
      <c r="AY965" s="35"/>
      <c r="AZ965" s="35"/>
      <c r="BA965" s="35"/>
      <c r="BB965" s="35"/>
      <c r="BC965" s="35"/>
      <c r="BD965" s="35"/>
      <c r="BE965" s="35"/>
      <c r="BF965" s="35"/>
      <c r="BG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c r="AV966" s="35"/>
      <c r="AW966" s="35"/>
      <c r="AX966" s="35"/>
      <c r="AY966" s="35"/>
      <c r="AZ966" s="35"/>
      <c r="BA966" s="35"/>
      <c r="BB966" s="35"/>
      <c r="BC966" s="35"/>
      <c r="BD966" s="35"/>
      <c r="BE966" s="35"/>
      <c r="BF966" s="35"/>
      <c r="BG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c r="AV967" s="35"/>
      <c r="AW967" s="35"/>
      <c r="AX967" s="35"/>
      <c r="AY967" s="35"/>
      <c r="AZ967" s="35"/>
      <c r="BA967" s="35"/>
      <c r="BB967" s="35"/>
      <c r="BC967" s="35"/>
      <c r="BD967" s="35"/>
      <c r="BE967" s="35"/>
      <c r="BF967" s="35"/>
      <c r="BG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c r="AV968" s="35"/>
      <c r="AW968" s="35"/>
      <c r="AX968" s="35"/>
      <c r="AY968" s="35"/>
      <c r="AZ968" s="35"/>
      <c r="BA968" s="35"/>
      <c r="BB968" s="35"/>
      <c r="BC968" s="35"/>
      <c r="BD968" s="35"/>
      <c r="BE968" s="35"/>
      <c r="BF968" s="35"/>
      <c r="BG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c r="AV969" s="35"/>
      <c r="AW969" s="35"/>
      <c r="AX969" s="35"/>
      <c r="AY969" s="35"/>
      <c r="AZ969" s="35"/>
      <c r="BA969" s="35"/>
      <c r="BB969" s="35"/>
      <c r="BC969" s="35"/>
      <c r="BD969" s="35"/>
      <c r="BE969" s="35"/>
      <c r="BF969" s="35"/>
      <c r="BG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c r="AV970" s="35"/>
      <c r="AW970" s="35"/>
      <c r="AX970" s="35"/>
      <c r="AY970" s="35"/>
      <c r="AZ970" s="35"/>
      <c r="BA970" s="35"/>
      <c r="BB970" s="35"/>
      <c r="BC970" s="35"/>
      <c r="BD970" s="35"/>
      <c r="BE970" s="35"/>
      <c r="BF970" s="35"/>
      <c r="BG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c r="AV971" s="35"/>
      <c r="AW971" s="35"/>
      <c r="AX971" s="35"/>
      <c r="AY971" s="35"/>
      <c r="AZ971" s="35"/>
      <c r="BA971" s="35"/>
      <c r="BB971" s="35"/>
      <c r="BC971" s="35"/>
      <c r="BD971" s="35"/>
      <c r="BE971" s="35"/>
      <c r="BF971" s="35"/>
      <c r="BG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c r="AV972" s="35"/>
      <c r="AW972" s="35"/>
      <c r="AX972" s="35"/>
      <c r="AY972" s="35"/>
      <c r="AZ972" s="35"/>
      <c r="BA972" s="35"/>
      <c r="BB972" s="35"/>
      <c r="BC972" s="35"/>
      <c r="BD972" s="35"/>
      <c r="BE972" s="35"/>
      <c r="BF972" s="35"/>
      <c r="BG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c r="AV973" s="35"/>
      <c r="AW973" s="35"/>
      <c r="AX973" s="35"/>
      <c r="AY973" s="35"/>
      <c r="AZ973" s="35"/>
      <c r="BA973" s="35"/>
      <c r="BB973" s="35"/>
      <c r="BC973" s="35"/>
      <c r="BD973" s="35"/>
      <c r="BE973" s="35"/>
      <c r="BF973" s="35"/>
      <c r="BG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c r="AV974" s="35"/>
      <c r="AW974" s="35"/>
      <c r="AX974" s="35"/>
      <c r="AY974" s="35"/>
      <c r="AZ974" s="35"/>
      <c r="BA974" s="35"/>
      <c r="BB974" s="35"/>
      <c r="BC974" s="35"/>
      <c r="BD974" s="35"/>
      <c r="BE974" s="35"/>
      <c r="BF974" s="35"/>
      <c r="BG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c r="AV975" s="35"/>
      <c r="AW975" s="35"/>
      <c r="AX975" s="35"/>
      <c r="AY975" s="35"/>
      <c r="AZ975" s="35"/>
      <c r="BA975" s="35"/>
      <c r="BB975" s="35"/>
      <c r="BC975" s="35"/>
      <c r="BD975" s="35"/>
      <c r="BE975" s="35"/>
      <c r="BF975" s="35"/>
      <c r="BG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c r="AV976" s="35"/>
      <c r="AW976" s="35"/>
      <c r="AX976" s="35"/>
      <c r="AY976" s="35"/>
      <c r="AZ976" s="35"/>
      <c r="BA976" s="35"/>
      <c r="BB976" s="35"/>
      <c r="BC976" s="35"/>
      <c r="BD976" s="35"/>
      <c r="BE976" s="35"/>
      <c r="BF976" s="35"/>
      <c r="BG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c r="AV977" s="35"/>
      <c r="AW977" s="35"/>
      <c r="AX977" s="35"/>
      <c r="AY977" s="35"/>
      <c r="AZ977" s="35"/>
      <c r="BA977" s="35"/>
      <c r="BB977" s="35"/>
      <c r="BC977" s="35"/>
      <c r="BD977" s="35"/>
      <c r="BE977" s="35"/>
      <c r="BF977" s="35"/>
      <c r="BG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c r="AV978" s="35"/>
      <c r="AW978" s="35"/>
      <c r="AX978" s="35"/>
      <c r="AY978" s="35"/>
      <c r="AZ978" s="35"/>
      <c r="BA978" s="35"/>
      <c r="BB978" s="35"/>
      <c r="BC978" s="35"/>
      <c r="BD978" s="35"/>
      <c r="BE978" s="35"/>
      <c r="BF978" s="35"/>
      <c r="BG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c r="AV979" s="35"/>
      <c r="AW979" s="35"/>
      <c r="AX979" s="35"/>
      <c r="AY979" s="35"/>
      <c r="AZ979" s="35"/>
      <c r="BA979" s="35"/>
      <c r="BB979" s="35"/>
      <c r="BC979" s="35"/>
      <c r="BD979" s="35"/>
      <c r="BE979" s="35"/>
      <c r="BF979" s="35"/>
      <c r="BG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c r="AV980" s="35"/>
      <c r="AW980" s="35"/>
      <c r="AX980" s="35"/>
      <c r="AY980" s="35"/>
      <c r="AZ980" s="35"/>
      <c r="BA980" s="35"/>
      <c r="BB980" s="35"/>
      <c r="BC980" s="35"/>
      <c r="BD980" s="35"/>
      <c r="BE980" s="35"/>
      <c r="BF980" s="35"/>
      <c r="BG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c r="AV981" s="35"/>
      <c r="AW981" s="35"/>
      <c r="AX981" s="35"/>
      <c r="AY981" s="35"/>
      <c r="AZ981" s="35"/>
      <c r="BA981" s="35"/>
      <c r="BB981" s="35"/>
      <c r="BC981" s="35"/>
      <c r="BD981" s="35"/>
      <c r="BE981" s="35"/>
      <c r="BF981" s="35"/>
      <c r="BG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c r="AV982" s="35"/>
      <c r="AW982" s="35"/>
      <c r="AX982" s="35"/>
      <c r="AY982" s="35"/>
      <c r="AZ982" s="35"/>
      <c r="BA982" s="35"/>
      <c r="BB982" s="35"/>
      <c r="BC982" s="35"/>
      <c r="BD982" s="35"/>
      <c r="BE982" s="35"/>
      <c r="BF982" s="35"/>
      <c r="BG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c r="AV983" s="35"/>
      <c r="AW983" s="35"/>
      <c r="AX983" s="35"/>
      <c r="AY983" s="35"/>
      <c r="AZ983" s="35"/>
      <c r="BA983" s="35"/>
      <c r="BB983" s="35"/>
      <c r="BC983" s="35"/>
      <c r="BD983" s="35"/>
      <c r="BE983" s="35"/>
      <c r="BF983" s="35"/>
      <c r="BG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c r="AV984" s="35"/>
      <c r="AW984" s="35"/>
      <c r="AX984" s="35"/>
      <c r="AY984" s="35"/>
      <c r="AZ984" s="35"/>
      <c r="BA984" s="35"/>
      <c r="BB984" s="35"/>
      <c r="BC984" s="35"/>
      <c r="BD984" s="35"/>
      <c r="BE984" s="35"/>
      <c r="BF984" s="35"/>
      <c r="BG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c r="AV985" s="35"/>
      <c r="AW985" s="35"/>
      <c r="AX985" s="35"/>
      <c r="AY985" s="35"/>
      <c r="AZ985" s="35"/>
      <c r="BA985" s="35"/>
      <c r="BB985" s="35"/>
      <c r="BC985" s="35"/>
      <c r="BD985" s="35"/>
      <c r="BE985" s="35"/>
      <c r="BF985" s="35"/>
      <c r="BG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c r="AV986" s="35"/>
      <c r="AW986" s="35"/>
      <c r="AX986" s="35"/>
      <c r="AY986" s="35"/>
      <c r="AZ986" s="35"/>
      <c r="BA986" s="35"/>
      <c r="BB986" s="35"/>
      <c r="BC986" s="35"/>
      <c r="BD986" s="35"/>
      <c r="BE986" s="35"/>
      <c r="BF986" s="35"/>
      <c r="BG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c r="AV987" s="35"/>
      <c r="AW987" s="35"/>
      <c r="AX987" s="35"/>
      <c r="AY987" s="35"/>
      <c r="AZ987" s="35"/>
      <c r="BA987" s="35"/>
      <c r="BB987" s="35"/>
      <c r="BC987" s="35"/>
      <c r="BD987" s="35"/>
      <c r="BE987" s="35"/>
      <c r="BF987" s="35"/>
      <c r="BG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c r="AV988" s="35"/>
      <c r="AW988" s="35"/>
      <c r="AX988" s="35"/>
      <c r="AY988" s="35"/>
      <c r="AZ988" s="35"/>
      <c r="BA988" s="35"/>
      <c r="BB988" s="35"/>
      <c r="BC988" s="35"/>
      <c r="BD988" s="35"/>
      <c r="BE988" s="35"/>
      <c r="BF988" s="35"/>
      <c r="BG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c r="AV989" s="35"/>
      <c r="AW989" s="35"/>
      <c r="AX989" s="35"/>
      <c r="AY989" s="35"/>
      <c r="AZ989" s="35"/>
      <c r="BA989" s="35"/>
      <c r="BB989" s="35"/>
      <c r="BC989" s="35"/>
      <c r="BD989" s="35"/>
      <c r="BE989" s="35"/>
      <c r="BF989" s="35"/>
      <c r="BG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c r="AV990" s="35"/>
      <c r="AW990" s="35"/>
      <c r="AX990" s="35"/>
      <c r="AY990" s="35"/>
      <c r="AZ990" s="35"/>
      <c r="BA990" s="35"/>
      <c r="BB990" s="35"/>
      <c r="BC990" s="35"/>
      <c r="BD990" s="35"/>
      <c r="BE990" s="35"/>
      <c r="BF990" s="35"/>
      <c r="BG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c r="AV991" s="35"/>
      <c r="AW991" s="35"/>
      <c r="AX991" s="35"/>
      <c r="AY991" s="35"/>
      <c r="AZ991" s="35"/>
      <c r="BA991" s="35"/>
      <c r="BB991" s="35"/>
      <c r="BC991" s="35"/>
      <c r="BD991" s="35"/>
      <c r="BE991" s="35"/>
      <c r="BF991" s="35"/>
      <c r="BG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c r="AV992" s="35"/>
      <c r="AW992" s="35"/>
      <c r="AX992" s="35"/>
      <c r="AY992" s="35"/>
      <c r="AZ992" s="35"/>
      <c r="BA992" s="35"/>
      <c r="BB992" s="35"/>
      <c r="BC992" s="35"/>
      <c r="BD992" s="35"/>
      <c r="BE992" s="35"/>
      <c r="BF992" s="35"/>
      <c r="BG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c r="AV993" s="35"/>
      <c r="AW993" s="35"/>
      <c r="AX993" s="35"/>
      <c r="AY993" s="35"/>
      <c r="AZ993" s="35"/>
      <c r="BA993" s="35"/>
      <c r="BB993" s="35"/>
      <c r="BC993" s="35"/>
      <c r="BD993" s="35"/>
      <c r="BE993" s="35"/>
      <c r="BF993" s="35"/>
      <c r="BG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c r="AV994" s="35"/>
      <c r="AW994" s="35"/>
      <c r="AX994" s="35"/>
      <c r="AY994" s="35"/>
      <c r="AZ994" s="35"/>
      <c r="BA994" s="35"/>
      <c r="BB994" s="35"/>
      <c r="BC994" s="35"/>
      <c r="BD994" s="35"/>
      <c r="BE994" s="35"/>
      <c r="BF994" s="35"/>
      <c r="BG994" s="35"/>
    </row>
    <row r="995" ht="15.75" customHeight="1">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c r="AV995" s="35"/>
      <c r="AW995" s="35"/>
      <c r="AX995" s="35"/>
      <c r="AY995" s="35"/>
      <c r="AZ995" s="35"/>
      <c r="BA995" s="35"/>
      <c r="BB995" s="35"/>
      <c r="BC995" s="35"/>
      <c r="BD995" s="35"/>
      <c r="BE995" s="35"/>
      <c r="BF995" s="35"/>
      <c r="BG995" s="35"/>
    </row>
    <row r="996" ht="15.75" customHeight="1">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c r="AV996" s="35"/>
      <c r="AW996" s="35"/>
      <c r="AX996" s="35"/>
      <c r="AY996" s="35"/>
      <c r="AZ996" s="35"/>
      <c r="BA996" s="35"/>
      <c r="BB996" s="35"/>
      <c r="BC996" s="35"/>
      <c r="BD996" s="35"/>
      <c r="BE996" s="35"/>
      <c r="BF996" s="35"/>
      <c r="BG996" s="35"/>
    </row>
    <row r="997" ht="15.75" customHeight="1">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c r="AV997" s="35"/>
      <c r="AW997" s="35"/>
      <c r="AX997" s="35"/>
      <c r="AY997" s="35"/>
      <c r="AZ997" s="35"/>
      <c r="BA997" s="35"/>
      <c r="BB997" s="35"/>
      <c r="BC997" s="35"/>
      <c r="BD997" s="35"/>
      <c r="BE997" s="35"/>
      <c r="BF997" s="35"/>
      <c r="BG997" s="35"/>
    </row>
    <row r="998" ht="15.75" customHeight="1">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c r="AV998" s="35"/>
      <c r="AW998" s="35"/>
      <c r="AX998" s="35"/>
      <c r="AY998" s="35"/>
      <c r="AZ998" s="35"/>
      <c r="BA998" s="35"/>
      <c r="BB998" s="35"/>
      <c r="BC998" s="35"/>
      <c r="BD998" s="35"/>
      <c r="BE998" s="35"/>
      <c r="BF998" s="35"/>
      <c r="BG998" s="35"/>
    </row>
    <row r="999" ht="15.75" customHeight="1">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c r="AV999" s="35"/>
      <c r="AW999" s="35"/>
      <c r="AX999" s="35"/>
      <c r="AY999" s="35"/>
      <c r="AZ999" s="35"/>
      <c r="BA999" s="35"/>
      <c r="BB999" s="35"/>
      <c r="BC999" s="35"/>
      <c r="BD999" s="35"/>
      <c r="BE999" s="35"/>
      <c r="BF999" s="35"/>
      <c r="BG999" s="35"/>
    </row>
    <row r="1000" ht="15.75" customHeight="1">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c r="AV1000" s="35"/>
      <c r="AW1000" s="35"/>
      <c r="AX1000" s="35"/>
      <c r="AY1000" s="35"/>
      <c r="AZ1000" s="35"/>
      <c r="BA1000" s="35"/>
      <c r="BB1000" s="35"/>
      <c r="BC1000" s="35"/>
      <c r="BD1000" s="35"/>
      <c r="BE1000" s="35"/>
      <c r="BF1000" s="35"/>
      <c r="BG1000" s="35"/>
    </row>
    <row r="1001" ht="15.75" customHeight="1">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c r="AB1001" s="35"/>
      <c r="AC1001" s="35"/>
      <c r="AD1001" s="35"/>
      <c r="AE1001" s="35"/>
      <c r="AF1001" s="35"/>
      <c r="AG1001" s="35"/>
      <c r="AH1001" s="35"/>
      <c r="AI1001" s="35"/>
      <c r="AJ1001" s="35"/>
      <c r="AK1001" s="35"/>
      <c r="AL1001" s="35"/>
      <c r="AM1001" s="35"/>
      <c r="AN1001" s="35"/>
      <c r="AO1001" s="35"/>
      <c r="AP1001" s="35"/>
      <c r="AQ1001" s="35"/>
      <c r="AR1001" s="35"/>
      <c r="AS1001" s="35"/>
      <c r="AT1001" s="35"/>
      <c r="AU1001" s="35"/>
      <c r="AV1001" s="35"/>
      <c r="AW1001" s="35"/>
      <c r="AX1001" s="35"/>
      <c r="AY1001" s="35"/>
      <c r="AZ1001" s="35"/>
      <c r="BA1001" s="35"/>
      <c r="BB1001" s="35"/>
      <c r="BC1001" s="35"/>
      <c r="BD1001" s="35"/>
      <c r="BE1001" s="35"/>
      <c r="BF1001" s="35"/>
      <c r="BG1001" s="35"/>
    </row>
    <row r="1002" ht="15.75" customHeight="1">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c r="AA1002" s="35"/>
      <c r="AB1002" s="35"/>
      <c r="AC1002" s="35"/>
      <c r="AD1002" s="35"/>
      <c r="AE1002" s="35"/>
      <c r="AF1002" s="35"/>
      <c r="AG1002" s="35"/>
      <c r="AH1002" s="35"/>
      <c r="AI1002" s="35"/>
      <c r="AJ1002" s="35"/>
      <c r="AK1002" s="35"/>
      <c r="AL1002" s="35"/>
      <c r="AM1002" s="35"/>
      <c r="AN1002" s="35"/>
      <c r="AO1002" s="35"/>
      <c r="AP1002" s="35"/>
      <c r="AQ1002" s="35"/>
      <c r="AR1002" s="35"/>
      <c r="AS1002" s="35"/>
      <c r="AT1002" s="35"/>
      <c r="AU1002" s="35"/>
      <c r="AV1002" s="35"/>
      <c r="AW1002" s="35"/>
      <c r="AX1002" s="35"/>
      <c r="AY1002" s="35"/>
      <c r="AZ1002" s="35"/>
      <c r="BA1002" s="35"/>
      <c r="BB1002" s="35"/>
      <c r="BC1002" s="35"/>
      <c r="BD1002" s="35"/>
      <c r="BE1002" s="35"/>
      <c r="BF1002" s="35"/>
      <c r="BG1002" s="35"/>
    </row>
    <row r="1003" ht="15.75" customHeight="1">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c r="AA1003" s="35"/>
      <c r="AB1003" s="35"/>
      <c r="AC1003" s="35"/>
      <c r="AD1003" s="35"/>
      <c r="AE1003" s="35"/>
      <c r="AF1003" s="35"/>
      <c r="AG1003" s="35"/>
      <c r="AH1003" s="35"/>
      <c r="AI1003" s="35"/>
      <c r="AJ1003" s="35"/>
      <c r="AK1003" s="35"/>
      <c r="AL1003" s="35"/>
      <c r="AM1003" s="35"/>
      <c r="AN1003" s="35"/>
      <c r="AO1003" s="35"/>
      <c r="AP1003" s="35"/>
      <c r="AQ1003" s="35"/>
      <c r="AR1003" s="35"/>
      <c r="AS1003" s="35"/>
      <c r="AT1003" s="35"/>
      <c r="AU1003" s="35"/>
      <c r="AV1003" s="35"/>
      <c r="AW1003" s="35"/>
      <c r="AX1003" s="35"/>
      <c r="AY1003" s="35"/>
      <c r="AZ1003" s="35"/>
      <c r="BA1003" s="35"/>
      <c r="BB1003" s="35"/>
      <c r="BC1003" s="35"/>
      <c r="BD1003" s="35"/>
      <c r="BE1003" s="35"/>
      <c r="BF1003" s="35"/>
      <c r="BG1003" s="35"/>
    </row>
    <row r="1004" ht="15.75" customHeight="1">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c r="AA1004" s="35"/>
      <c r="AB1004" s="35"/>
      <c r="AC1004" s="35"/>
      <c r="AD1004" s="35"/>
      <c r="AE1004" s="35"/>
      <c r="AF1004" s="35"/>
      <c r="AG1004" s="35"/>
      <c r="AH1004" s="35"/>
      <c r="AI1004" s="35"/>
      <c r="AJ1004" s="35"/>
      <c r="AK1004" s="35"/>
      <c r="AL1004" s="35"/>
      <c r="AM1004" s="35"/>
      <c r="AN1004" s="35"/>
      <c r="AO1004" s="35"/>
      <c r="AP1004" s="35"/>
      <c r="AQ1004" s="35"/>
      <c r="AR1004" s="35"/>
      <c r="AS1004" s="35"/>
      <c r="AT1004" s="35"/>
      <c r="AU1004" s="35"/>
      <c r="AV1004" s="35"/>
      <c r="AW1004" s="35"/>
      <c r="AX1004" s="35"/>
      <c r="AY1004" s="35"/>
      <c r="AZ1004" s="35"/>
      <c r="BA1004" s="35"/>
      <c r="BB1004" s="35"/>
      <c r="BC1004" s="35"/>
      <c r="BD1004" s="35"/>
      <c r="BE1004" s="35"/>
      <c r="BF1004" s="35"/>
      <c r="BG1004" s="35"/>
    </row>
    <row r="1005" ht="15.75" customHeight="1">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c r="AA1005" s="35"/>
      <c r="AB1005" s="35"/>
      <c r="AC1005" s="35"/>
      <c r="AD1005" s="35"/>
      <c r="AE1005" s="35"/>
      <c r="AF1005" s="35"/>
      <c r="AG1005" s="35"/>
      <c r="AH1005" s="35"/>
      <c r="AI1005" s="35"/>
      <c r="AJ1005" s="35"/>
      <c r="AK1005" s="35"/>
      <c r="AL1005" s="35"/>
      <c r="AM1005" s="35"/>
      <c r="AN1005" s="35"/>
      <c r="AO1005" s="35"/>
      <c r="AP1005" s="35"/>
      <c r="AQ1005" s="35"/>
      <c r="AR1005" s="35"/>
      <c r="AS1005" s="35"/>
      <c r="AT1005" s="35"/>
      <c r="AU1005" s="35"/>
      <c r="AV1005" s="35"/>
      <c r="AW1005" s="35"/>
      <c r="AX1005" s="35"/>
      <c r="AY1005" s="35"/>
      <c r="AZ1005" s="35"/>
      <c r="BA1005" s="35"/>
      <c r="BB1005" s="35"/>
      <c r="BC1005" s="35"/>
      <c r="BD1005" s="35"/>
      <c r="BE1005" s="35"/>
      <c r="BF1005" s="35"/>
      <c r="BG1005" s="35"/>
    </row>
    <row r="1006" ht="15.75" customHeight="1">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c r="AA1006" s="35"/>
      <c r="AB1006" s="35"/>
      <c r="AC1006" s="35"/>
      <c r="AD1006" s="35"/>
      <c r="AE1006" s="35"/>
      <c r="AF1006" s="35"/>
      <c r="AG1006" s="35"/>
      <c r="AH1006" s="35"/>
      <c r="AI1006" s="35"/>
      <c r="AJ1006" s="35"/>
      <c r="AK1006" s="35"/>
      <c r="AL1006" s="35"/>
      <c r="AM1006" s="35"/>
      <c r="AN1006" s="35"/>
      <c r="AO1006" s="35"/>
      <c r="AP1006" s="35"/>
      <c r="AQ1006" s="35"/>
      <c r="AR1006" s="35"/>
      <c r="AS1006" s="35"/>
      <c r="AT1006" s="35"/>
      <c r="AU1006" s="35"/>
      <c r="AV1006" s="35"/>
      <c r="AW1006" s="35"/>
      <c r="AX1006" s="35"/>
      <c r="AY1006" s="35"/>
      <c r="AZ1006" s="35"/>
      <c r="BA1006" s="35"/>
      <c r="BB1006" s="35"/>
      <c r="BC1006" s="35"/>
      <c r="BD1006" s="35"/>
      <c r="BE1006" s="35"/>
      <c r="BF1006" s="35"/>
      <c r="BG1006" s="35"/>
    </row>
    <row r="1007" ht="15.75" customHeight="1">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c r="AA1007" s="35"/>
      <c r="AB1007" s="35"/>
      <c r="AC1007" s="35"/>
      <c r="AD1007" s="35"/>
      <c r="AE1007" s="35"/>
      <c r="AF1007" s="35"/>
      <c r="AG1007" s="35"/>
      <c r="AH1007" s="35"/>
      <c r="AI1007" s="35"/>
      <c r="AJ1007" s="35"/>
      <c r="AK1007" s="35"/>
      <c r="AL1007" s="35"/>
      <c r="AM1007" s="35"/>
      <c r="AN1007" s="35"/>
      <c r="AO1007" s="35"/>
      <c r="AP1007" s="35"/>
      <c r="AQ1007" s="35"/>
      <c r="AR1007" s="35"/>
      <c r="AS1007" s="35"/>
      <c r="AT1007" s="35"/>
      <c r="AU1007" s="35"/>
      <c r="AV1007" s="35"/>
      <c r="AW1007" s="35"/>
      <c r="AX1007" s="35"/>
      <c r="AY1007" s="35"/>
      <c r="AZ1007" s="35"/>
      <c r="BA1007" s="35"/>
      <c r="BB1007" s="35"/>
      <c r="BC1007" s="35"/>
      <c r="BD1007" s="35"/>
      <c r="BE1007" s="35"/>
      <c r="BF1007" s="35"/>
      <c r="BG1007" s="35"/>
    </row>
    <row r="1008" ht="15.75" customHeight="1">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c r="AA1008" s="35"/>
      <c r="AB1008" s="35"/>
      <c r="AC1008" s="35"/>
      <c r="AD1008" s="35"/>
      <c r="AE1008" s="35"/>
      <c r="AF1008" s="35"/>
      <c r="AG1008" s="35"/>
      <c r="AH1008" s="35"/>
      <c r="AI1008" s="35"/>
      <c r="AJ1008" s="35"/>
      <c r="AK1008" s="35"/>
      <c r="AL1008" s="35"/>
      <c r="AM1008" s="35"/>
      <c r="AN1008" s="35"/>
      <c r="AO1008" s="35"/>
      <c r="AP1008" s="35"/>
      <c r="AQ1008" s="35"/>
      <c r="AR1008" s="35"/>
      <c r="AS1008" s="35"/>
      <c r="AT1008" s="35"/>
      <c r="AU1008" s="35"/>
      <c r="AV1008" s="35"/>
      <c r="AW1008" s="35"/>
      <c r="AX1008" s="35"/>
      <c r="AY1008" s="35"/>
      <c r="AZ1008" s="35"/>
      <c r="BA1008" s="35"/>
      <c r="BB1008" s="35"/>
      <c r="BC1008" s="35"/>
      <c r="BD1008" s="35"/>
      <c r="BE1008" s="35"/>
      <c r="BF1008" s="35"/>
      <c r="BG1008" s="35"/>
    </row>
    <row r="1009" ht="15.75" customHeight="1">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c r="AA1009" s="35"/>
      <c r="AB1009" s="35"/>
      <c r="AC1009" s="35"/>
      <c r="AD1009" s="35"/>
      <c r="AE1009" s="35"/>
      <c r="AF1009" s="35"/>
      <c r="AG1009" s="35"/>
      <c r="AH1009" s="35"/>
      <c r="AI1009" s="35"/>
      <c r="AJ1009" s="35"/>
      <c r="AK1009" s="35"/>
      <c r="AL1009" s="35"/>
      <c r="AM1009" s="35"/>
      <c r="AN1009" s="35"/>
      <c r="AO1009" s="35"/>
      <c r="AP1009" s="35"/>
      <c r="AQ1009" s="35"/>
      <c r="AR1009" s="35"/>
      <c r="AS1009" s="35"/>
      <c r="AT1009" s="35"/>
      <c r="AU1009" s="35"/>
      <c r="AV1009" s="35"/>
      <c r="AW1009" s="35"/>
      <c r="AX1009" s="35"/>
      <c r="AY1009" s="35"/>
      <c r="AZ1009" s="35"/>
      <c r="BA1009" s="35"/>
      <c r="BB1009" s="35"/>
      <c r="BC1009" s="35"/>
      <c r="BD1009" s="35"/>
      <c r="BE1009" s="35"/>
      <c r="BF1009" s="35"/>
      <c r="BG1009" s="35"/>
    </row>
    <row r="1010" ht="15.75" customHeight="1">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c r="AA1010" s="35"/>
      <c r="AB1010" s="35"/>
      <c r="AC1010" s="35"/>
      <c r="AD1010" s="35"/>
      <c r="AE1010" s="35"/>
      <c r="AF1010" s="35"/>
      <c r="AG1010" s="35"/>
      <c r="AH1010" s="35"/>
      <c r="AI1010" s="35"/>
      <c r="AJ1010" s="35"/>
      <c r="AK1010" s="35"/>
      <c r="AL1010" s="35"/>
      <c r="AM1010" s="35"/>
      <c r="AN1010" s="35"/>
      <c r="AO1010" s="35"/>
      <c r="AP1010" s="35"/>
      <c r="AQ1010" s="35"/>
      <c r="AR1010" s="35"/>
      <c r="AS1010" s="35"/>
      <c r="AT1010" s="35"/>
      <c r="AU1010" s="35"/>
      <c r="AV1010" s="35"/>
      <c r="AW1010" s="35"/>
      <c r="AX1010" s="35"/>
      <c r="AY1010" s="35"/>
      <c r="AZ1010" s="35"/>
      <c r="BA1010" s="35"/>
      <c r="BB1010" s="35"/>
      <c r="BC1010" s="35"/>
      <c r="BD1010" s="35"/>
      <c r="BE1010" s="35"/>
      <c r="BF1010" s="35"/>
      <c r="BG1010" s="35"/>
    </row>
    <row r="1011" ht="15.75" customHeight="1">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c r="AA1011" s="35"/>
      <c r="AB1011" s="35"/>
      <c r="AC1011" s="35"/>
      <c r="AD1011" s="35"/>
      <c r="AE1011" s="35"/>
      <c r="AF1011" s="35"/>
      <c r="AG1011" s="35"/>
      <c r="AH1011" s="35"/>
      <c r="AI1011" s="35"/>
      <c r="AJ1011" s="35"/>
      <c r="AK1011" s="35"/>
      <c r="AL1011" s="35"/>
      <c r="AM1011" s="35"/>
      <c r="AN1011" s="35"/>
      <c r="AO1011" s="35"/>
      <c r="AP1011" s="35"/>
      <c r="AQ1011" s="35"/>
      <c r="AR1011" s="35"/>
      <c r="AS1011" s="35"/>
      <c r="AT1011" s="35"/>
      <c r="AU1011" s="35"/>
      <c r="AV1011" s="35"/>
      <c r="AW1011" s="35"/>
      <c r="AX1011" s="35"/>
      <c r="AY1011" s="35"/>
      <c r="AZ1011" s="35"/>
      <c r="BA1011" s="35"/>
      <c r="BB1011" s="35"/>
      <c r="BC1011" s="35"/>
      <c r="BD1011" s="35"/>
      <c r="BE1011" s="35"/>
      <c r="BF1011" s="35"/>
      <c r="BG1011" s="35"/>
    </row>
    <row r="1012" ht="15.75" customHeight="1">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c r="AA1012" s="35"/>
      <c r="AB1012" s="35"/>
      <c r="AC1012" s="35"/>
      <c r="AD1012" s="35"/>
      <c r="AE1012" s="35"/>
      <c r="AF1012" s="35"/>
      <c r="AG1012" s="35"/>
      <c r="AH1012" s="35"/>
      <c r="AI1012" s="35"/>
      <c r="AJ1012" s="35"/>
      <c r="AK1012" s="35"/>
      <c r="AL1012" s="35"/>
      <c r="AM1012" s="35"/>
      <c r="AN1012" s="35"/>
      <c r="AO1012" s="35"/>
      <c r="AP1012" s="35"/>
      <c r="AQ1012" s="35"/>
      <c r="AR1012" s="35"/>
      <c r="AS1012" s="35"/>
      <c r="AT1012" s="35"/>
      <c r="AU1012" s="35"/>
      <c r="AV1012" s="35"/>
      <c r="AW1012" s="35"/>
      <c r="AX1012" s="35"/>
      <c r="AY1012" s="35"/>
      <c r="AZ1012" s="35"/>
      <c r="BA1012" s="35"/>
      <c r="BB1012" s="35"/>
      <c r="BC1012" s="35"/>
      <c r="BD1012" s="35"/>
      <c r="BE1012" s="35"/>
      <c r="BF1012" s="35"/>
      <c r="BG1012" s="35"/>
    </row>
    <row r="1013" ht="15.75" customHeight="1">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c r="AA1013" s="35"/>
      <c r="AB1013" s="35"/>
      <c r="AC1013" s="35"/>
      <c r="AD1013" s="35"/>
      <c r="AE1013" s="35"/>
      <c r="AF1013" s="35"/>
      <c r="AG1013" s="35"/>
      <c r="AH1013" s="35"/>
      <c r="AI1013" s="35"/>
      <c r="AJ1013" s="35"/>
      <c r="AK1013" s="35"/>
      <c r="AL1013" s="35"/>
      <c r="AM1013" s="35"/>
      <c r="AN1013" s="35"/>
      <c r="AO1013" s="35"/>
      <c r="AP1013" s="35"/>
      <c r="AQ1013" s="35"/>
      <c r="AR1013" s="35"/>
      <c r="AS1013" s="35"/>
      <c r="AT1013" s="35"/>
      <c r="AU1013" s="35"/>
      <c r="AV1013" s="35"/>
      <c r="AW1013" s="35"/>
      <c r="AX1013" s="35"/>
      <c r="AY1013" s="35"/>
      <c r="AZ1013" s="35"/>
      <c r="BA1013" s="35"/>
      <c r="BB1013" s="35"/>
      <c r="BC1013" s="35"/>
      <c r="BD1013" s="35"/>
      <c r="BE1013" s="35"/>
      <c r="BF1013" s="35"/>
      <c r="BG1013" s="35"/>
    </row>
    <row r="1014" ht="15.75" customHeight="1">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c r="AA1014" s="35"/>
      <c r="AB1014" s="35"/>
      <c r="AC1014" s="35"/>
      <c r="AD1014" s="35"/>
      <c r="AE1014" s="35"/>
      <c r="AF1014" s="35"/>
      <c r="AG1014" s="35"/>
      <c r="AH1014" s="35"/>
      <c r="AI1014" s="35"/>
      <c r="AJ1014" s="35"/>
      <c r="AK1014" s="35"/>
      <c r="AL1014" s="35"/>
      <c r="AM1014" s="35"/>
      <c r="AN1014" s="35"/>
      <c r="AO1014" s="35"/>
      <c r="AP1014" s="35"/>
      <c r="AQ1014" s="35"/>
      <c r="AR1014" s="35"/>
      <c r="AS1014" s="35"/>
      <c r="AT1014" s="35"/>
      <c r="AU1014" s="35"/>
      <c r="AV1014" s="35"/>
      <c r="AW1014" s="35"/>
      <c r="AX1014" s="35"/>
      <c r="AY1014" s="35"/>
      <c r="AZ1014" s="35"/>
      <c r="BA1014" s="35"/>
      <c r="BB1014" s="35"/>
      <c r="BC1014" s="35"/>
      <c r="BD1014" s="35"/>
      <c r="BE1014" s="35"/>
      <c r="BF1014" s="35"/>
      <c r="BG1014" s="35"/>
    </row>
    <row r="1015" ht="15.75" customHeight="1">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c r="AA1015" s="35"/>
      <c r="AB1015" s="35"/>
      <c r="AC1015" s="35"/>
      <c r="AD1015" s="35"/>
      <c r="AE1015" s="35"/>
      <c r="AF1015" s="35"/>
      <c r="AG1015" s="35"/>
      <c r="AH1015" s="35"/>
      <c r="AI1015" s="35"/>
      <c r="AJ1015" s="35"/>
      <c r="AK1015" s="35"/>
      <c r="AL1015" s="35"/>
      <c r="AM1015" s="35"/>
      <c r="AN1015" s="35"/>
      <c r="AO1015" s="35"/>
      <c r="AP1015" s="35"/>
      <c r="AQ1015" s="35"/>
      <c r="AR1015" s="35"/>
      <c r="AS1015" s="35"/>
      <c r="AT1015" s="35"/>
      <c r="AU1015" s="35"/>
      <c r="AV1015" s="35"/>
      <c r="AW1015" s="35"/>
      <c r="AX1015" s="35"/>
      <c r="AY1015" s="35"/>
      <c r="AZ1015" s="35"/>
      <c r="BA1015" s="35"/>
      <c r="BB1015" s="35"/>
      <c r="BC1015" s="35"/>
      <c r="BD1015" s="35"/>
      <c r="BE1015" s="35"/>
      <c r="BF1015" s="35"/>
      <c r="BG1015" s="35"/>
    </row>
    <row r="1016" ht="15.75" customHeight="1">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c r="AA1016" s="35"/>
      <c r="AB1016" s="35"/>
      <c r="AC1016" s="35"/>
      <c r="AD1016" s="35"/>
      <c r="AE1016" s="35"/>
      <c r="AF1016" s="35"/>
      <c r="AG1016" s="35"/>
      <c r="AH1016" s="35"/>
      <c r="AI1016" s="35"/>
      <c r="AJ1016" s="35"/>
      <c r="AK1016" s="35"/>
      <c r="AL1016" s="35"/>
      <c r="AM1016" s="35"/>
      <c r="AN1016" s="35"/>
      <c r="AO1016" s="35"/>
      <c r="AP1016" s="35"/>
      <c r="AQ1016" s="35"/>
      <c r="AR1016" s="35"/>
      <c r="AS1016" s="35"/>
      <c r="AT1016" s="35"/>
      <c r="AU1016" s="35"/>
      <c r="AV1016" s="35"/>
      <c r="AW1016" s="35"/>
      <c r="AX1016" s="35"/>
      <c r="AY1016" s="35"/>
      <c r="AZ1016" s="35"/>
      <c r="BA1016" s="35"/>
      <c r="BB1016" s="35"/>
      <c r="BC1016" s="35"/>
      <c r="BD1016" s="35"/>
      <c r="BE1016" s="35"/>
      <c r="BF1016" s="35"/>
      <c r="BG1016" s="35"/>
    </row>
    <row r="1017" ht="15.75" customHeight="1">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c r="AA1017" s="35"/>
      <c r="AB1017" s="35"/>
      <c r="AC1017" s="35"/>
      <c r="AD1017" s="35"/>
      <c r="AE1017" s="35"/>
      <c r="AF1017" s="35"/>
      <c r="AG1017" s="35"/>
      <c r="AH1017" s="35"/>
      <c r="AI1017" s="35"/>
      <c r="AJ1017" s="35"/>
      <c r="AK1017" s="35"/>
      <c r="AL1017" s="35"/>
      <c r="AM1017" s="35"/>
      <c r="AN1017" s="35"/>
      <c r="AO1017" s="35"/>
      <c r="AP1017" s="35"/>
      <c r="AQ1017" s="35"/>
      <c r="AR1017" s="35"/>
      <c r="AS1017" s="35"/>
      <c r="AT1017" s="35"/>
      <c r="AU1017" s="35"/>
      <c r="AV1017" s="35"/>
      <c r="AW1017" s="35"/>
      <c r="AX1017" s="35"/>
      <c r="AY1017" s="35"/>
      <c r="AZ1017" s="35"/>
      <c r="BA1017" s="35"/>
      <c r="BB1017" s="35"/>
      <c r="BC1017" s="35"/>
      <c r="BD1017" s="35"/>
      <c r="BE1017" s="35"/>
      <c r="BF1017" s="35"/>
      <c r="BG1017" s="35"/>
    </row>
    <row r="1018" ht="15.75" customHeight="1">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c r="AA1018" s="35"/>
      <c r="AB1018" s="35"/>
      <c r="AC1018" s="35"/>
      <c r="AD1018" s="35"/>
      <c r="AE1018" s="35"/>
      <c r="AF1018" s="35"/>
      <c r="AG1018" s="35"/>
      <c r="AH1018" s="35"/>
      <c r="AI1018" s="35"/>
      <c r="AJ1018" s="35"/>
      <c r="AK1018" s="35"/>
      <c r="AL1018" s="35"/>
      <c r="AM1018" s="35"/>
      <c r="AN1018" s="35"/>
      <c r="AO1018" s="35"/>
      <c r="AP1018" s="35"/>
      <c r="AQ1018" s="35"/>
      <c r="AR1018" s="35"/>
      <c r="AS1018" s="35"/>
      <c r="AT1018" s="35"/>
      <c r="AU1018" s="35"/>
      <c r="AV1018" s="35"/>
      <c r="AW1018" s="35"/>
      <c r="AX1018" s="35"/>
      <c r="AY1018" s="35"/>
      <c r="AZ1018" s="35"/>
      <c r="BA1018" s="35"/>
      <c r="BB1018" s="35"/>
      <c r="BC1018" s="35"/>
      <c r="BD1018" s="35"/>
      <c r="BE1018" s="35"/>
      <c r="BF1018" s="35"/>
      <c r="BG1018" s="35"/>
    </row>
    <row r="1019" ht="15.75" customHeight="1">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c r="AA1019" s="35"/>
      <c r="AB1019" s="35"/>
      <c r="AC1019" s="35"/>
      <c r="AD1019" s="35"/>
      <c r="AE1019" s="35"/>
      <c r="AF1019" s="35"/>
      <c r="AG1019" s="35"/>
      <c r="AH1019" s="35"/>
      <c r="AI1019" s="35"/>
      <c r="AJ1019" s="35"/>
      <c r="AK1019" s="35"/>
      <c r="AL1019" s="35"/>
      <c r="AM1019" s="35"/>
      <c r="AN1019" s="35"/>
      <c r="AO1019" s="35"/>
      <c r="AP1019" s="35"/>
      <c r="AQ1019" s="35"/>
      <c r="AR1019" s="35"/>
      <c r="AS1019" s="35"/>
      <c r="AT1019" s="35"/>
      <c r="AU1019" s="35"/>
      <c r="AV1019" s="35"/>
      <c r="AW1019" s="35"/>
      <c r="AX1019" s="35"/>
      <c r="AY1019" s="35"/>
      <c r="AZ1019" s="35"/>
      <c r="BA1019" s="35"/>
      <c r="BB1019" s="35"/>
      <c r="BC1019" s="35"/>
      <c r="BD1019" s="35"/>
      <c r="BE1019" s="35"/>
      <c r="BF1019" s="35"/>
      <c r="BG1019" s="35"/>
    </row>
    <row r="1020" ht="15.75" customHeight="1">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c r="AA1020" s="35"/>
      <c r="AB1020" s="35"/>
      <c r="AC1020" s="35"/>
      <c r="AD1020" s="35"/>
      <c r="AE1020" s="35"/>
      <c r="AF1020" s="35"/>
      <c r="AG1020" s="35"/>
      <c r="AH1020" s="35"/>
      <c r="AI1020" s="35"/>
      <c r="AJ1020" s="35"/>
      <c r="AK1020" s="35"/>
      <c r="AL1020" s="35"/>
      <c r="AM1020" s="35"/>
      <c r="AN1020" s="35"/>
      <c r="AO1020" s="35"/>
      <c r="AP1020" s="35"/>
      <c r="AQ1020" s="35"/>
      <c r="AR1020" s="35"/>
      <c r="AS1020" s="35"/>
      <c r="AT1020" s="35"/>
      <c r="AU1020" s="35"/>
      <c r="AV1020" s="35"/>
      <c r="AW1020" s="35"/>
      <c r="AX1020" s="35"/>
      <c r="AY1020" s="35"/>
      <c r="AZ1020" s="35"/>
      <c r="BA1020" s="35"/>
      <c r="BB1020" s="35"/>
      <c r="BC1020" s="35"/>
      <c r="BD1020" s="35"/>
      <c r="BE1020" s="35"/>
      <c r="BF1020" s="35"/>
      <c r="BG1020" s="35"/>
    </row>
    <row r="1021" ht="15.75" customHeight="1">
      <c r="A1021" s="35"/>
      <c r="B1021" s="35"/>
      <c r="C1021" s="35"/>
      <c r="D1021" s="35"/>
      <c r="E1021" s="35"/>
      <c r="F1021" s="35"/>
      <c r="G1021" s="35"/>
      <c r="H1021" s="35"/>
      <c r="I1021" s="35"/>
      <c r="J1021" s="35"/>
      <c r="K1021" s="35"/>
      <c r="L1021" s="35"/>
      <c r="M1021" s="35"/>
      <c r="N1021" s="35"/>
      <c r="O1021" s="35"/>
      <c r="P1021" s="35"/>
      <c r="Q1021" s="35"/>
      <c r="R1021" s="35"/>
      <c r="S1021" s="35"/>
      <c r="T1021" s="35"/>
      <c r="U1021" s="35"/>
      <c r="V1021" s="35"/>
      <c r="W1021" s="35"/>
      <c r="X1021" s="35"/>
      <c r="Y1021" s="35"/>
      <c r="Z1021" s="35"/>
      <c r="AA1021" s="35"/>
      <c r="AB1021" s="35"/>
      <c r="AC1021" s="35"/>
      <c r="AD1021" s="35"/>
      <c r="AE1021" s="35"/>
      <c r="AF1021" s="35"/>
      <c r="AG1021" s="35"/>
      <c r="AH1021" s="35"/>
      <c r="AI1021" s="35"/>
      <c r="AJ1021" s="35"/>
      <c r="AK1021" s="35"/>
      <c r="AL1021" s="35"/>
      <c r="AM1021" s="35"/>
      <c r="AN1021" s="35"/>
      <c r="AO1021" s="35"/>
      <c r="AP1021" s="35"/>
      <c r="AQ1021" s="35"/>
      <c r="AR1021" s="35"/>
      <c r="AS1021" s="35"/>
      <c r="AT1021" s="35"/>
      <c r="AU1021" s="35"/>
      <c r="AV1021" s="35"/>
      <c r="AW1021" s="35"/>
      <c r="AX1021" s="35"/>
      <c r="AY1021" s="35"/>
      <c r="AZ1021" s="35"/>
      <c r="BA1021" s="35"/>
      <c r="BB1021" s="35"/>
      <c r="BC1021" s="35"/>
      <c r="BD1021" s="35"/>
      <c r="BE1021" s="35"/>
      <c r="BF1021" s="35"/>
      <c r="BG1021" s="35"/>
    </row>
    <row r="1022" ht="15.75" customHeight="1">
      <c r="A1022" s="35"/>
      <c r="B1022" s="35"/>
      <c r="C1022" s="35"/>
      <c r="D1022" s="35"/>
      <c r="E1022" s="35"/>
      <c r="F1022" s="35"/>
      <c r="G1022" s="35"/>
      <c r="H1022" s="35"/>
      <c r="I1022" s="35"/>
      <c r="J1022" s="35"/>
      <c r="K1022" s="35"/>
      <c r="L1022" s="35"/>
      <c r="M1022" s="35"/>
      <c r="N1022" s="35"/>
      <c r="O1022" s="35"/>
      <c r="P1022" s="35"/>
      <c r="Q1022" s="35"/>
      <c r="R1022" s="35"/>
      <c r="S1022" s="35"/>
      <c r="T1022" s="35"/>
      <c r="U1022" s="35"/>
      <c r="V1022" s="35"/>
      <c r="W1022" s="35"/>
      <c r="X1022" s="35"/>
      <c r="Y1022" s="35"/>
      <c r="Z1022" s="35"/>
      <c r="AA1022" s="35"/>
      <c r="AB1022" s="35"/>
      <c r="AC1022" s="35"/>
      <c r="AD1022" s="35"/>
      <c r="AE1022" s="35"/>
      <c r="AF1022" s="35"/>
      <c r="AG1022" s="35"/>
      <c r="AH1022" s="35"/>
      <c r="AI1022" s="35"/>
      <c r="AJ1022" s="35"/>
      <c r="AK1022" s="35"/>
      <c r="AL1022" s="35"/>
      <c r="AM1022" s="35"/>
      <c r="AN1022" s="35"/>
      <c r="AO1022" s="35"/>
      <c r="AP1022" s="35"/>
      <c r="AQ1022" s="35"/>
      <c r="AR1022" s="35"/>
      <c r="AS1022" s="35"/>
      <c r="AT1022" s="35"/>
      <c r="AU1022" s="35"/>
      <c r="AV1022" s="35"/>
      <c r="AW1022" s="35"/>
      <c r="AX1022" s="35"/>
      <c r="AY1022" s="35"/>
      <c r="AZ1022" s="35"/>
      <c r="BA1022" s="35"/>
      <c r="BB1022" s="35"/>
      <c r="BC1022" s="35"/>
      <c r="BD1022" s="35"/>
      <c r="BE1022" s="35"/>
      <c r="BF1022" s="35"/>
      <c r="BG1022" s="35"/>
    </row>
    <row r="1023" ht="15.75" customHeight="1">
      <c r="A1023" s="35"/>
      <c r="B1023" s="35"/>
      <c r="C1023" s="35"/>
      <c r="D1023" s="35"/>
      <c r="E1023" s="35"/>
      <c r="F1023" s="35"/>
      <c r="G1023" s="35"/>
      <c r="H1023" s="35"/>
      <c r="I1023" s="35"/>
      <c r="J1023" s="35"/>
      <c r="K1023" s="35"/>
      <c r="L1023" s="35"/>
      <c r="M1023" s="35"/>
      <c r="N1023" s="35"/>
      <c r="O1023" s="35"/>
      <c r="P1023" s="35"/>
      <c r="Q1023" s="35"/>
      <c r="R1023" s="35"/>
      <c r="S1023" s="35"/>
      <c r="T1023" s="35"/>
      <c r="U1023" s="35"/>
      <c r="V1023" s="35"/>
      <c r="W1023" s="35"/>
      <c r="X1023" s="35"/>
      <c r="Y1023" s="35"/>
      <c r="Z1023" s="35"/>
      <c r="AA1023" s="35"/>
      <c r="AB1023" s="35"/>
      <c r="AC1023" s="35"/>
      <c r="AD1023" s="35"/>
      <c r="AE1023" s="35"/>
      <c r="AF1023" s="35"/>
      <c r="AG1023" s="35"/>
      <c r="AH1023" s="35"/>
      <c r="AI1023" s="35"/>
      <c r="AJ1023" s="35"/>
      <c r="AK1023" s="35"/>
      <c r="AL1023" s="35"/>
      <c r="AM1023" s="35"/>
      <c r="AN1023" s="35"/>
      <c r="AO1023" s="35"/>
      <c r="AP1023" s="35"/>
      <c r="AQ1023" s="35"/>
      <c r="AR1023" s="35"/>
      <c r="AS1023" s="35"/>
      <c r="AT1023" s="35"/>
      <c r="AU1023" s="35"/>
      <c r="AV1023" s="35"/>
      <c r="AW1023" s="35"/>
      <c r="AX1023" s="35"/>
      <c r="AY1023" s="35"/>
      <c r="AZ1023" s="35"/>
      <c r="BA1023" s="35"/>
      <c r="BB1023" s="35"/>
      <c r="BC1023" s="35"/>
      <c r="BD1023" s="35"/>
      <c r="BE1023" s="35"/>
      <c r="BF1023" s="35"/>
      <c r="BG1023" s="35"/>
    </row>
    <row r="1024" ht="15.75" customHeight="1">
      <c r="A1024" s="35"/>
      <c r="B1024" s="35"/>
      <c r="C1024" s="35"/>
      <c r="D1024" s="35"/>
      <c r="E1024" s="35"/>
      <c r="F1024" s="35"/>
      <c r="G1024" s="35"/>
      <c r="H1024" s="35"/>
      <c r="I1024" s="35"/>
      <c r="J1024" s="35"/>
      <c r="K1024" s="35"/>
      <c r="L1024" s="35"/>
      <c r="M1024" s="35"/>
      <c r="N1024" s="35"/>
      <c r="O1024" s="35"/>
      <c r="P1024" s="35"/>
      <c r="Q1024" s="35"/>
      <c r="R1024" s="35"/>
      <c r="S1024" s="35"/>
      <c r="T1024" s="35"/>
      <c r="U1024" s="35"/>
      <c r="V1024" s="35"/>
      <c r="W1024" s="35"/>
      <c r="X1024" s="35"/>
      <c r="Y1024" s="35"/>
      <c r="Z1024" s="35"/>
      <c r="AA1024" s="35"/>
      <c r="AB1024" s="35"/>
      <c r="AC1024" s="35"/>
      <c r="AD1024" s="35"/>
      <c r="AE1024" s="35"/>
      <c r="AF1024" s="35"/>
      <c r="AG1024" s="35"/>
      <c r="AH1024" s="35"/>
      <c r="AI1024" s="35"/>
      <c r="AJ1024" s="35"/>
      <c r="AK1024" s="35"/>
      <c r="AL1024" s="35"/>
      <c r="AM1024" s="35"/>
      <c r="AN1024" s="35"/>
      <c r="AO1024" s="35"/>
      <c r="AP1024" s="35"/>
      <c r="AQ1024" s="35"/>
      <c r="AR1024" s="35"/>
      <c r="AS1024" s="35"/>
      <c r="AT1024" s="35"/>
      <c r="AU1024" s="35"/>
      <c r="AV1024" s="35"/>
      <c r="AW1024" s="35"/>
      <c r="AX1024" s="35"/>
      <c r="AY1024" s="35"/>
      <c r="AZ1024" s="35"/>
      <c r="BA1024" s="35"/>
      <c r="BB1024" s="35"/>
      <c r="BC1024" s="35"/>
      <c r="BD1024" s="35"/>
      <c r="BE1024" s="35"/>
      <c r="BF1024" s="35"/>
      <c r="BG1024" s="35"/>
    </row>
    <row r="1025" ht="15.75" customHeight="1">
      <c r="A1025" s="35"/>
      <c r="B1025" s="35"/>
      <c r="C1025" s="35"/>
      <c r="D1025" s="35"/>
      <c r="E1025" s="35"/>
      <c r="F1025" s="35"/>
      <c r="G1025" s="35"/>
      <c r="H1025" s="35"/>
      <c r="I1025" s="35"/>
      <c r="J1025" s="35"/>
      <c r="K1025" s="35"/>
      <c r="L1025" s="35"/>
      <c r="M1025" s="35"/>
      <c r="N1025" s="35"/>
      <c r="O1025" s="35"/>
      <c r="P1025" s="35"/>
      <c r="Q1025" s="35"/>
      <c r="R1025" s="35"/>
      <c r="S1025" s="35"/>
      <c r="T1025" s="35"/>
      <c r="U1025" s="35"/>
      <c r="V1025" s="35"/>
      <c r="W1025" s="35"/>
      <c r="X1025" s="35"/>
      <c r="Y1025" s="35"/>
      <c r="Z1025" s="35"/>
      <c r="AA1025" s="35"/>
      <c r="AB1025" s="35"/>
      <c r="AC1025" s="35"/>
      <c r="AD1025" s="35"/>
      <c r="AE1025" s="35"/>
      <c r="AF1025" s="35"/>
      <c r="AG1025" s="35"/>
      <c r="AH1025" s="35"/>
      <c r="AI1025" s="35"/>
      <c r="AJ1025" s="35"/>
      <c r="AK1025" s="35"/>
      <c r="AL1025" s="35"/>
      <c r="AM1025" s="35"/>
      <c r="AN1025" s="35"/>
      <c r="AO1025" s="35"/>
      <c r="AP1025" s="35"/>
      <c r="AQ1025" s="35"/>
      <c r="AR1025" s="35"/>
      <c r="AS1025" s="35"/>
      <c r="AT1025" s="35"/>
      <c r="AU1025" s="35"/>
      <c r="AV1025" s="35"/>
      <c r="AW1025" s="35"/>
      <c r="AX1025" s="35"/>
      <c r="AY1025" s="35"/>
      <c r="AZ1025" s="35"/>
      <c r="BA1025" s="35"/>
      <c r="BB1025" s="35"/>
      <c r="BC1025" s="35"/>
      <c r="BD1025" s="35"/>
      <c r="BE1025" s="35"/>
      <c r="BF1025" s="35"/>
      <c r="BG1025" s="35"/>
    </row>
    <row r="1026" ht="15.75" customHeight="1">
      <c r="A1026" s="35"/>
      <c r="B1026" s="35"/>
      <c r="C1026" s="35"/>
      <c r="D1026" s="35"/>
      <c r="E1026" s="35"/>
      <c r="F1026" s="35"/>
      <c r="G1026" s="35"/>
      <c r="H1026" s="35"/>
      <c r="I1026" s="35"/>
      <c r="J1026" s="35"/>
      <c r="K1026" s="35"/>
      <c r="L1026" s="35"/>
      <c r="M1026" s="35"/>
      <c r="N1026" s="35"/>
      <c r="O1026" s="35"/>
      <c r="P1026" s="35"/>
      <c r="Q1026" s="35"/>
      <c r="R1026" s="35"/>
      <c r="S1026" s="35"/>
      <c r="T1026" s="35"/>
      <c r="U1026" s="35"/>
      <c r="V1026" s="35"/>
      <c r="W1026" s="35"/>
      <c r="X1026" s="35"/>
      <c r="Y1026" s="35"/>
      <c r="Z1026" s="35"/>
      <c r="AA1026" s="35"/>
      <c r="AB1026" s="35"/>
      <c r="AC1026" s="35"/>
      <c r="AD1026" s="35"/>
      <c r="AE1026" s="35"/>
      <c r="AF1026" s="35"/>
      <c r="AG1026" s="35"/>
      <c r="AH1026" s="35"/>
      <c r="AI1026" s="35"/>
      <c r="AJ1026" s="35"/>
      <c r="AK1026" s="35"/>
      <c r="AL1026" s="35"/>
      <c r="AM1026" s="35"/>
      <c r="AN1026" s="35"/>
      <c r="AO1026" s="35"/>
      <c r="AP1026" s="35"/>
      <c r="AQ1026" s="35"/>
      <c r="AR1026" s="35"/>
      <c r="AS1026" s="35"/>
      <c r="AT1026" s="35"/>
      <c r="AU1026" s="35"/>
      <c r="AV1026" s="35"/>
      <c r="AW1026" s="35"/>
      <c r="AX1026" s="35"/>
      <c r="AY1026" s="35"/>
      <c r="AZ1026" s="35"/>
      <c r="BA1026" s="35"/>
      <c r="BB1026" s="35"/>
      <c r="BC1026" s="35"/>
      <c r="BD1026" s="35"/>
      <c r="BE1026" s="35"/>
      <c r="BF1026" s="35"/>
      <c r="BG1026" s="35"/>
    </row>
    <row r="1027" ht="15.75" customHeight="1">
      <c r="A1027" s="35"/>
      <c r="B1027" s="35"/>
      <c r="C1027" s="35"/>
      <c r="D1027" s="35"/>
      <c r="E1027" s="35"/>
      <c r="F1027" s="35"/>
      <c r="G1027" s="35"/>
      <c r="H1027" s="35"/>
      <c r="I1027" s="35"/>
      <c r="J1027" s="35"/>
      <c r="K1027" s="35"/>
      <c r="L1027" s="35"/>
      <c r="M1027" s="35"/>
      <c r="N1027" s="35"/>
      <c r="O1027" s="35"/>
      <c r="P1027" s="35"/>
      <c r="Q1027" s="35"/>
      <c r="R1027" s="35"/>
      <c r="S1027" s="35"/>
      <c r="T1027" s="35"/>
      <c r="U1027" s="35"/>
      <c r="V1027" s="35"/>
      <c r="W1027" s="35"/>
      <c r="X1027" s="35"/>
      <c r="Y1027" s="35"/>
      <c r="Z1027" s="35"/>
      <c r="AA1027" s="35"/>
      <c r="AB1027" s="35"/>
      <c r="AC1027" s="35"/>
      <c r="AD1027" s="35"/>
      <c r="AE1027" s="35"/>
      <c r="AF1027" s="35"/>
      <c r="AG1027" s="35"/>
      <c r="AH1027" s="35"/>
      <c r="AI1027" s="35"/>
      <c r="AJ1027" s="35"/>
      <c r="AK1027" s="35"/>
      <c r="AL1027" s="35"/>
      <c r="AM1027" s="35"/>
      <c r="AN1027" s="35"/>
      <c r="AO1027" s="35"/>
      <c r="AP1027" s="35"/>
      <c r="AQ1027" s="35"/>
      <c r="AR1027" s="35"/>
      <c r="AS1027" s="35"/>
      <c r="AT1027" s="35"/>
      <c r="AU1027" s="35"/>
      <c r="AV1027" s="35"/>
      <c r="AW1027" s="35"/>
      <c r="AX1027" s="35"/>
      <c r="AY1027" s="35"/>
      <c r="AZ1027" s="35"/>
      <c r="BA1027" s="35"/>
      <c r="BB1027" s="35"/>
      <c r="BC1027" s="35"/>
      <c r="BD1027" s="35"/>
      <c r="BE1027" s="35"/>
      <c r="BF1027" s="35"/>
      <c r="BG1027" s="35"/>
    </row>
    <row r="1028" ht="15.75" customHeight="1">
      <c r="A1028" s="35"/>
      <c r="B1028" s="35"/>
      <c r="C1028" s="35"/>
      <c r="D1028" s="35"/>
      <c r="E1028" s="35"/>
      <c r="F1028" s="35"/>
      <c r="G1028" s="35"/>
      <c r="H1028" s="35"/>
      <c r="I1028" s="35"/>
      <c r="J1028" s="35"/>
      <c r="K1028" s="35"/>
      <c r="L1028" s="35"/>
      <c r="M1028" s="35"/>
      <c r="N1028" s="35"/>
      <c r="O1028" s="35"/>
      <c r="P1028" s="35"/>
      <c r="Q1028" s="35"/>
      <c r="R1028" s="35"/>
      <c r="S1028" s="35"/>
      <c r="T1028" s="35"/>
      <c r="U1028" s="35"/>
      <c r="V1028" s="35"/>
      <c r="W1028" s="35"/>
      <c r="X1028" s="35"/>
      <c r="Y1028" s="35"/>
      <c r="Z1028" s="35"/>
      <c r="AA1028" s="35"/>
      <c r="AB1028" s="35"/>
      <c r="AC1028" s="35"/>
      <c r="AD1028" s="35"/>
      <c r="AE1028" s="35"/>
      <c r="AF1028" s="35"/>
      <c r="AG1028" s="35"/>
      <c r="AH1028" s="35"/>
      <c r="AI1028" s="35"/>
      <c r="AJ1028" s="35"/>
      <c r="AK1028" s="35"/>
      <c r="AL1028" s="35"/>
      <c r="AM1028" s="35"/>
      <c r="AN1028" s="35"/>
      <c r="AO1028" s="35"/>
      <c r="AP1028" s="35"/>
      <c r="AQ1028" s="35"/>
      <c r="AR1028" s="35"/>
      <c r="AS1028" s="35"/>
      <c r="AT1028" s="35"/>
      <c r="AU1028" s="35"/>
      <c r="AV1028" s="35"/>
      <c r="AW1028" s="35"/>
      <c r="AX1028" s="35"/>
      <c r="AY1028" s="35"/>
      <c r="AZ1028" s="35"/>
      <c r="BA1028" s="35"/>
      <c r="BB1028" s="35"/>
      <c r="BC1028" s="35"/>
      <c r="BD1028" s="35"/>
      <c r="BE1028" s="35"/>
      <c r="BF1028" s="35"/>
      <c r="BG1028" s="35"/>
    </row>
    <row r="1029" ht="15.75" customHeight="1">
      <c r="A1029" s="35"/>
      <c r="B1029" s="35"/>
      <c r="C1029" s="35"/>
      <c r="D1029" s="35"/>
      <c r="E1029" s="35"/>
      <c r="F1029" s="35"/>
      <c r="G1029" s="35"/>
      <c r="H1029" s="35"/>
      <c r="I1029" s="35"/>
      <c r="J1029" s="35"/>
      <c r="K1029" s="35"/>
      <c r="L1029" s="35"/>
      <c r="M1029" s="35"/>
      <c r="N1029" s="35"/>
      <c r="O1029" s="35"/>
      <c r="P1029" s="35"/>
      <c r="Q1029" s="35"/>
      <c r="R1029" s="35"/>
      <c r="S1029" s="35"/>
      <c r="T1029" s="35"/>
      <c r="U1029" s="35"/>
      <c r="V1029" s="35"/>
      <c r="W1029" s="35"/>
      <c r="X1029" s="35"/>
      <c r="Y1029" s="35"/>
      <c r="Z1029" s="35"/>
      <c r="AA1029" s="35"/>
      <c r="AB1029" s="35"/>
      <c r="AC1029" s="35"/>
      <c r="AD1029" s="35"/>
      <c r="AE1029" s="35"/>
      <c r="AF1029" s="35"/>
      <c r="AG1029" s="35"/>
      <c r="AH1029" s="35"/>
      <c r="AI1029" s="35"/>
      <c r="AJ1029" s="35"/>
      <c r="AK1029" s="35"/>
      <c r="AL1029" s="35"/>
      <c r="AM1029" s="35"/>
      <c r="AN1029" s="35"/>
      <c r="AO1029" s="35"/>
      <c r="AP1029" s="35"/>
      <c r="AQ1029" s="35"/>
      <c r="AR1029" s="35"/>
      <c r="AS1029" s="35"/>
      <c r="AT1029" s="35"/>
      <c r="AU1029" s="35"/>
      <c r="AV1029" s="35"/>
      <c r="AW1029" s="35"/>
      <c r="AX1029" s="35"/>
      <c r="AY1029" s="35"/>
      <c r="AZ1029" s="35"/>
      <c r="BA1029" s="35"/>
      <c r="BB1029" s="35"/>
      <c r="BC1029" s="35"/>
      <c r="BD1029" s="35"/>
      <c r="BE1029" s="35"/>
      <c r="BF1029" s="35"/>
      <c r="BG1029" s="35"/>
    </row>
    <row r="1030" ht="15.75" customHeight="1">
      <c r="A1030" s="35"/>
      <c r="B1030" s="35"/>
      <c r="C1030" s="35"/>
      <c r="D1030" s="35"/>
      <c r="E1030" s="35"/>
      <c r="F1030" s="35"/>
      <c r="G1030" s="35"/>
      <c r="H1030" s="35"/>
      <c r="I1030" s="35"/>
      <c r="J1030" s="35"/>
      <c r="K1030" s="35"/>
      <c r="L1030" s="35"/>
      <c r="M1030" s="35"/>
      <c r="N1030" s="35"/>
      <c r="O1030" s="35"/>
      <c r="P1030" s="35"/>
      <c r="Q1030" s="35"/>
      <c r="R1030" s="35"/>
      <c r="S1030" s="35"/>
      <c r="T1030" s="35"/>
      <c r="U1030" s="35"/>
      <c r="V1030" s="35"/>
      <c r="W1030" s="35"/>
      <c r="X1030" s="35"/>
      <c r="Y1030" s="35"/>
      <c r="Z1030" s="35"/>
      <c r="AA1030" s="35"/>
      <c r="AB1030" s="35"/>
      <c r="AC1030" s="35"/>
      <c r="AD1030" s="35"/>
      <c r="AE1030" s="35"/>
      <c r="AF1030" s="35"/>
      <c r="AG1030" s="35"/>
      <c r="AH1030" s="35"/>
      <c r="AI1030" s="35"/>
      <c r="AJ1030" s="35"/>
      <c r="AK1030" s="35"/>
      <c r="AL1030" s="35"/>
      <c r="AM1030" s="35"/>
      <c r="AN1030" s="35"/>
      <c r="AO1030" s="35"/>
      <c r="AP1030" s="35"/>
      <c r="AQ1030" s="35"/>
      <c r="AR1030" s="35"/>
      <c r="AS1030" s="35"/>
      <c r="AT1030" s="35"/>
      <c r="AU1030" s="35"/>
      <c r="AV1030" s="35"/>
      <c r="AW1030" s="35"/>
      <c r="AX1030" s="35"/>
      <c r="AY1030" s="35"/>
      <c r="AZ1030" s="35"/>
      <c r="BA1030" s="35"/>
      <c r="BB1030" s="35"/>
      <c r="BC1030" s="35"/>
      <c r="BD1030" s="35"/>
      <c r="BE1030" s="35"/>
      <c r="BF1030" s="35"/>
      <c r="BG1030" s="35"/>
    </row>
    <row r="1031" ht="15.75" customHeight="1">
      <c r="A1031" s="35"/>
      <c r="B1031" s="35"/>
      <c r="C1031" s="35"/>
      <c r="D1031" s="35"/>
      <c r="E1031" s="35"/>
      <c r="F1031" s="35"/>
      <c r="G1031" s="35"/>
      <c r="H1031" s="35"/>
      <c r="I1031" s="35"/>
      <c r="J1031" s="35"/>
      <c r="K1031" s="35"/>
      <c r="L1031" s="35"/>
      <c r="M1031" s="35"/>
      <c r="N1031" s="35"/>
      <c r="O1031" s="35"/>
      <c r="P1031" s="35"/>
      <c r="Q1031" s="35"/>
      <c r="R1031" s="35"/>
      <c r="S1031" s="35"/>
      <c r="T1031" s="35"/>
      <c r="U1031" s="35"/>
      <c r="V1031" s="35"/>
      <c r="W1031" s="35"/>
      <c r="X1031" s="35"/>
      <c r="Y1031" s="35"/>
      <c r="Z1031" s="35"/>
      <c r="AA1031" s="35"/>
      <c r="AB1031" s="35"/>
      <c r="AC1031" s="35"/>
      <c r="AD1031" s="35"/>
      <c r="AE1031" s="35"/>
      <c r="AF1031" s="35"/>
      <c r="AG1031" s="35"/>
      <c r="AH1031" s="35"/>
      <c r="AI1031" s="35"/>
      <c r="AJ1031" s="35"/>
      <c r="AK1031" s="35"/>
      <c r="AL1031" s="35"/>
      <c r="AM1031" s="35"/>
      <c r="AN1031" s="35"/>
      <c r="AO1031" s="35"/>
      <c r="AP1031" s="35"/>
      <c r="AQ1031" s="35"/>
      <c r="AR1031" s="35"/>
      <c r="AS1031" s="35"/>
      <c r="AT1031" s="35"/>
      <c r="AU1031" s="35"/>
      <c r="AV1031" s="35"/>
      <c r="AW1031" s="35"/>
      <c r="AX1031" s="35"/>
      <c r="AY1031" s="35"/>
      <c r="AZ1031" s="35"/>
      <c r="BA1031" s="35"/>
      <c r="BB1031" s="35"/>
      <c r="BC1031" s="35"/>
      <c r="BD1031" s="35"/>
      <c r="BE1031" s="35"/>
      <c r="BF1031" s="35"/>
      <c r="BG1031" s="35"/>
    </row>
    <row r="1032" ht="15.75" customHeight="1">
      <c r="A1032" s="35"/>
      <c r="B1032" s="35"/>
      <c r="C1032" s="35"/>
      <c r="D1032" s="35"/>
      <c r="E1032" s="35"/>
      <c r="F1032" s="35"/>
      <c r="G1032" s="35"/>
      <c r="H1032" s="35"/>
      <c r="I1032" s="35"/>
      <c r="J1032" s="35"/>
      <c r="K1032" s="35"/>
      <c r="L1032" s="35"/>
      <c r="M1032" s="35"/>
      <c r="N1032" s="35"/>
      <c r="O1032" s="35"/>
      <c r="P1032" s="35"/>
      <c r="Q1032" s="35"/>
      <c r="R1032" s="35"/>
      <c r="S1032" s="35"/>
      <c r="T1032" s="35"/>
      <c r="U1032" s="35"/>
      <c r="V1032" s="35"/>
      <c r="W1032" s="35"/>
      <c r="X1032" s="35"/>
      <c r="Y1032" s="35"/>
      <c r="Z1032" s="35"/>
      <c r="AA1032" s="35"/>
      <c r="AB1032" s="35"/>
      <c r="AC1032" s="35"/>
      <c r="AD1032" s="35"/>
      <c r="AE1032" s="35"/>
      <c r="AF1032" s="35"/>
      <c r="AG1032" s="35"/>
      <c r="AH1032" s="35"/>
      <c r="AI1032" s="35"/>
      <c r="AJ1032" s="35"/>
      <c r="AK1032" s="35"/>
      <c r="AL1032" s="35"/>
      <c r="AM1032" s="35"/>
      <c r="AN1032" s="35"/>
      <c r="AO1032" s="35"/>
      <c r="AP1032" s="35"/>
      <c r="AQ1032" s="35"/>
      <c r="AR1032" s="35"/>
      <c r="AS1032" s="35"/>
      <c r="AT1032" s="35"/>
      <c r="AU1032" s="35"/>
      <c r="AV1032" s="35"/>
      <c r="AW1032" s="35"/>
      <c r="AX1032" s="35"/>
      <c r="AY1032" s="35"/>
      <c r="AZ1032" s="35"/>
      <c r="BA1032" s="35"/>
      <c r="BB1032" s="35"/>
      <c r="BC1032" s="35"/>
      <c r="BD1032" s="35"/>
      <c r="BE1032" s="35"/>
      <c r="BF1032" s="35"/>
      <c r="BG1032" s="35"/>
    </row>
    <row r="1033" ht="15.75" customHeight="1">
      <c r="A1033" s="35"/>
      <c r="B1033" s="35"/>
      <c r="C1033" s="35"/>
      <c r="D1033" s="35"/>
      <c r="E1033" s="35"/>
      <c r="F1033" s="35"/>
      <c r="G1033" s="35"/>
      <c r="H1033" s="35"/>
      <c r="I1033" s="35"/>
      <c r="J1033" s="35"/>
      <c r="K1033" s="35"/>
      <c r="L1033" s="35"/>
      <c r="M1033" s="35"/>
      <c r="N1033" s="35"/>
      <c r="O1033" s="35"/>
      <c r="P1033" s="35"/>
      <c r="Q1033" s="35"/>
      <c r="R1033" s="35"/>
      <c r="S1033" s="35"/>
      <c r="T1033" s="35"/>
      <c r="U1033" s="35"/>
      <c r="V1033" s="35"/>
      <c r="W1033" s="35"/>
      <c r="X1033" s="35"/>
      <c r="Y1033" s="35"/>
      <c r="Z1033" s="35"/>
      <c r="AA1033" s="35"/>
      <c r="AB1033" s="35"/>
      <c r="AC1033" s="35"/>
      <c r="AD1033" s="35"/>
      <c r="AE1033" s="35"/>
      <c r="AF1033" s="35"/>
      <c r="AG1033" s="35"/>
      <c r="AH1033" s="35"/>
      <c r="AI1033" s="35"/>
      <c r="AJ1033" s="35"/>
      <c r="AK1033" s="35"/>
      <c r="AL1033" s="35"/>
      <c r="AM1033" s="35"/>
      <c r="AN1033" s="35"/>
      <c r="AO1033" s="35"/>
      <c r="AP1033" s="35"/>
      <c r="AQ1033" s="35"/>
      <c r="AR1033" s="35"/>
      <c r="AS1033" s="35"/>
      <c r="AT1033" s="35"/>
      <c r="AU1033" s="35"/>
      <c r="AV1033" s="35"/>
      <c r="AW1033" s="35"/>
      <c r="AX1033" s="35"/>
      <c r="AY1033" s="35"/>
      <c r="AZ1033" s="35"/>
      <c r="BA1033" s="35"/>
      <c r="BB1033" s="35"/>
      <c r="BC1033" s="35"/>
      <c r="BD1033" s="35"/>
      <c r="BE1033" s="35"/>
      <c r="BF1033" s="35"/>
      <c r="BG1033" s="35"/>
    </row>
    <row r="1034" ht="15.75" customHeight="1">
      <c r="A1034" s="35"/>
      <c r="B1034" s="35"/>
      <c r="C1034" s="35"/>
      <c r="D1034" s="35"/>
      <c r="E1034" s="35"/>
      <c r="F1034" s="35"/>
      <c r="G1034" s="35"/>
      <c r="H1034" s="35"/>
      <c r="I1034" s="35"/>
      <c r="J1034" s="35"/>
      <c r="K1034" s="35"/>
      <c r="L1034" s="35"/>
      <c r="M1034" s="35"/>
      <c r="N1034" s="35"/>
      <c r="O1034" s="35"/>
      <c r="P1034" s="35"/>
      <c r="Q1034" s="35"/>
      <c r="R1034" s="35"/>
      <c r="S1034" s="35"/>
      <c r="T1034" s="35"/>
      <c r="U1034" s="35"/>
      <c r="V1034" s="35"/>
      <c r="W1034" s="35"/>
      <c r="X1034" s="35"/>
      <c r="Y1034" s="35"/>
      <c r="Z1034" s="35"/>
      <c r="AA1034" s="35"/>
      <c r="AB1034" s="35"/>
      <c r="AC1034" s="35"/>
      <c r="AD1034" s="35"/>
      <c r="AE1034" s="35"/>
      <c r="AF1034" s="35"/>
      <c r="AG1034" s="35"/>
      <c r="AH1034" s="35"/>
      <c r="AI1034" s="35"/>
      <c r="AJ1034" s="35"/>
      <c r="AK1034" s="35"/>
      <c r="AL1034" s="35"/>
      <c r="AM1034" s="35"/>
      <c r="AN1034" s="35"/>
      <c r="AO1034" s="35"/>
      <c r="AP1034" s="35"/>
      <c r="AQ1034" s="35"/>
      <c r="AR1034" s="35"/>
      <c r="AS1034" s="35"/>
      <c r="AT1034" s="35"/>
      <c r="AU1034" s="35"/>
      <c r="AV1034" s="35"/>
      <c r="AW1034" s="35"/>
      <c r="AX1034" s="35"/>
      <c r="AY1034" s="35"/>
      <c r="AZ1034" s="35"/>
      <c r="BA1034" s="35"/>
      <c r="BB1034" s="35"/>
      <c r="BC1034" s="35"/>
      <c r="BD1034" s="35"/>
      <c r="BE1034" s="35"/>
      <c r="BF1034" s="35"/>
      <c r="BG1034" s="35"/>
    </row>
    <row r="1035" ht="15.75" customHeight="1">
      <c r="A1035" s="35"/>
      <c r="B1035" s="35"/>
      <c r="C1035" s="35"/>
      <c r="D1035" s="35"/>
      <c r="E1035" s="35"/>
      <c r="F1035" s="35"/>
      <c r="G1035" s="35"/>
      <c r="H1035" s="35"/>
      <c r="I1035" s="35"/>
      <c r="J1035" s="35"/>
      <c r="K1035" s="35"/>
      <c r="L1035" s="35"/>
      <c r="M1035" s="35"/>
      <c r="N1035" s="35"/>
      <c r="O1035" s="35"/>
      <c r="P1035" s="35"/>
      <c r="Q1035" s="35"/>
      <c r="R1035" s="35"/>
      <c r="S1035" s="35"/>
      <c r="T1035" s="35"/>
      <c r="U1035" s="35"/>
      <c r="V1035" s="35"/>
      <c r="W1035" s="35"/>
      <c r="X1035" s="35"/>
      <c r="Y1035" s="35"/>
      <c r="Z1035" s="35"/>
      <c r="AA1035" s="35"/>
      <c r="AB1035" s="35"/>
      <c r="AC1035" s="35"/>
      <c r="AD1035" s="35"/>
      <c r="AE1035" s="35"/>
      <c r="AF1035" s="35"/>
      <c r="AG1035" s="35"/>
      <c r="AH1035" s="35"/>
      <c r="AI1035" s="35"/>
      <c r="AJ1035" s="35"/>
      <c r="AK1035" s="35"/>
      <c r="AL1035" s="35"/>
      <c r="AM1035" s="35"/>
      <c r="AN1035" s="35"/>
      <c r="AO1035" s="35"/>
      <c r="AP1035" s="35"/>
      <c r="AQ1035" s="35"/>
      <c r="AR1035" s="35"/>
      <c r="AS1035" s="35"/>
      <c r="AT1035" s="35"/>
      <c r="AU1035" s="35"/>
      <c r="AV1035" s="35"/>
      <c r="AW1035" s="35"/>
      <c r="AX1035" s="35"/>
      <c r="AY1035" s="35"/>
      <c r="AZ1035" s="35"/>
      <c r="BA1035" s="35"/>
      <c r="BB1035" s="35"/>
      <c r="BC1035" s="35"/>
      <c r="BD1035" s="35"/>
      <c r="BE1035" s="35"/>
      <c r="BF1035" s="35"/>
      <c r="BG1035" s="35"/>
    </row>
    <row r="1036" ht="15.75" customHeight="1">
      <c r="A1036" s="35"/>
      <c r="B1036" s="35"/>
      <c r="C1036" s="35"/>
      <c r="D1036" s="35"/>
      <c r="E1036" s="35"/>
      <c r="F1036" s="35"/>
      <c r="G1036" s="35"/>
      <c r="H1036" s="35"/>
      <c r="I1036" s="35"/>
      <c r="J1036" s="35"/>
      <c r="K1036" s="35"/>
      <c r="L1036" s="35"/>
      <c r="M1036" s="35"/>
      <c r="N1036" s="35"/>
      <c r="O1036" s="35"/>
      <c r="P1036" s="35"/>
      <c r="Q1036" s="35"/>
      <c r="R1036" s="35"/>
      <c r="S1036" s="35"/>
      <c r="T1036" s="35"/>
      <c r="U1036" s="35"/>
      <c r="V1036" s="35"/>
      <c r="W1036" s="35"/>
      <c r="X1036" s="35"/>
      <c r="Y1036" s="35"/>
      <c r="Z1036" s="35"/>
      <c r="AA1036" s="35"/>
      <c r="AB1036" s="35"/>
      <c r="AC1036" s="35"/>
      <c r="AD1036" s="35"/>
      <c r="AE1036" s="35"/>
      <c r="AF1036" s="35"/>
      <c r="AG1036" s="35"/>
      <c r="AH1036" s="35"/>
      <c r="AI1036" s="35"/>
      <c r="AJ1036" s="35"/>
      <c r="AK1036" s="35"/>
      <c r="AL1036" s="35"/>
      <c r="AM1036" s="35"/>
      <c r="AN1036" s="35"/>
      <c r="AO1036" s="35"/>
      <c r="AP1036" s="35"/>
      <c r="AQ1036" s="35"/>
      <c r="AR1036" s="35"/>
      <c r="AS1036" s="35"/>
      <c r="AT1036" s="35"/>
      <c r="AU1036" s="35"/>
      <c r="AV1036" s="35"/>
      <c r="AW1036" s="35"/>
      <c r="AX1036" s="35"/>
      <c r="AY1036" s="35"/>
      <c r="AZ1036" s="35"/>
      <c r="BA1036" s="35"/>
      <c r="BB1036" s="35"/>
      <c r="BC1036" s="35"/>
      <c r="BD1036" s="35"/>
      <c r="BE1036" s="35"/>
      <c r="BF1036" s="35"/>
      <c r="BG1036" s="35"/>
    </row>
    <row r="1037" ht="15.75" customHeight="1">
      <c r="A1037" s="35"/>
      <c r="B1037" s="35"/>
      <c r="C1037" s="35"/>
      <c r="D1037" s="35"/>
      <c r="E1037" s="35"/>
      <c r="F1037" s="35"/>
      <c r="G1037" s="35"/>
      <c r="H1037" s="35"/>
      <c r="I1037" s="35"/>
      <c r="J1037" s="35"/>
      <c r="K1037" s="35"/>
      <c r="L1037" s="35"/>
      <c r="M1037" s="35"/>
      <c r="N1037" s="35"/>
      <c r="O1037" s="35"/>
      <c r="P1037" s="35"/>
      <c r="Q1037" s="35"/>
      <c r="R1037" s="35"/>
      <c r="S1037" s="35"/>
      <c r="T1037" s="35"/>
      <c r="U1037" s="35"/>
      <c r="V1037" s="35"/>
      <c r="W1037" s="35"/>
      <c r="X1037" s="35"/>
      <c r="Y1037" s="35"/>
      <c r="Z1037" s="35"/>
      <c r="AA1037" s="35"/>
      <c r="AB1037" s="35"/>
      <c r="AC1037" s="35"/>
      <c r="AD1037" s="35"/>
      <c r="AE1037" s="35"/>
      <c r="AF1037" s="35"/>
      <c r="AG1037" s="35"/>
      <c r="AH1037" s="35"/>
      <c r="AI1037" s="35"/>
      <c r="AJ1037" s="35"/>
      <c r="AK1037" s="35"/>
      <c r="AL1037" s="35"/>
      <c r="AM1037" s="35"/>
      <c r="AN1037" s="35"/>
      <c r="AO1037" s="35"/>
      <c r="AP1037" s="35"/>
      <c r="AQ1037" s="35"/>
      <c r="AR1037" s="35"/>
      <c r="AS1037" s="35"/>
      <c r="AT1037" s="35"/>
      <c r="AU1037" s="35"/>
      <c r="AV1037" s="35"/>
      <c r="AW1037" s="35"/>
      <c r="AX1037" s="35"/>
      <c r="AY1037" s="35"/>
      <c r="AZ1037" s="35"/>
      <c r="BA1037" s="35"/>
      <c r="BB1037" s="35"/>
      <c r="BC1037" s="35"/>
      <c r="BD1037" s="35"/>
      <c r="BE1037" s="35"/>
      <c r="BF1037" s="35"/>
      <c r="BG1037" s="35"/>
    </row>
    <row r="1038" ht="15.75" customHeight="1">
      <c r="A1038" s="35"/>
      <c r="B1038" s="35"/>
      <c r="C1038" s="35"/>
      <c r="D1038" s="35"/>
      <c r="E1038" s="35"/>
      <c r="F1038" s="35"/>
      <c r="G1038" s="35"/>
      <c r="H1038" s="35"/>
      <c r="I1038" s="35"/>
      <c r="J1038" s="35"/>
      <c r="K1038" s="35"/>
      <c r="L1038" s="35"/>
      <c r="M1038" s="35"/>
      <c r="N1038" s="35"/>
      <c r="O1038" s="35"/>
      <c r="P1038" s="35"/>
      <c r="Q1038" s="35"/>
      <c r="R1038" s="35"/>
      <c r="S1038" s="35"/>
      <c r="T1038" s="35"/>
      <c r="U1038" s="35"/>
      <c r="V1038" s="35"/>
      <c r="W1038" s="35"/>
      <c r="X1038" s="35"/>
      <c r="Y1038" s="35"/>
      <c r="Z1038" s="35"/>
      <c r="AA1038" s="35"/>
      <c r="AB1038" s="35"/>
      <c r="AC1038" s="35"/>
      <c r="AD1038" s="35"/>
      <c r="AE1038" s="35"/>
      <c r="AF1038" s="35"/>
      <c r="AG1038" s="35"/>
      <c r="AH1038" s="35"/>
      <c r="AI1038" s="35"/>
      <c r="AJ1038" s="35"/>
      <c r="AK1038" s="35"/>
      <c r="AL1038" s="35"/>
      <c r="AM1038" s="35"/>
      <c r="AN1038" s="35"/>
      <c r="AO1038" s="35"/>
      <c r="AP1038" s="35"/>
      <c r="AQ1038" s="35"/>
      <c r="AR1038" s="35"/>
      <c r="AS1038" s="35"/>
      <c r="AT1038" s="35"/>
      <c r="AU1038" s="35"/>
      <c r="AV1038" s="35"/>
      <c r="AW1038" s="35"/>
      <c r="AX1038" s="35"/>
      <c r="AY1038" s="35"/>
      <c r="AZ1038" s="35"/>
      <c r="BA1038" s="35"/>
      <c r="BB1038" s="35"/>
      <c r="BC1038" s="35"/>
      <c r="BD1038" s="35"/>
      <c r="BE1038" s="35"/>
      <c r="BF1038" s="35"/>
      <c r="BG1038" s="35"/>
    </row>
    <row r="1039" ht="15.75" customHeight="1">
      <c r="A1039" s="35"/>
      <c r="B1039" s="35"/>
      <c r="C1039" s="35"/>
      <c r="D1039" s="35"/>
      <c r="E1039" s="35"/>
      <c r="F1039" s="35"/>
      <c r="G1039" s="35"/>
      <c r="H1039" s="35"/>
      <c r="I1039" s="35"/>
      <c r="J1039" s="35"/>
      <c r="K1039" s="35"/>
      <c r="L1039" s="35"/>
      <c r="M1039" s="35"/>
      <c r="N1039" s="35"/>
      <c r="O1039" s="35"/>
      <c r="P1039" s="35"/>
      <c r="Q1039" s="35"/>
      <c r="R1039" s="35"/>
      <c r="S1039" s="35"/>
      <c r="T1039" s="35"/>
      <c r="U1039" s="35"/>
      <c r="V1039" s="35"/>
      <c r="W1039" s="35"/>
      <c r="X1039" s="35"/>
      <c r="Y1039" s="35"/>
      <c r="Z1039" s="35"/>
      <c r="AA1039" s="35"/>
      <c r="AB1039" s="35"/>
      <c r="AC1039" s="35"/>
      <c r="AD1039" s="35"/>
      <c r="AE1039" s="35"/>
      <c r="AF1039" s="35"/>
      <c r="AG1039" s="35"/>
      <c r="AH1039" s="35"/>
      <c r="AI1039" s="35"/>
      <c r="AJ1039" s="35"/>
      <c r="AK1039" s="35"/>
      <c r="AL1039" s="35"/>
      <c r="AM1039" s="35"/>
      <c r="AN1039" s="35"/>
      <c r="AO1039" s="35"/>
      <c r="AP1039" s="35"/>
      <c r="AQ1039" s="35"/>
      <c r="AR1039" s="35"/>
      <c r="AS1039" s="35"/>
      <c r="AT1039" s="35"/>
      <c r="AU1039" s="35"/>
      <c r="AV1039" s="35"/>
      <c r="AW1039" s="35"/>
      <c r="AX1039" s="35"/>
      <c r="AY1039" s="35"/>
      <c r="AZ1039" s="35"/>
      <c r="BA1039" s="35"/>
      <c r="BB1039" s="35"/>
      <c r="BC1039" s="35"/>
      <c r="BD1039" s="35"/>
      <c r="BE1039" s="35"/>
      <c r="BF1039" s="35"/>
      <c r="BG1039" s="35"/>
    </row>
    <row r="1040" ht="15.75" customHeight="1">
      <c r="A1040" s="35"/>
      <c r="B1040" s="35"/>
      <c r="C1040" s="35"/>
      <c r="D1040" s="35"/>
      <c r="E1040" s="35"/>
      <c r="F1040" s="35"/>
      <c r="G1040" s="35"/>
      <c r="H1040" s="35"/>
      <c r="I1040" s="35"/>
      <c r="J1040" s="35"/>
      <c r="K1040" s="35"/>
      <c r="L1040" s="35"/>
      <c r="M1040" s="35"/>
      <c r="N1040" s="35"/>
      <c r="O1040" s="35"/>
      <c r="P1040" s="35"/>
      <c r="Q1040" s="35"/>
      <c r="R1040" s="35"/>
      <c r="S1040" s="35"/>
      <c r="T1040" s="35"/>
      <c r="U1040" s="35"/>
      <c r="V1040" s="35"/>
      <c r="W1040" s="35"/>
      <c r="X1040" s="35"/>
      <c r="Y1040" s="35"/>
      <c r="Z1040" s="35"/>
      <c r="AA1040" s="35"/>
      <c r="AB1040" s="35"/>
      <c r="AC1040" s="35"/>
      <c r="AD1040" s="35"/>
      <c r="AE1040" s="35"/>
      <c r="AF1040" s="35"/>
      <c r="AG1040" s="35"/>
      <c r="AH1040" s="35"/>
      <c r="AI1040" s="35"/>
      <c r="AJ1040" s="35"/>
      <c r="AK1040" s="35"/>
      <c r="AL1040" s="35"/>
      <c r="AM1040" s="35"/>
      <c r="AN1040" s="35"/>
      <c r="AO1040" s="35"/>
      <c r="AP1040" s="35"/>
      <c r="AQ1040" s="35"/>
      <c r="AR1040" s="35"/>
      <c r="AS1040" s="35"/>
      <c r="AT1040" s="35"/>
      <c r="AU1040" s="35"/>
      <c r="AV1040" s="35"/>
      <c r="AW1040" s="35"/>
      <c r="AX1040" s="35"/>
      <c r="AY1040" s="35"/>
      <c r="AZ1040" s="35"/>
      <c r="BA1040" s="35"/>
      <c r="BB1040" s="35"/>
      <c r="BC1040" s="35"/>
      <c r="BD1040" s="35"/>
      <c r="BE1040" s="35"/>
      <c r="BF1040" s="35"/>
      <c r="BG1040" s="35"/>
    </row>
    <row r="1041" ht="15.75" customHeight="1">
      <c r="A1041" s="35"/>
      <c r="B1041" s="35"/>
      <c r="C1041" s="35"/>
      <c r="D1041" s="35"/>
      <c r="E1041" s="35"/>
      <c r="F1041" s="35"/>
      <c r="G1041" s="35"/>
      <c r="H1041" s="35"/>
      <c r="I1041" s="35"/>
      <c r="J1041" s="35"/>
      <c r="K1041" s="35"/>
      <c r="L1041" s="35"/>
      <c r="M1041" s="35"/>
      <c r="N1041" s="35"/>
      <c r="O1041" s="35"/>
      <c r="P1041" s="35"/>
      <c r="Q1041" s="35"/>
      <c r="R1041" s="35"/>
      <c r="S1041" s="35"/>
      <c r="T1041" s="35"/>
      <c r="U1041" s="35"/>
      <c r="V1041" s="35"/>
      <c r="W1041" s="35"/>
      <c r="X1041" s="35"/>
      <c r="Y1041" s="35"/>
      <c r="Z1041" s="35"/>
      <c r="AA1041" s="35"/>
      <c r="AB1041" s="35"/>
      <c r="AC1041" s="35"/>
      <c r="AD1041" s="35"/>
      <c r="AE1041" s="35"/>
      <c r="AF1041" s="35"/>
      <c r="AG1041" s="35"/>
      <c r="AH1041" s="35"/>
      <c r="AI1041" s="35"/>
      <c r="AJ1041" s="35"/>
      <c r="AK1041" s="35"/>
      <c r="AL1041" s="35"/>
      <c r="AM1041" s="35"/>
      <c r="AN1041" s="35"/>
      <c r="AO1041" s="35"/>
      <c r="AP1041" s="35"/>
      <c r="AQ1041" s="35"/>
      <c r="AR1041" s="35"/>
      <c r="AS1041" s="35"/>
      <c r="AT1041" s="35"/>
      <c r="AU1041" s="35"/>
      <c r="AV1041" s="35"/>
      <c r="AW1041" s="35"/>
      <c r="AX1041" s="35"/>
      <c r="AY1041" s="35"/>
      <c r="AZ1041" s="35"/>
      <c r="BA1041" s="35"/>
      <c r="BB1041" s="35"/>
      <c r="BC1041" s="35"/>
      <c r="BD1041" s="35"/>
      <c r="BE1041" s="35"/>
      <c r="BF1041" s="35"/>
      <c r="BG1041" s="35"/>
    </row>
    <row r="1042" ht="15.75" customHeight="1">
      <c r="A1042" s="35"/>
      <c r="B1042" s="35"/>
      <c r="C1042" s="35"/>
      <c r="D1042" s="35"/>
      <c r="E1042" s="35"/>
      <c r="F1042" s="35"/>
      <c r="G1042" s="35"/>
      <c r="H1042" s="35"/>
      <c r="I1042" s="35"/>
      <c r="J1042" s="35"/>
      <c r="K1042" s="35"/>
      <c r="L1042" s="35"/>
      <c r="M1042" s="35"/>
      <c r="N1042" s="35"/>
      <c r="O1042" s="35"/>
      <c r="P1042" s="35"/>
      <c r="Q1042" s="35"/>
      <c r="R1042" s="35"/>
      <c r="S1042" s="35"/>
      <c r="T1042" s="35"/>
      <c r="U1042" s="35"/>
      <c r="V1042" s="35"/>
      <c r="W1042" s="35"/>
      <c r="X1042" s="35"/>
      <c r="Y1042" s="35"/>
      <c r="Z1042" s="35"/>
      <c r="AA1042" s="35"/>
      <c r="AB1042" s="35"/>
      <c r="AC1042" s="35"/>
      <c r="AD1042" s="35"/>
      <c r="AE1042" s="35"/>
      <c r="AF1042" s="35"/>
      <c r="AG1042" s="35"/>
      <c r="AH1042" s="35"/>
      <c r="AI1042" s="35"/>
      <c r="AJ1042" s="35"/>
      <c r="AK1042" s="35"/>
      <c r="AL1042" s="35"/>
      <c r="AM1042" s="35"/>
      <c r="AN1042" s="35"/>
      <c r="AO1042" s="35"/>
      <c r="AP1042" s="35"/>
      <c r="AQ1042" s="35"/>
      <c r="AR1042" s="35"/>
      <c r="AS1042" s="35"/>
      <c r="AT1042" s="35"/>
      <c r="AU1042" s="35"/>
      <c r="AV1042" s="35"/>
      <c r="AW1042" s="35"/>
      <c r="AX1042" s="35"/>
      <c r="AY1042" s="35"/>
      <c r="AZ1042" s="35"/>
      <c r="BA1042" s="35"/>
      <c r="BB1042" s="35"/>
      <c r="BC1042" s="35"/>
      <c r="BD1042" s="35"/>
      <c r="BE1042" s="35"/>
      <c r="BF1042" s="35"/>
      <c r="BG1042" s="35"/>
    </row>
    <row r="1043" ht="15.75" customHeight="1">
      <c r="A1043" s="35"/>
      <c r="B1043" s="35"/>
      <c r="C1043" s="35"/>
      <c r="D1043" s="35"/>
      <c r="E1043" s="35"/>
      <c r="F1043" s="35"/>
      <c r="G1043" s="35"/>
      <c r="H1043" s="35"/>
      <c r="I1043" s="35"/>
      <c r="J1043" s="35"/>
      <c r="K1043" s="35"/>
      <c r="L1043" s="35"/>
      <c r="M1043" s="35"/>
      <c r="N1043" s="35"/>
      <c r="O1043" s="35"/>
      <c r="P1043" s="35"/>
      <c r="Q1043" s="35"/>
      <c r="R1043" s="35"/>
      <c r="S1043" s="35"/>
      <c r="T1043" s="35"/>
      <c r="U1043" s="35"/>
      <c r="V1043" s="35"/>
      <c r="W1043" s="35"/>
      <c r="X1043" s="35"/>
      <c r="Y1043" s="35"/>
      <c r="Z1043" s="35"/>
      <c r="AA1043" s="35"/>
      <c r="AB1043" s="35"/>
      <c r="AC1043" s="35"/>
      <c r="AD1043" s="35"/>
      <c r="AE1043" s="35"/>
      <c r="AF1043" s="35"/>
      <c r="AG1043" s="35"/>
      <c r="AH1043" s="35"/>
      <c r="AI1043" s="35"/>
      <c r="AJ1043" s="35"/>
      <c r="AK1043" s="35"/>
      <c r="AL1043" s="35"/>
      <c r="AM1043" s="35"/>
      <c r="AN1043" s="35"/>
      <c r="AO1043" s="35"/>
      <c r="AP1043" s="35"/>
      <c r="AQ1043" s="35"/>
      <c r="AR1043" s="35"/>
      <c r="AS1043" s="35"/>
      <c r="AT1043" s="35"/>
      <c r="AU1043" s="35"/>
      <c r="AV1043" s="35"/>
      <c r="AW1043" s="35"/>
      <c r="AX1043" s="35"/>
      <c r="AY1043" s="35"/>
      <c r="AZ1043" s="35"/>
      <c r="BA1043" s="35"/>
      <c r="BB1043" s="35"/>
      <c r="BC1043" s="35"/>
      <c r="BD1043" s="35"/>
      <c r="BE1043" s="35"/>
      <c r="BF1043" s="35"/>
      <c r="BG1043" s="35"/>
    </row>
    <row r="1044" ht="15.75" customHeight="1">
      <c r="A1044" s="35"/>
      <c r="B1044" s="35"/>
      <c r="C1044" s="35"/>
      <c r="D1044" s="35"/>
      <c r="E1044" s="35"/>
      <c r="F1044" s="35"/>
      <c r="G1044" s="35"/>
      <c r="H1044" s="35"/>
      <c r="I1044" s="35"/>
      <c r="J1044" s="35"/>
      <c r="K1044" s="35"/>
      <c r="L1044" s="35"/>
      <c r="M1044" s="35"/>
      <c r="N1044" s="35"/>
      <c r="O1044" s="35"/>
      <c r="P1044" s="35"/>
      <c r="Q1044" s="35"/>
      <c r="R1044" s="35"/>
      <c r="S1044" s="35"/>
      <c r="T1044" s="35"/>
      <c r="U1044" s="35"/>
      <c r="V1044" s="35"/>
      <c r="W1044" s="35"/>
      <c r="X1044" s="35"/>
      <c r="Y1044" s="35"/>
      <c r="Z1044" s="35"/>
      <c r="AA1044" s="35"/>
      <c r="AB1044" s="35"/>
      <c r="AC1044" s="35"/>
      <c r="AD1044" s="35"/>
      <c r="AE1044" s="35"/>
      <c r="AF1044" s="35"/>
      <c r="AG1044" s="35"/>
      <c r="AH1044" s="35"/>
      <c r="AI1044" s="35"/>
      <c r="AJ1044" s="35"/>
      <c r="AK1044" s="35"/>
      <c r="AL1044" s="35"/>
      <c r="AM1044" s="35"/>
      <c r="AN1044" s="35"/>
      <c r="AO1044" s="35"/>
      <c r="AP1044" s="35"/>
      <c r="AQ1044" s="35"/>
      <c r="AR1044" s="35"/>
      <c r="AS1044" s="35"/>
      <c r="AT1044" s="35"/>
      <c r="AU1044" s="35"/>
      <c r="AV1044" s="35"/>
      <c r="AW1044" s="35"/>
      <c r="AX1044" s="35"/>
      <c r="AY1044" s="35"/>
      <c r="AZ1044" s="35"/>
      <c r="BA1044" s="35"/>
      <c r="BB1044" s="35"/>
      <c r="BC1044" s="35"/>
      <c r="BD1044" s="35"/>
      <c r="BE1044" s="35"/>
      <c r="BF1044" s="35"/>
      <c r="BG1044" s="35"/>
    </row>
    <row r="1045" ht="15.75" customHeight="1">
      <c r="A1045" s="35"/>
      <c r="B1045" s="35"/>
      <c r="C1045" s="35"/>
      <c r="D1045" s="35"/>
      <c r="E1045" s="35"/>
      <c r="F1045" s="35"/>
      <c r="G1045" s="35"/>
      <c r="H1045" s="35"/>
      <c r="I1045" s="35"/>
      <c r="J1045" s="35"/>
      <c r="K1045" s="35"/>
      <c r="L1045" s="35"/>
      <c r="M1045" s="35"/>
      <c r="N1045" s="35"/>
      <c r="O1045" s="35"/>
      <c r="P1045" s="35"/>
      <c r="Q1045" s="35"/>
      <c r="R1045" s="35"/>
      <c r="S1045" s="35"/>
      <c r="T1045" s="35"/>
      <c r="U1045" s="35"/>
      <c r="V1045" s="35"/>
      <c r="W1045" s="35"/>
      <c r="X1045" s="35"/>
      <c r="Y1045" s="35"/>
      <c r="Z1045" s="35"/>
      <c r="AA1045" s="35"/>
      <c r="AB1045" s="35"/>
      <c r="AC1045" s="35"/>
      <c r="AD1045" s="35"/>
      <c r="AE1045" s="35"/>
      <c r="AF1045" s="35"/>
      <c r="AG1045" s="35"/>
      <c r="AH1045" s="35"/>
      <c r="AI1045" s="35"/>
      <c r="AJ1045" s="35"/>
      <c r="AK1045" s="35"/>
      <c r="AL1045" s="35"/>
      <c r="AM1045" s="35"/>
      <c r="AN1045" s="35"/>
      <c r="AO1045" s="35"/>
      <c r="AP1045" s="35"/>
      <c r="AQ1045" s="35"/>
      <c r="AR1045" s="35"/>
      <c r="AS1045" s="35"/>
      <c r="AT1045" s="35"/>
      <c r="AU1045" s="35"/>
      <c r="AV1045" s="35"/>
      <c r="AW1045" s="35"/>
      <c r="AX1045" s="35"/>
      <c r="AY1045" s="35"/>
      <c r="AZ1045" s="35"/>
      <c r="BA1045" s="35"/>
      <c r="BB1045" s="35"/>
      <c r="BC1045" s="35"/>
      <c r="BD1045" s="35"/>
      <c r="BE1045" s="35"/>
      <c r="BF1045" s="35"/>
      <c r="BG1045" s="35"/>
    </row>
    <row r="1046" ht="15.75" customHeight="1">
      <c r="A1046" s="35"/>
      <c r="B1046" s="35"/>
      <c r="C1046" s="35"/>
      <c r="D1046" s="35"/>
      <c r="E1046" s="35"/>
      <c r="F1046" s="35"/>
      <c r="G1046" s="35"/>
      <c r="H1046" s="35"/>
      <c r="I1046" s="35"/>
      <c r="J1046" s="35"/>
      <c r="K1046" s="35"/>
      <c r="L1046" s="35"/>
      <c r="M1046" s="35"/>
      <c r="N1046" s="35"/>
      <c r="O1046" s="35"/>
      <c r="P1046" s="35"/>
      <c r="Q1046" s="35"/>
      <c r="R1046" s="35"/>
      <c r="S1046" s="35"/>
      <c r="T1046" s="35"/>
      <c r="U1046" s="35"/>
      <c r="V1046" s="35"/>
      <c r="W1046" s="35"/>
      <c r="X1046" s="35"/>
      <c r="Y1046" s="35"/>
      <c r="Z1046" s="35"/>
      <c r="AA1046" s="35"/>
      <c r="AB1046" s="35"/>
      <c r="AC1046" s="35"/>
      <c r="AD1046" s="35"/>
      <c r="AE1046" s="35"/>
      <c r="AF1046" s="35"/>
      <c r="AG1046" s="35"/>
      <c r="AH1046" s="35"/>
      <c r="AI1046" s="35"/>
      <c r="AJ1046" s="35"/>
      <c r="AK1046" s="35"/>
      <c r="AL1046" s="35"/>
      <c r="AM1046" s="35"/>
      <c r="AN1046" s="35"/>
      <c r="AO1046" s="35"/>
      <c r="AP1046" s="35"/>
      <c r="AQ1046" s="35"/>
      <c r="AR1046" s="35"/>
      <c r="AS1046" s="35"/>
      <c r="AT1046" s="35"/>
      <c r="AU1046" s="35"/>
      <c r="AV1046" s="35"/>
      <c r="AW1046" s="35"/>
      <c r="AX1046" s="35"/>
      <c r="AY1046" s="35"/>
      <c r="AZ1046" s="35"/>
      <c r="BA1046" s="35"/>
      <c r="BB1046" s="35"/>
      <c r="BC1046" s="35"/>
      <c r="BD1046" s="35"/>
      <c r="BE1046" s="35"/>
      <c r="BF1046" s="35"/>
      <c r="BG1046" s="35"/>
    </row>
    <row r="1047" ht="15.75" customHeight="1">
      <c r="A1047" s="35"/>
      <c r="B1047" s="35"/>
      <c r="C1047" s="35"/>
      <c r="D1047" s="35"/>
      <c r="E1047" s="35"/>
      <c r="F1047" s="35"/>
      <c r="G1047" s="35"/>
      <c r="H1047" s="35"/>
      <c r="I1047" s="35"/>
      <c r="J1047" s="35"/>
      <c r="K1047" s="35"/>
      <c r="L1047" s="35"/>
      <c r="M1047" s="35"/>
      <c r="N1047" s="35"/>
      <c r="O1047" s="35"/>
      <c r="P1047" s="35"/>
      <c r="Q1047" s="35"/>
      <c r="R1047" s="35"/>
      <c r="S1047" s="35"/>
      <c r="T1047" s="35"/>
      <c r="U1047" s="35"/>
      <c r="V1047" s="35"/>
      <c r="W1047" s="35"/>
      <c r="X1047" s="35"/>
      <c r="Y1047" s="35"/>
      <c r="Z1047" s="35"/>
      <c r="AA1047" s="35"/>
      <c r="AB1047" s="35"/>
      <c r="AC1047" s="35"/>
      <c r="AD1047" s="35"/>
      <c r="AE1047" s="35"/>
      <c r="AF1047" s="35"/>
      <c r="AG1047" s="35"/>
      <c r="AH1047" s="35"/>
      <c r="AI1047" s="35"/>
      <c r="AJ1047" s="35"/>
      <c r="AK1047" s="35"/>
      <c r="AL1047" s="35"/>
      <c r="AM1047" s="35"/>
      <c r="AN1047" s="35"/>
      <c r="AO1047" s="35"/>
      <c r="AP1047" s="35"/>
      <c r="AQ1047" s="35"/>
      <c r="AR1047" s="35"/>
      <c r="AS1047" s="35"/>
      <c r="AT1047" s="35"/>
      <c r="AU1047" s="35"/>
      <c r="AV1047" s="35"/>
      <c r="AW1047" s="35"/>
      <c r="AX1047" s="35"/>
      <c r="AY1047" s="35"/>
      <c r="AZ1047" s="35"/>
      <c r="BA1047" s="35"/>
      <c r="BB1047" s="35"/>
      <c r="BC1047" s="35"/>
      <c r="BD1047" s="35"/>
      <c r="BE1047" s="35"/>
      <c r="BF1047" s="35"/>
      <c r="BG1047" s="35"/>
    </row>
    <row r="1048" ht="15.75" customHeight="1">
      <c r="A1048" s="35"/>
      <c r="B1048" s="35"/>
      <c r="C1048" s="35"/>
      <c r="D1048" s="35"/>
      <c r="E1048" s="35"/>
      <c r="F1048" s="35"/>
      <c r="G1048" s="35"/>
      <c r="H1048" s="35"/>
      <c r="I1048" s="35"/>
      <c r="J1048" s="35"/>
      <c r="K1048" s="35"/>
      <c r="L1048" s="35"/>
      <c r="M1048" s="35"/>
      <c r="N1048" s="35"/>
      <c r="O1048" s="35"/>
      <c r="P1048" s="35"/>
      <c r="Q1048" s="35"/>
      <c r="R1048" s="35"/>
      <c r="S1048" s="35"/>
      <c r="T1048" s="35"/>
      <c r="U1048" s="35"/>
      <c r="V1048" s="35"/>
      <c r="W1048" s="35"/>
      <c r="X1048" s="35"/>
      <c r="Y1048" s="35"/>
      <c r="Z1048" s="35"/>
      <c r="AA1048" s="35"/>
      <c r="AB1048" s="35"/>
      <c r="AC1048" s="35"/>
      <c r="AD1048" s="35"/>
      <c r="AE1048" s="35"/>
      <c r="AF1048" s="35"/>
      <c r="AG1048" s="35"/>
      <c r="AH1048" s="35"/>
      <c r="AI1048" s="35"/>
      <c r="AJ1048" s="35"/>
      <c r="AK1048" s="35"/>
      <c r="AL1048" s="35"/>
      <c r="AM1048" s="35"/>
      <c r="AN1048" s="35"/>
      <c r="AO1048" s="35"/>
      <c r="AP1048" s="35"/>
      <c r="AQ1048" s="35"/>
      <c r="AR1048" s="35"/>
      <c r="AS1048" s="35"/>
      <c r="AT1048" s="35"/>
      <c r="AU1048" s="35"/>
      <c r="AV1048" s="35"/>
      <c r="AW1048" s="35"/>
      <c r="AX1048" s="35"/>
      <c r="AY1048" s="35"/>
      <c r="AZ1048" s="35"/>
      <c r="BA1048" s="35"/>
      <c r="BB1048" s="35"/>
      <c r="BC1048" s="35"/>
      <c r="BD1048" s="35"/>
      <c r="BE1048" s="35"/>
      <c r="BF1048" s="35"/>
      <c r="BG1048" s="35"/>
    </row>
    <row r="1049" ht="15.75" customHeight="1">
      <c r="A1049" s="35"/>
      <c r="B1049" s="35"/>
      <c r="C1049" s="35"/>
      <c r="D1049" s="35"/>
      <c r="E1049" s="35"/>
      <c r="F1049" s="35"/>
      <c r="G1049" s="35"/>
      <c r="H1049" s="35"/>
      <c r="I1049" s="35"/>
      <c r="J1049" s="35"/>
      <c r="K1049" s="35"/>
      <c r="L1049" s="35"/>
      <c r="M1049" s="35"/>
      <c r="N1049" s="35"/>
      <c r="O1049" s="35"/>
      <c r="P1049" s="35"/>
      <c r="Q1049" s="35"/>
      <c r="R1049" s="35"/>
      <c r="S1049" s="35"/>
      <c r="T1049" s="35"/>
      <c r="U1049" s="35"/>
      <c r="V1049" s="35"/>
      <c r="W1049" s="35"/>
      <c r="X1049" s="35"/>
      <c r="Y1049" s="35"/>
      <c r="Z1049" s="35"/>
      <c r="AA1049" s="35"/>
      <c r="AB1049" s="35"/>
      <c r="AC1049" s="35"/>
      <c r="AD1049" s="35"/>
      <c r="AE1049" s="35"/>
      <c r="AF1049" s="35"/>
      <c r="AG1049" s="35"/>
      <c r="AH1049" s="35"/>
      <c r="AI1049" s="35"/>
      <c r="AJ1049" s="35"/>
      <c r="AK1049" s="35"/>
      <c r="AL1049" s="35"/>
      <c r="AM1049" s="35"/>
      <c r="AN1049" s="35"/>
      <c r="AO1049" s="35"/>
      <c r="AP1049" s="35"/>
      <c r="AQ1049" s="35"/>
      <c r="AR1049" s="35"/>
      <c r="AS1049" s="35"/>
      <c r="AT1049" s="35"/>
      <c r="AU1049" s="35"/>
      <c r="AV1049" s="35"/>
      <c r="AW1049" s="35"/>
      <c r="AX1049" s="35"/>
      <c r="AY1049" s="35"/>
      <c r="AZ1049" s="35"/>
      <c r="BA1049" s="35"/>
      <c r="BB1049" s="35"/>
      <c r="BC1049" s="35"/>
      <c r="BD1049" s="35"/>
      <c r="BE1049" s="35"/>
      <c r="BF1049" s="35"/>
      <c r="BG1049" s="35"/>
    </row>
    <row r="1050" ht="15.75" customHeight="1">
      <c r="A1050" s="35"/>
      <c r="B1050" s="35"/>
      <c r="C1050" s="35"/>
      <c r="D1050" s="35"/>
      <c r="E1050" s="35"/>
      <c r="F1050" s="35"/>
      <c r="G1050" s="35"/>
      <c r="H1050" s="35"/>
      <c r="I1050" s="35"/>
      <c r="J1050" s="35"/>
      <c r="K1050" s="35"/>
      <c r="L1050" s="35"/>
      <c r="M1050" s="35"/>
      <c r="N1050" s="35"/>
      <c r="O1050" s="35"/>
      <c r="P1050" s="35"/>
      <c r="Q1050" s="35"/>
      <c r="R1050" s="35"/>
      <c r="S1050" s="35"/>
      <c r="T1050" s="35"/>
      <c r="U1050" s="35"/>
      <c r="V1050" s="35"/>
      <c r="W1050" s="35"/>
      <c r="X1050" s="35"/>
      <c r="Y1050" s="35"/>
      <c r="Z1050" s="35"/>
      <c r="AA1050" s="35"/>
      <c r="AB1050" s="35"/>
      <c r="AC1050" s="35"/>
      <c r="AD1050" s="35"/>
      <c r="AE1050" s="35"/>
      <c r="AF1050" s="35"/>
      <c r="AG1050" s="35"/>
      <c r="AH1050" s="35"/>
      <c r="AI1050" s="35"/>
      <c r="AJ1050" s="35"/>
      <c r="AK1050" s="35"/>
      <c r="AL1050" s="35"/>
      <c r="AM1050" s="35"/>
      <c r="AN1050" s="35"/>
      <c r="AO1050" s="35"/>
      <c r="AP1050" s="35"/>
      <c r="AQ1050" s="35"/>
      <c r="AR1050" s="35"/>
      <c r="AS1050" s="35"/>
      <c r="AT1050" s="35"/>
      <c r="AU1050" s="35"/>
      <c r="AV1050" s="35"/>
      <c r="AW1050" s="35"/>
      <c r="AX1050" s="35"/>
      <c r="AY1050" s="35"/>
      <c r="AZ1050" s="35"/>
      <c r="BA1050" s="35"/>
      <c r="BB1050" s="35"/>
      <c r="BC1050" s="35"/>
      <c r="BD1050" s="35"/>
      <c r="BE1050" s="35"/>
      <c r="BF1050" s="35"/>
      <c r="BG1050" s="35"/>
    </row>
    <row r="1051" ht="15.75" customHeight="1">
      <c r="A1051" s="35"/>
      <c r="B1051" s="35"/>
      <c r="C1051" s="35"/>
      <c r="D1051" s="35"/>
      <c r="E1051" s="35"/>
      <c r="F1051" s="35"/>
      <c r="G1051" s="35"/>
      <c r="H1051" s="35"/>
      <c r="I1051" s="35"/>
      <c r="J1051" s="35"/>
      <c r="K1051" s="35"/>
      <c r="L1051" s="35"/>
      <c r="M1051" s="35"/>
      <c r="N1051" s="35"/>
      <c r="O1051" s="35"/>
      <c r="P1051" s="35"/>
      <c r="Q1051" s="35"/>
      <c r="R1051" s="35"/>
      <c r="S1051" s="35"/>
      <c r="T1051" s="35"/>
      <c r="U1051" s="35"/>
      <c r="V1051" s="35"/>
      <c r="W1051" s="35"/>
      <c r="X1051" s="35"/>
      <c r="Y1051" s="35"/>
      <c r="Z1051" s="35"/>
      <c r="AA1051" s="35"/>
      <c r="AB1051" s="35"/>
      <c r="AC1051" s="35"/>
      <c r="AD1051" s="35"/>
      <c r="AE1051" s="35"/>
      <c r="AF1051" s="35"/>
      <c r="AG1051" s="35"/>
      <c r="AH1051" s="35"/>
      <c r="AI1051" s="35"/>
      <c r="AJ1051" s="35"/>
      <c r="AK1051" s="35"/>
      <c r="AL1051" s="35"/>
      <c r="AM1051" s="35"/>
      <c r="AN1051" s="35"/>
      <c r="AO1051" s="35"/>
      <c r="AP1051" s="35"/>
      <c r="AQ1051" s="35"/>
      <c r="AR1051" s="35"/>
      <c r="AS1051" s="35"/>
      <c r="AT1051" s="35"/>
      <c r="AU1051" s="35"/>
      <c r="AV1051" s="35"/>
      <c r="AW1051" s="35"/>
      <c r="AX1051" s="35"/>
      <c r="AY1051" s="35"/>
      <c r="AZ1051" s="35"/>
      <c r="BA1051" s="35"/>
      <c r="BB1051" s="35"/>
      <c r="BC1051" s="35"/>
      <c r="BD1051" s="35"/>
      <c r="BE1051" s="35"/>
      <c r="BF1051" s="35"/>
      <c r="BG1051" s="35"/>
    </row>
    <row r="1052" ht="15.75" customHeight="1">
      <c r="A1052" s="35"/>
      <c r="B1052" s="35"/>
      <c r="C1052" s="35"/>
      <c r="D1052" s="35"/>
      <c r="E1052" s="35"/>
      <c r="F1052" s="35"/>
      <c r="G1052" s="35"/>
      <c r="H1052" s="35"/>
      <c r="I1052" s="35"/>
      <c r="J1052" s="35"/>
      <c r="K1052" s="35"/>
      <c r="L1052" s="35"/>
      <c r="M1052" s="35"/>
      <c r="N1052" s="35"/>
      <c r="O1052" s="35"/>
      <c r="P1052" s="35"/>
      <c r="Q1052" s="35"/>
      <c r="R1052" s="35"/>
      <c r="S1052" s="35"/>
      <c r="T1052" s="35"/>
      <c r="U1052" s="35"/>
      <c r="V1052" s="35"/>
      <c r="W1052" s="35"/>
      <c r="X1052" s="35"/>
      <c r="Y1052" s="35"/>
      <c r="Z1052" s="35"/>
      <c r="AA1052" s="35"/>
      <c r="AB1052" s="35"/>
      <c r="AC1052" s="35"/>
      <c r="AD1052" s="35"/>
      <c r="AE1052" s="35"/>
      <c r="AF1052" s="35"/>
      <c r="AG1052" s="35"/>
      <c r="AH1052" s="35"/>
      <c r="AI1052" s="35"/>
      <c r="AJ1052" s="35"/>
      <c r="AK1052" s="35"/>
      <c r="AL1052" s="35"/>
      <c r="AM1052" s="35"/>
      <c r="AN1052" s="35"/>
      <c r="AO1052" s="35"/>
      <c r="AP1052" s="35"/>
      <c r="AQ1052" s="35"/>
      <c r="AR1052" s="35"/>
      <c r="AS1052" s="35"/>
      <c r="AT1052" s="35"/>
      <c r="AU1052" s="35"/>
      <c r="AV1052" s="35"/>
      <c r="AW1052" s="35"/>
      <c r="AX1052" s="35"/>
      <c r="AY1052" s="35"/>
      <c r="AZ1052" s="35"/>
      <c r="BA1052" s="35"/>
      <c r="BB1052" s="35"/>
      <c r="BC1052" s="35"/>
      <c r="BD1052" s="35"/>
      <c r="BE1052" s="35"/>
      <c r="BF1052" s="35"/>
      <c r="BG1052" s="35"/>
    </row>
    <row r="1053" ht="15.75" customHeight="1">
      <c r="A1053" s="35"/>
      <c r="B1053" s="35"/>
      <c r="C1053" s="35"/>
      <c r="D1053" s="35"/>
      <c r="E1053" s="35"/>
      <c r="F1053" s="35"/>
      <c r="G1053" s="35"/>
      <c r="H1053" s="35"/>
      <c r="I1053" s="35"/>
      <c r="J1053" s="35"/>
      <c r="K1053" s="35"/>
      <c r="L1053" s="35"/>
      <c r="M1053" s="35"/>
      <c r="N1053" s="35"/>
      <c r="O1053" s="35"/>
      <c r="P1053" s="35"/>
      <c r="Q1053" s="35"/>
      <c r="R1053" s="35"/>
      <c r="S1053" s="35"/>
      <c r="T1053" s="35"/>
      <c r="U1053" s="35"/>
      <c r="V1053" s="35"/>
      <c r="W1053" s="35"/>
      <c r="X1053" s="35"/>
      <c r="Y1053" s="35"/>
      <c r="Z1053" s="35"/>
      <c r="AA1053" s="35"/>
      <c r="AB1053" s="35"/>
      <c r="AC1053" s="35"/>
      <c r="AD1053" s="35"/>
      <c r="AE1053" s="35"/>
      <c r="AF1053" s="35"/>
      <c r="AG1053" s="35"/>
      <c r="AH1053" s="35"/>
      <c r="AI1053" s="35"/>
      <c r="AJ1053" s="35"/>
      <c r="AK1053" s="35"/>
      <c r="AL1053" s="35"/>
      <c r="AM1053" s="35"/>
      <c r="AN1053" s="35"/>
      <c r="AO1053" s="35"/>
      <c r="AP1053" s="35"/>
      <c r="AQ1053" s="35"/>
      <c r="AR1053" s="35"/>
      <c r="AS1053" s="35"/>
      <c r="AT1053" s="35"/>
      <c r="AU1053" s="35"/>
      <c r="AV1053" s="35"/>
      <c r="AW1053" s="35"/>
      <c r="AX1053" s="35"/>
      <c r="AY1053" s="35"/>
      <c r="AZ1053" s="35"/>
      <c r="BA1053" s="35"/>
      <c r="BB1053" s="35"/>
      <c r="BC1053" s="35"/>
      <c r="BD1053" s="35"/>
      <c r="BE1053" s="35"/>
      <c r="BF1053" s="35"/>
      <c r="BG1053" s="35"/>
    </row>
    <row r="1054" ht="15.75" customHeight="1">
      <c r="A1054" s="35"/>
      <c r="B1054" s="35"/>
      <c r="C1054" s="35"/>
      <c r="D1054" s="35"/>
      <c r="E1054" s="35"/>
      <c r="F1054" s="35"/>
      <c r="G1054" s="35"/>
      <c r="H1054" s="35"/>
      <c r="I1054" s="35"/>
      <c r="J1054" s="35"/>
      <c r="K1054" s="35"/>
      <c r="L1054" s="35"/>
      <c r="M1054" s="35"/>
      <c r="N1054" s="35"/>
      <c r="O1054" s="35"/>
      <c r="P1054" s="35"/>
      <c r="Q1054" s="35"/>
      <c r="R1054" s="35"/>
      <c r="S1054" s="35"/>
      <c r="T1054" s="35"/>
      <c r="U1054" s="35"/>
      <c r="V1054" s="35"/>
      <c r="W1054" s="35"/>
      <c r="X1054" s="35"/>
      <c r="Y1054" s="35"/>
      <c r="Z1054" s="35"/>
      <c r="AA1054" s="35"/>
      <c r="AB1054" s="35"/>
      <c r="AC1054" s="35"/>
      <c r="AD1054" s="35"/>
      <c r="AE1054" s="35"/>
      <c r="AF1054" s="35"/>
      <c r="AG1054" s="35"/>
      <c r="AH1054" s="35"/>
      <c r="AI1054" s="35"/>
      <c r="AJ1054" s="35"/>
      <c r="AK1054" s="35"/>
      <c r="AL1054" s="35"/>
      <c r="AM1054" s="35"/>
      <c r="AN1054" s="35"/>
      <c r="AO1054" s="35"/>
      <c r="AP1054" s="35"/>
      <c r="AQ1054" s="35"/>
      <c r="AR1054" s="35"/>
      <c r="AS1054" s="35"/>
      <c r="AT1054" s="35"/>
      <c r="AU1054" s="35"/>
      <c r="AV1054" s="35"/>
      <c r="AW1054" s="35"/>
      <c r="AX1054" s="35"/>
      <c r="AY1054" s="35"/>
      <c r="AZ1054" s="35"/>
      <c r="BA1054" s="35"/>
      <c r="BB1054" s="35"/>
      <c r="BC1054" s="35"/>
      <c r="BD1054" s="35"/>
      <c r="BE1054" s="35"/>
      <c r="BF1054" s="35"/>
      <c r="BG1054" s="35"/>
    </row>
    <row r="1055" ht="15.75" customHeight="1">
      <c r="A1055" s="35"/>
      <c r="B1055" s="35"/>
      <c r="C1055" s="35"/>
      <c r="D1055" s="35"/>
      <c r="E1055" s="35"/>
      <c r="F1055" s="35"/>
      <c r="G1055" s="35"/>
      <c r="H1055" s="35"/>
      <c r="I1055" s="35"/>
      <c r="J1055" s="35"/>
      <c r="K1055" s="35"/>
      <c r="L1055" s="35"/>
      <c r="M1055" s="35"/>
      <c r="N1055" s="35"/>
      <c r="O1055" s="35"/>
      <c r="P1055" s="35"/>
      <c r="Q1055" s="35"/>
      <c r="R1055" s="35"/>
      <c r="S1055" s="35"/>
      <c r="T1055" s="35"/>
      <c r="U1055" s="35"/>
      <c r="V1055" s="35"/>
      <c r="W1055" s="35"/>
      <c r="X1055" s="35"/>
      <c r="Y1055" s="35"/>
      <c r="Z1055" s="35"/>
      <c r="AA1055" s="35"/>
      <c r="AB1055" s="35"/>
      <c r="AC1055" s="35"/>
      <c r="AD1055" s="35"/>
      <c r="AE1055" s="35"/>
      <c r="AF1055" s="35"/>
      <c r="AG1055" s="35"/>
      <c r="AH1055" s="35"/>
      <c r="AI1055" s="35"/>
      <c r="AJ1055" s="35"/>
      <c r="AK1055" s="35"/>
      <c r="AL1055" s="35"/>
      <c r="AM1055" s="35"/>
      <c r="AN1055" s="35"/>
      <c r="AO1055" s="35"/>
      <c r="AP1055" s="35"/>
      <c r="AQ1055" s="35"/>
      <c r="AR1055" s="35"/>
      <c r="AS1055" s="35"/>
      <c r="AT1055" s="35"/>
      <c r="AU1055" s="35"/>
      <c r="AV1055" s="35"/>
      <c r="AW1055" s="35"/>
      <c r="AX1055" s="35"/>
      <c r="AY1055" s="35"/>
      <c r="AZ1055" s="35"/>
      <c r="BA1055" s="35"/>
      <c r="BB1055" s="35"/>
      <c r="BC1055" s="35"/>
      <c r="BD1055" s="35"/>
      <c r="BE1055" s="35"/>
      <c r="BF1055" s="35"/>
      <c r="BG1055" s="35"/>
    </row>
    <row r="1056" ht="15.75" customHeight="1">
      <c r="A1056" s="35"/>
      <c r="B1056" s="35"/>
      <c r="C1056" s="35"/>
      <c r="D1056" s="35"/>
      <c r="E1056" s="35"/>
      <c r="F1056" s="35"/>
      <c r="G1056" s="35"/>
      <c r="H1056" s="35"/>
      <c r="I1056" s="35"/>
      <c r="J1056" s="35"/>
      <c r="K1056" s="35"/>
      <c r="L1056" s="35"/>
      <c r="M1056" s="35"/>
      <c r="N1056" s="35"/>
      <c r="O1056" s="35"/>
      <c r="P1056" s="35"/>
      <c r="Q1056" s="35"/>
      <c r="R1056" s="35"/>
      <c r="S1056" s="35"/>
      <c r="T1056" s="35"/>
      <c r="U1056" s="35"/>
      <c r="V1056" s="35"/>
      <c r="W1056" s="35"/>
      <c r="X1056" s="35"/>
      <c r="Y1056" s="35"/>
      <c r="Z1056" s="35"/>
      <c r="AA1056" s="35"/>
      <c r="AB1056" s="35"/>
      <c r="AC1056" s="35"/>
      <c r="AD1056" s="35"/>
      <c r="AE1056" s="35"/>
      <c r="AF1056" s="35"/>
      <c r="AG1056" s="35"/>
      <c r="AH1056" s="35"/>
      <c r="AI1056" s="35"/>
      <c r="AJ1056" s="35"/>
      <c r="AK1056" s="35"/>
      <c r="AL1056" s="35"/>
      <c r="AM1056" s="35"/>
      <c r="AN1056" s="35"/>
      <c r="AO1056" s="35"/>
      <c r="AP1056" s="35"/>
      <c r="AQ1056" s="35"/>
      <c r="AR1056" s="35"/>
      <c r="AS1056" s="35"/>
      <c r="AT1056" s="35"/>
      <c r="AU1056" s="35"/>
      <c r="AV1056" s="35"/>
      <c r="AW1056" s="35"/>
      <c r="AX1056" s="35"/>
      <c r="AY1056" s="35"/>
      <c r="AZ1056" s="35"/>
      <c r="BA1056" s="35"/>
      <c r="BB1056" s="35"/>
      <c r="BC1056" s="35"/>
      <c r="BD1056" s="35"/>
      <c r="BE1056" s="35"/>
      <c r="BF1056" s="35"/>
      <c r="BG1056" s="35"/>
    </row>
    <row r="1057" ht="15.75" customHeight="1">
      <c r="A1057" s="35"/>
      <c r="B1057" s="35"/>
      <c r="C1057" s="35"/>
      <c r="D1057" s="35"/>
      <c r="E1057" s="35"/>
      <c r="F1057" s="35"/>
      <c r="G1057" s="35"/>
      <c r="H1057" s="35"/>
      <c r="I1057" s="35"/>
      <c r="J1057" s="35"/>
      <c r="K1057" s="35"/>
      <c r="L1057" s="35"/>
      <c r="M1057" s="35"/>
      <c r="N1057" s="35"/>
      <c r="O1057" s="35"/>
      <c r="P1057" s="35"/>
      <c r="Q1057" s="35"/>
      <c r="R1057" s="35"/>
      <c r="S1057" s="35"/>
      <c r="T1057" s="35"/>
      <c r="U1057" s="35"/>
      <c r="V1057" s="35"/>
      <c r="W1057" s="35"/>
      <c r="X1057" s="35"/>
      <c r="Y1057" s="35"/>
      <c r="Z1057" s="35"/>
      <c r="AA1057" s="35"/>
      <c r="AB1057" s="35"/>
      <c r="AC1057" s="35"/>
      <c r="AD1057" s="35"/>
      <c r="AE1057" s="35"/>
      <c r="AF1057" s="35"/>
      <c r="AG1057" s="35"/>
      <c r="AH1057" s="35"/>
      <c r="AI1057" s="35"/>
      <c r="AJ1057" s="35"/>
      <c r="AK1057" s="35"/>
      <c r="AL1057" s="35"/>
      <c r="AM1057" s="35"/>
      <c r="AN1057" s="35"/>
      <c r="AO1057" s="35"/>
      <c r="AP1057" s="35"/>
      <c r="AQ1057" s="35"/>
      <c r="AR1057" s="35"/>
      <c r="AS1057" s="35"/>
      <c r="AT1057" s="35"/>
      <c r="AU1057" s="35"/>
      <c r="AV1057" s="35"/>
      <c r="AW1057" s="35"/>
      <c r="AX1057" s="35"/>
      <c r="AY1057" s="35"/>
      <c r="AZ1057" s="35"/>
      <c r="BA1057" s="35"/>
      <c r="BB1057" s="35"/>
      <c r="BC1057" s="35"/>
      <c r="BD1057" s="35"/>
      <c r="BE1057" s="35"/>
      <c r="BF1057" s="35"/>
      <c r="BG1057" s="35"/>
    </row>
    <row r="1058" ht="15.75" customHeight="1">
      <c r="A1058" s="35"/>
      <c r="B1058" s="35"/>
      <c r="C1058" s="35"/>
      <c r="D1058" s="35"/>
      <c r="E1058" s="35"/>
      <c r="F1058" s="35"/>
      <c r="G1058" s="35"/>
      <c r="H1058" s="35"/>
      <c r="I1058" s="35"/>
      <c r="J1058" s="35"/>
      <c r="K1058" s="35"/>
      <c r="L1058" s="35"/>
      <c r="M1058" s="35"/>
      <c r="N1058" s="35"/>
      <c r="O1058" s="35"/>
      <c r="P1058" s="35"/>
      <c r="Q1058" s="35"/>
      <c r="R1058" s="35"/>
      <c r="S1058" s="35"/>
      <c r="T1058" s="35"/>
      <c r="U1058" s="35"/>
      <c r="V1058" s="35"/>
      <c r="W1058" s="35"/>
      <c r="X1058" s="35"/>
      <c r="Y1058" s="35"/>
      <c r="Z1058" s="35"/>
      <c r="AA1058" s="35"/>
      <c r="AB1058" s="35"/>
      <c r="AC1058" s="35"/>
      <c r="AD1058" s="35"/>
      <c r="AE1058" s="35"/>
      <c r="AF1058" s="35"/>
      <c r="AG1058" s="35"/>
      <c r="AH1058" s="35"/>
      <c r="AI1058" s="35"/>
      <c r="AJ1058" s="35"/>
      <c r="AK1058" s="35"/>
      <c r="AL1058" s="35"/>
      <c r="AM1058" s="35"/>
      <c r="AN1058" s="35"/>
      <c r="AO1058" s="35"/>
      <c r="AP1058" s="35"/>
      <c r="AQ1058" s="35"/>
      <c r="AR1058" s="35"/>
      <c r="AS1058" s="35"/>
      <c r="AT1058" s="35"/>
      <c r="AU1058" s="35"/>
      <c r="AV1058" s="35"/>
      <c r="AW1058" s="35"/>
      <c r="AX1058" s="35"/>
      <c r="AY1058" s="35"/>
      <c r="AZ1058" s="35"/>
      <c r="BA1058" s="35"/>
      <c r="BB1058" s="35"/>
      <c r="BC1058" s="35"/>
      <c r="BD1058" s="35"/>
      <c r="BE1058" s="35"/>
      <c r="BF1058" s="35"/>
      <c r="BG1058" s="35"/>
    </row>
    <row r="1059" ht="15.75" customHeight="1">
      <c r="A1059" s="35"/>
      <c r="B1059" s="35"/>
      <c r="C1059" s="35"/>
      <c r="D1059" s="35"/>
      <c r="E1059" s="35"/>
      <c r="F1059" s="35"/>
      <c r="G1059" s="35"/>
      <c r="H1059" s="35"/>
      <c r="I1059" s="35"/>
      <c r="J1059" s="35"/>
      <c r="K1059" s="35"/>
      <c r="L1059" s="35"/>
      <c r="M1059" s="35"/>
      <c r="N1059" s="35"/>
      <c r="O1059" s="35"/>
      <c r="P1059" s="35"/>
      <c r="Q1059" s="35"/>
      <c r="R1059" s="35"/>
      <c r="S1059" s="35"/>
      <c r="T1059" s="35"/>
      <c r="U1059" s="35"/>
      <c r="V1059" s="35"/>
      <c r="W1059" s="35"/>
      <c r="X1059" s="35"/>
      <c r="Y1059" s="35"/>
      <c r="Z1059" s="35"/>
      <c r="AA1059" s="35"/>
      <c r="AB1059" s="35"/>
      <c r="AC1059" s="35"/>
      <c r="AD1059" s="35"/>
      <c r="AE1059" s="35"/>
      <c r="AF1059" s="35"/>
      <c r="AG1059" s="35"/>
      <c r="AH1059" s="35"/>
      <c r="AI1059" s="35"/>
      <c r="AJ1059" s="35"/>
      <c r="AK1059" s="35"/>
      <c r="AL1059" s="35"/>
      <c r="AM1059" s="35"/>
      <c r="AN1059" s="35"/>
      <c r="AO1059" s="35"/>
      <c r="AP1059" s="35"/>
      <c r="AQ1059" s="35"/>
      <c r="AR1059" s="35"/>
      <c r="AS1059" s="35"/>
      <c r="AT1059" s="35"/>
      <c r="AU1059" s="35"/>
      <c r="AV1059" s="35"/>
      <c r="AW1059" s="35"/>
      <c r="AX1059" s="35"/>
      <c r="AY1059" s="35"/>
      <c r="AZ1059" s="35"/>
      <c r="BA1059" s="35"/>
      <c r="BB1059" s="35"/>
      <c r="BC1059" s="35"/>
      <c r="BD1059" s="35"/>
      <c r="BE1059" s="35"/>
      <c r="BF1059" s="35"/>
      <c r="BG1059" s="35"/>
    </row>
    <row r="1060" ht="15.75" customHeight="1">
      <c r="A1060" s="35"/>
      <c r="B1060" s="35"/>
      <c r="C1060" s="35"/>
      <c r="D1060" s="35"/>
      <c r="E1060" s="35"/>
      <c r="F1060" s="35"/>
      <c r="G1060" s="35"/>
      <c r="H1060" s="35"/>
      <c r="I1060" s="35"/>
      <c r="J1060" s="35"/>
      <c r="K1060" s="35"/>
      <c r="L1060" s="35"/>
      <c r="M1060" s="35"/>
      <c r="N1060" s="35"/>
      <c r="O1060" s="35"/>
      <c r="P1060" s="35"/>
      <c r="Q1060" s="35"/>
      <c r="R1060" s="35"/>
      <c r="S1060" s="35"/>
      <c r="T1060" s="35"/>
      <c r="U1060" s="35"/>
      <c r="V1060" s="35"/>
      <c r="W1060" s="35"/>
      <c r="X1060" s="35"/>
      <c r="Y1060" s="35"/>
      <c r="Z1060" s="35"/>
      <c r="AA1060" s="35"/>
      <c r="AB1060" s="35"/>
      <c r="AC1060" s="35"/>
      <c r="AD1060" s="35"/>
      <c r="AE1060" s="35"/>
      <c r="AF1060" s="35"/>
      <c r="AG1060" s="35"/>
      <c r="AH1060" s="35"/>
      <c r="AI1060" s="35"/>
      <c r="AJ1060" s="35"/>
      <c r="AK1060" s="35"/>
      <c r="AL1060" s="35"/>
      <c r="AM1060" s="35"/>
      <c r="AN1060" s="35"/>
      <c r="AO1060" s="35"/>
      <c r="AP1060" s="35"/>
      <c r="AQ1060" s="35"/>
      <c r="AR1060" s="35"/>
      <c r="AS1060" s="35"/>
      <c r="AT1060" s="35"/>
      <c r="AU1060" s="35"/>
      <c r="AV1060" s="35"/>
      <c r="AW1060" s="35"/>
      <c r="AX1060" s="35"/>
      <c r="AY1060" s="35"/>
      <c r="AZ1060" s="35"/>
      <c r="BA1060" s="35"/>
      <c r="BB1060" s="35"/>
      <c r="BC1060" s="35"/>
      <c r="BD1060" s="35"/>
      <c r="BE1060" s="35"/>
      <c r="BF1060" s="35"/>
      <c r="BG1060" s="35"/>
    </row>
    <row r="1061" ht="15.75" customHeight="1">
      <c r="A1061" s="35"/>
      <c r="B1061" s="35"/>
      <c r="C1061" s="35"/>
      <c r="D1061" s="35"/>
      <c r="E1061" s="35"/>
      <c r="F1061" s="35"/>
      <c r="G1061" s="35"/>
      <c r="H1061" s="35"/>
      <c r="I1061" s="35"/>
      <c r="J1061" s="35"/>
      <c r="K1061" s="35"/>
      <c r="L1061" s="35"/>
      <c r="M1061" s="35"/>
      <c r="N1061" s="35"/>
      <c r="O1061" s="35"/>
      <c r="P1061" s="35"/>
      <c r="Q1061" s="35"/>
      <c r="R1061" s="35"/>
      <c r="S1061" s="35"/>
      <c r="T1061" s="35"/>
      <c r="U1061" s="35"/>
      <c r="V1061" s="35"/>
      <c r="W1061" s="35"/>
      <c r="X1061" s="35"/>
      <c r="Y1061" s="35"/>
      <c r="Z1061" s="35"/>
      <c r="AA1061" s="35"/>
      <c r="AB1061" s="35"/>
      <c r="AC1061" s="35"/>
      <c r="AD1061" s="35"/>
      <c r="AE1061" s="35"/>
      <c r="AF1061" s="35"/>
      <c r="AG1061" s="35"/>
      <c r="AH1061" s="35"/>
      <c r="AI1061" s="35"/>
      <c r="AJ1061" s="35"/>
      <c r="AK1061" s="35"/>
      <c r="AL1061" s="35"/>
      <c r="AM1061" s="35"/>
      <c r="AN1061" s="35"/>
      <c r="AO1061" s="35"/>
      <c r="AP1061" s="35"/>
      <c r="AQ1061" s="35"/>
      <c r="AR1061" s="35"/>
      <c r="AS1061" s="35"/>
      <c r="AT1061" s="35"/>
      <c r="AU1061" s="35"/>
      <c r="AV1061" s="35"/>
      <c r="AW1061" s="35"/>
      <c r="AX1061" s="35"/>
      <c r="AY1061" s="35"/>
      <c r="AZ1061" s="35"/>
      <c r="BA1061" s="35"/>
      <c r="BB1061" s="35"/>
      <c r="BC1061" s="35"/>
      <c r="BD1061" s="35"/>
      <c r="BE1061" s="35"/>
      <c r="BF1061" s="35"/>
      <c r="BG1061" s="35"/>
    </row>
    <row r="1062" ht="15.75" customHeight="1">
      <c r="A1062" s="35"/>
      <c r="B1062" s="35"/>
      <c r="C1062" s="35"/>
      <c r="D1062" s="35"/>
      <c r="E1062" s="35"/>
      <c r="F1062" s="35"/>
      <c r="G1062" s="35"/>
      <c r="H1062" s="35"/>
      <c r="I1062" s="35"/>
      <c r="J1062" s="35"/>
      <c r="K1062" s="35"/>
      <c r="L1062" s="35"/>
      <c r="M1062" s="35"/>
      <c r="N1062" s="35"/>
      <c r="O1062" s="35"/>
      <c r="P1062" s="35"/>
      <c r="Q1062" s="35"/>
      <c r="R1062" s="35"/>
      <c r="S1062" s="35"/>
      <c r="T1062" s="35"/>
      <c r="U1062" s="35"/>
      <c r="V1062" s="35"/>
      <c r="W1062" s="35"/>
      <c r="X1062" s="35"/>
      <c r="Y1062" s="35"/>
      <c r="Z1062" s="35"/>
      <c r="AA1062" s="35"/>
      <c r="AB1062" s="35"/>
      <c r="AC1062" s="35"/>
      <c r="AD1062" s="35"/>
      <c r="AE1062" s="35"/>
      <c r="AF1062" s="35"/>
      <c r="AG1062" s="35"/>
      <c r="AH1062" s="35"/>
      <c r="AI1062" s="35"/>
      <c r="AJ1062" s="35"/>
      <c r="AK1062" s="35"/>
      <c r="AL1062" s="35"/>
      <c r="AM1062" s="35"/>
      <c r="AN1062" s="35"/>
      <c r="AO1062" s="35"/>
      <c r="AP1062" s="35"/>
      <c r="AQ1062" s="35"/>
      <c r="AR1062" s="35"/>
      <c r="AS1062" s="35"/>
      <c r="AT1062" s="35"/>
      <c r="AU1062" s="35"/>
      <c r="AV1062" s="35"/>
      <c r="AW1062" s="35"/>
      <c r="AX1062" s="35"/>
      <c r="AY1062" s="35"/>
      <c r="AZ1062" s="35"/>
      <c r="BA1062" s="35"/>
      <c r="BB1062" s="35"/>
      <c r="BC1062" s="35"/>
      <c r="BD1062" s="35"/>
      <c r="BE1062" s="35"/>
      <c r="BF1062" s="35"/>
      <c r="BG1062" s="35"/>
    </row>
    <row r="1063" ht="15.75" customHeight="1">
      <c r="A1063" s="35"/>
      <c r="B1063" s="35"/>
      <c r="C1063" s="35"/>
      <c r="D1063" s="35"/>
      <c r="E1063" s="35"/>
      <c r="F1063" s="35"/>
      <c r="G1063" s="35"/>
      <c r="H1063" s="35"/>
      <c r="I1063" s="35"/>
      <c r="J1063" s="35"/>
      <c r="K1063" s="35"/>
      <c r="L1063" s="35"/>
      <c r="M1063" s="35"/>
      <c r="N1063" s="35"/>
      <c r="O1063" s="35"/>
      <c r="P1063" s="35"/>
      <c r="Q1063" s="35"/>
      <c r="R1063" s="35"/>
      <c r="S1063" s="35"/>
      <c r="T1063" s="35"/>
      <c r="U1063" s="35"/>
      <c r="V1063" s="35"/>
      <c r="W1063" s="35"/>
      <c r="X1063" s="35"/>
      <c r="Y1063" s="35"/>
      <c r="Z1063" s="35"/>
      <c r="AA1063" s="35"/>
      <c r="AB1063" s="35"/>
      <c r="AC1063" s="35"/>
      <c r="AD1063" s="35"/>
      <c r="AE1063" s="35"/>
      <c r="AF1063" s="35"/>
      <c r="AG1063" s="35"/>
      <c r="AH1063" s="35"/>
      <c r="AI1063" s="35"/>
      <c r="AJ1063" s="35"/>
      <c r="AK1063" s="35"/>
      <c r="AL1063" s="35"/>
      <c r="AM1063" s="35"/>
      <c r="AN1063" s="35"/>
      <c r="AO1063" s="35"/>
      <c r="AP1063" s="35"/>
      <c r="AQ1063" s="35"/>
      <c r="AR1063" s="35"/>
      <c r="AS1063" s="35"/>
      <c r="AT1063" s="35"/>
      <c r="AU1063" s="35"/>
      <c r="AV1063" s="35"/>
      <c r="AW1063" s="35"/>
      <c r="AX1063" s="35"/>
      <c r="AY1063" s="35"/>
      <c r="AZ1063" s="35"/>
      <c r="BA1063" s="35"/>
      <c r="BB1063" s="35"/>
      <c r="BC1063" s="35"/>
      <c r="BD1063" s="35"/>
      <c r="BE1063" s="35"/>
      <c r="BF1063" s="35"/>
      <c r="BG1063" s="35"/>
    </row>
    <row r="1064" ht="15.75" customHeight="1">
      <c r="A1064" s="35"/>
      <c r="B1064" s="35"/>
      <c r="C1064" s="35"/>
      <c r="D1064" s="35"/>
      <c r="E1064" s="35"/>
      <c r="F1064" s="35"/>
      <c r="G1064" s="35"/>
      <c r="H1064" s="35"/>
      <c r="I1064" s="35"/>
      <c r="J1064" s="35"/>
      <c r="K1064" s="35"/>
      <c r="L1064" s="35"/>
      <c r="M1064" s="35"/>
      <c r="N1064" s="35"/>
      <c r="O1064" s="35"/>
      <c r="P1064" s="35"/>
      <c r="Q1064" s="35"/>
      <c r="R1064" s="35"/>
      <c r="S1064" s="35"/>
      <c r="T1064" s="35"/>
      <c r="U1064" s="35"/>
      <c r="V1064" s="35"/>
      <c r="W1064" s="35"/>
      <c r="X1064" s="35"/>
      <c r="Y1064" s="35"/>
      <c r="Z1064" s="35"/>
      <c r="AA1064" s="35"/>
      <c r="AB1064" s="35"/>
      <c r="AC1064" s="35"/>
      <c r="AD1064" s="35"/>
      <c r="AE1064" s="35"/>
      <c r="AF1064" s="35"/>
      <c r="AG1064" s="35"/>
      <c r="AH1064" s="35"/>
      <c r="AI1064" s="35"/>
      <c r="AJ1064" s="35"/>
      <c r="AK1064" s="35"/>
      <c r="AL1064" s="35"/>
      <c r="AM1064" s="35"/>
      <c r="AN1064" s="35"/>
      <c r="AO1064" s="35"/>
      <c r="AP1064" s="35"/>
      <c r="AQ1064" s="35"/>
      <c r="AR1064" s="35"/>
      <c r="AS1064" s="35"/>
      <c r="AT1064" s="35"/>
      <c r="AU1064" s="35"/>
      <c r="AV1064" s="35"/>
      <c r="AW1064" s="35"/>
      <c r="AX1064" s="35"/>
      <c r="AY1064" s="35"/>
      <c r="AZ1064" s="35"/>
      <c r="BA1064" s="35"/>
      <c r="BB1064" s="35"/>
      <c r="BC1064" s="35"/>
      <c r="BD1064" s="35"/>
      <c r="BE1064" s="35"/>
      <c r="BF1064" s="35"/>
      <c r="BG1064" s="35"/>
    </row>
    <row r="1065" ht="15.75" customHeight="1">
      <c r="A1065" s="35"/>
      <c r="B1065" s="35"/>
      <c r="C1065" s="35"/>
      <c r="D1065" s="35"/>
      <c r="E1065" s="35"/>
      <c r="F1065" s="35"/>
      <c r="G1065" s="35"/>
      <c r="H1065" s="35"/>
      <c r="I1065" s="35"/>
      <c r="J1065" s="35"/>
      <c r="K1065" s="35"/>
      <c r="L1065" s="35"/>
      <c r="M1065" s="35"/>
      <c r="N1065" s="35"/>
      <c r="O1065" s="35"/>
      <c r="P1065" s="35"/>
      <c r="Q1065" s="35"/>
      <c r="R1065" s="35"/>
      <c r="S1065" s="35"/>
      <c r="T1065" s="35"/>
      <c r="U1065" s="35"/>
      <c r="V1065" s="35"/>
      <c r="W1065" s="35"/>
      <c r="X1065" s="35"/>
      <c r="Y1065" s="35"/>
      <c r="Z1065" s="35"/>
      <c r="AA1065" s="35"/>
      <c r="AB1065" s="35"/>
      <c r="AC1065" s="35"/>
      <c r="AD1065" s="35"/>
      <c r="AE1065" s="35"/>
      <c r="AF1065" s="35"/>
      <c r="AG1065" s="35"/>
      <c r="AH1065" s="35"/>
      <c r="AI1065" s="35"/>
      <c r="AJ1065" s="35"/>
      <c r="AK1065" s="35"/>
      <c r="AL1065" s="35"/>
      <c r="AM1065" s="35"/>
      <c r="AN1065" s="35"/>
      <c r="AO1065" s="35"/>
      <c r="AP1065" s="35"/>
      <c r="AQ1065" s="35"/>
      <c r="AR1065" s="35"/>
      <c r="AS1065" s="35"/>
      <c r="AT1065" s="35"/>
      <c r="AU1065" s="35"/>
      <c r="AV1065" s="35"/>
      <c r="AW1065" s="35"/>
      <c r="AX1065" s="35"/>
      <c r="AY1065" s="35"/>
      <c r="AZ1065" s="35"/>
      <c r="BA1065" s="35"/>
      <c r="BB1065" s="35"/>
      <c r="BC1065" s="35"/>
      <c r="BD1065" s="35"/>
      <c r="BE1065" s="35"/>
      <c r="BF1065" s="35"/>
      <c r="BG1065" s="35"/>
    </row>
    <row r="1066" ht="15.75" customHeight="1">
      <c r="A1066" s="35"/>
      <c r="B1066" s="35"/>
      <c r="C1066" s="35"/>
      <c r="D1066" s="35"/>
      <c r="E1066" s="35"/>
      <c r="F1066" s="35"/>
      <c r="G1066" s="35"/>
      <c r="H1066" s="35"/>
      <c r="I1066" s="35"/>
      <c r="J1066" s="35"/>
      <c r="K1066" s="35"/>
      <c r="L1066" s="35"/>
      <c r="M1066" s="35"/>
      <c r="N1066" s="35"/>
      <c r="O1066" s="35"/>
      <c r="P1066" s="35"/>
      <c r="Q1066" s="35"/>
      <c r="R1066" s="35"/>
      <c r="S1066" s="35"/>
      <c r="T1066" s="35"/>
      <c r="U1066" s="35"/>
      <c r="V1066" s="35"/>
      <c r="W1066" s="35"/>
      <c r="X1066" s="35"/>
      <c r="Y1066" s="35"/>
      <c r="Z1066" s="35"/>
      <c r="AA1066" s="35"/>
      <c r="AB1066" s="35"/>
      <c r="AC1066" s="35"/>
      <c r="AD1066" s="35"/>
      <c r="AE1066" s="35"/>
      <c r="AF1066" s="35"/>
      <c r="AG1066" s="35"/>
      <c r="AH1066" s="35"/>
      <c r="AI1066" s="35"/>
      <c r="AJ1066" s="35"/>
      <c r="AK1066" s="35"/>
      <c r="AL1066" s="35"/>
      <c r="AM1066" s="35"/>
      <c r="AN1066" s="35"/>
      <c r="AO1066" s="35"/>
      <c r="AP1066" s="35"/>
      <c r="AQ1066" s="35"/>
      <c r="AR1066" s="35"/>
      <c r="AS1066" s="35"/>
      <c r="AT1066" s="35"/>
      <c r="AU1066" s="35"/>
      <c r="AV1066" s="35"/>
      <c r="AW1066" s="35"/>
      <c r="AX1066" s="35"/>
      <c r="AY1066" s="35"/>
      <c r="AZ1066" s="35"/>
      <c r="BA1066" s="35"/>
      <c r="BB1066" s="35"/>
      <c r="BC1066" s="35"/>
      <c r="BD1066" s="35"/>
      <c r="BE1066" s="35"/>
      <c r="BF1066" s="35"/>
      <c r="BG1066" s="35"/>
    </row>
    <row r="1067" ht="15.75" customHeight="1">
      <c r="A1067" s="35"/>
      <c r="B1067" s="35"/>
      <c r="C1067" s="35"/>
      <c r="D1067" s="35"/>
      <c r="E1067" s="35"/>
      <c r="F1067" s="35"/>
      <c r="G1067" s="35"/>
      <c r="H1067" s="35"/>
      <c r="I1067" s="35"/>
      <c r="J1067" s="35"/>
      <c r="K1067" s="35"/>
      <c r="L1067" s="35"/>
      <c r="M1067" s="35"/>
      <c r="N1067" s="35"/>
      <c r="O1067" s="35"/>
      <c r="P1067" s="35"/>
      <c r="Q1067" s="35"/>
      <c r="R1067" s="35"/>
      <c r="S1067" s="35"/>
      <c r="T1067" s="35"/>
      <c r="U1067" s="35"/>
      <c r="V1067" s="35"/>
      <c r="W1067" s="35"/>
      <c r="X1067" s="35"/>
      <c r="Y1067" s="35"/>
      <c r="Z1067" s="35"/>
      <c r="AA1067" s="35"/>
      <c r="AB1067" s="35"/>
      <c r="AC1067" s="35"/>
      <c r="AD1067" s="35"/>
      <c r="AE1067" s="35"/>
      <c r="AF1067" s="35"/>
      <c r="AG1067" s="35"/>
      <c r="AH1067" s="35"/>
      <c r="AI1067" s="35"/>
      <c r="AJ1067" s="35"/>
      <c r="AK1067" s="35"/>
      <c r="AL1067" s="35"/>
      <c r="AM1067" s="35"/>
      <c r="AN1067" s="35"/>
      <c r="AO1067" s="35"/>
      <c r="AP1067" s="35"/>
      <c r="AQ1067" s="35"/>
      <c r="AR1067" s="35"/>
      <c r="AS1067" s="35"/>
      <c r="AT1067" s="35"/>
      <c r="AU1067" s="35"/>
      <c r="AV1067" s="35"/>
      <c r="AW1067" s="35"/>
      <c r="AX1067" s="35"/>
      <c r="AY1067" s="35"/>
      <c r="AZ1067" s="35"/>
      <c r="BA1067" s="35"/>
      <c r="BB1067" s="35"/>
      <c r="BC1067" s="35"/>
      <c r="BD1067" s="35"/>
      <c r="BE1067" s="35"/>
      <c r="BF1067" s="35"/>
      <c r="BG1067" s="35"/>
    </row>
    <row r="1068" ht="15.75" customHeight="1">
      <c r="A1068" s="35"/>
      <c r="B1068" s="35"/>
      <c r="C1068" s="35"/>
      <c r="D1068" s="35"/>
      <c r="E1068" s="35"/>
      <c r="F1068" s="35"/>
      <c r="G1068" s="35"/>
      <c r="H1068" s="35"/>
      <c r="I1068" s="35"/>
      <c r="J1068" s="35"/>
      <c r="K1068" s="35"/>
      <c r="L1068" s="35"/>
      <c r="M1068" s="35"/>
      <c r="N1068" s="35"/>
      <c r="O1068" s="35"/>
      <c r="P1068" s="35"/>
      <c r="Q1068" s="35"/>
      <c r="R1068" s="35"/>
      <c r="S1068" s="35"/>
      <c r="T1068" s="35"/>
      <c r="U1068" s="35"/>
      <c r="V1068" s="35"/>
      <c r="W1068" s="35"/>
      <c r="X1068" s="35"/>
      <c r="Y1068" s="35"/>
      <c r="Z1068" s="35"/>
      <c r="AA1068" s="35"/>
      <c r="AB1068" s="35"/>
      <c r="AC1068" s="35"/>
      <c r="AD1068" s="35"/>
      <c r="AE1068" s="35"/>
      <c r="AF1068" s="35"/>
      <c r="AG1068" s="35"/>
      <c r="AH1068" s="35"/>
      <c r="AI1068" s="35"/>
      <c r="AJ1068" s="35"/>
      <c r="AK1068" s="35"/>
      <c r="AL1068" s="35"/>
      <c r="AM1068" s="35"/>
      <c r="AN1068" s="35"/>
      <c r="AO1068" s="35"/>
      <c r="AP1068" s="35"/>
      <c r="AQ1068" s="35"/>
      <c r="AR1068" s="35"/>
      <c r="AS1068" s="35"/>
      <c r="AT1068" s="35"/>
      <c r="AU1068" s="35"/>
      <c r="AV1068" s="35"/>
      <c r="AW1068" s="35"/>
      <c r="AX1068" s="35"/>
      <c r="AY1068" s="35"/>
      <c r="AZ1068" s="35"/>
      <c r="BA1068" s="35"/>
      <c r="BB1068" s="35"/>
      <c r="BC1068" s="35"/>
      <c r="BD1068" s="35"/>
      <c r="BE1068" s="35"/>
      <c r="BF1068" s="35"/>
      <c r="BG1068" s="35"/>
    </row>
    <row r="1069" ht="15.75" customHeight="1">
      <c r="A1069" s="35"/>
      <c r="B1069" s="35"/>
      <c r="C1069" s="35"/>
      <c r="D1069" s="35"/>
      <c r="E1069" s="35"/>
      <c r="F1069" s="35"/>
      <c r="G1069" s="35"/>
      <c r="H1069" s="35"/>
      <c r="I1069" s="35"/>
      <c r="J1069" s="35"/>
      <c r="K1069" s="35"/>
      <c r="L1069" s="35"/>
      <c r="M1069" s="35"/>
      <c r="N1069" s="35"/>
      <c r="O1069" s="35"/>
      <c r="P1069" s="35"/>
      <c r="Q1069" s="35"/>
      <c r="R1069" s="35"/>
      <c r="S1069" s="35"/>
      <c r="T1069" s="35"/>
      <c r="U1069" s="35"/>
      <c r="V1069" s="35"/>
      <c r="W1069" s="35"/>
      <c r="X1069" s="35"/>
      <c r="Y1069" s="35"/>
      <c r="Z1069" s="35"/>
      <c r="AA1069" s="35"/>
      <c r="AB1069" s="35"/>
      <c r="AC1069" s="35"/>
      <c r="AD1069" s="35"/>
      <c r="AE1069" s="35"/>
      <c r="AF1069" s="35"/>
      <c r="AG1069" s="35"/>
      <c r="AH1069" s="35"/>
      <c r="AI1069" s="35"/>
      <c r="AJ1069" s="35"/>
      <c r="AK1069" s="35"/>
      <c r="AL1069" s="35"/>
      <c r="AM1069" s="35"/>
      <c r="AN1069" s="35"/>
      <c r="AO1069" s="35"/>
      <c r="AP1069" s="35"/>
      <c r="AQ1069" s="35"/>
      <c r="AR1069" s="35"/>
      <c r="AS1069" s="35"/>
      <c r="AT1069" s="35"/>
      <c r="AU1069" s="35"/>
      <c r="AV1069" s="35"/>
      <c r="AW1069" s="35"/>
      <c r="AX1069" s="35"/>
      <c r="AY1069" s="35"/>
      <c r="AZ1069" s="35"/>
      <c r="BA1069" s="35"/>
      <c r="BB1069" s="35"/>
      <c r="BC1069" s="35"/>
      <c r="BD1069" s="35"/>
      <c r="BE1069" s="35"/>
      <c r="BF1069" s="35"/>
      <c r="BG1069" s="35"/>
    </row>
    <row r="1070" ht="15.75" customHeight="1">
      <c r="A1070" s="35"/>
      <c r="B1070" s="35"/>
      <c r="C1070" s="35"/>
      <c r="D1070" s="35"/>
      <c r="E1070" s="35"/>
      <c r="F1070" s="35"/>
      <c r="G1070" s="35"/>
      <c r="H1070" s="35"/>
      <c r="I1070" s="35"/>
      <c r="J1070" s="35"/>
      <c r="K1070" s="35"/>
      <c r="L1070" s="35"/>
      <c r="M1070" s="35"/>
      <c r="N1070" s="35"/>
      <c r="O1070" s="35"/>
      <c r="P1070" s="35"/>
      <c r="Q1070" s="35"/>
      <c r="R1070" s="35"/>
      <c r="S1070" s="35"/>
      <c r="T1070" s="35"/>
      <c r="U1070" s="35"/>
      <c r="V1070" s="35"/>
      <c r="W1070" s="35"/>
      <c r="X1070" s="35"/>
      <c r="Y1070" s="35"/>
      <c r="Z1070" s="35"/>
      <c r="AA1070" s="35"/>
      <c r="AB1070" s="35"/>
      <c r="AC1070" s="35"/>
      <c r="AD1070" s="35"/>
      <c r="AE1070" s="35"/>
      <c r="AF1070" s="35"/>
      <c r="AG1070" s="35"/>
      <c r="AH1070" s="35"/>
      <c r="AI1070" s="35"/>
      <c r="AJ1070" s="35"/>
      <c r="AK1070" s="35"/>
      <c r="AL1070" s="35"/>
      <c r="AM1070" s="35"/>
      <c r="AN1070" s="35"/>
      <c r="AO1070" s="35"/>
      <c r="AP1070" s="35"/>
      <c r="AQ1070" s="35"/>
      <c r="AR1070" s="35"/>
      <c r="AS1070" s="35"/>
      <c r="AT1070" s="35"/>
      <c r="AU1070" s="35"/>
      <c r="AV1070" s="35"/>
      <c r="AW1070" s="35"/>
      <c r="AX1070" s="35"/>
      <c r="AY1070" s="35"/>
      <c r="AZ1070" s="35"/>
      <c r="BA1070" s="35"/>
      <c r="BB1070" s="35"/>
      <c r="BC1070" s="35"/>
      <c r="BD1070" s="35"/>
      <c r="BE1070" s="35"/>
      <c r="BF1070" s="35"/>
      <c r="BG1070" s="35"/>
    </row>
    <row r="1071" ht="15.75" customHeight="1">
      <c r="A1071" s="35"/>
      <c r="B1071" s="35"/>
      <c r="C1071" s="35"/>
      <c r="D1071" s="35"/>
      <c r="E1071" s="35"/>
      <c r="F1071" s="35"/>
      <c r="G1071" s="35"/>
      <c r="H1071" s="35"/>
      <c r="I1071" s="35"/>
      <c r="J1071" s="35"/>
      <c r="K1071" s="35"/>
      <c r="L1071" s="35"/>
      <c r="M1071" s="35"/>
      <c r="N1071" s="35"/>
      <c r="O1071" s="35"/>
      <c r="P1071" s="35"/>
      <c r="Q1071" s="35"/>
      <c r="R1071" s="35"/>
      <c r="S1071" s="35"/>
      <c r="T1071" s="35"/>
      <c r="U1071" s="35"/>
      <c r="V1071" s="35"/>
      <c r="W1071" s="35"/>
      <c r="X1071" s="35"/>
      <c r="Y1071" s="35"/>
      <c r="Z1071" s="35"/>
      <c r="AA1071" s="35"/>
      <c r="AB1071" s="35"/>
      <c r="AC1071" s="35"/>
      <c r="AD1071" s="35"/>
      <c r="AE1071" s="35"/>
      <c r="AF1071" s="35"/>
      <c r="AG1071" s="35"/>
      <c r="AH1071" s="35"/>
      <c r="AI1071" s="35"/>
      <c r="AJ1071" s="35"/>
      <c r="AK1071" s="35"/>
      <c r="AL1071" s="35"/>
      <c r="AM1071" s="35"/>
      <c r="AN1071" s="35"/>
      <c r="AO1071" s="35"/>
      <c r="AP1071" s="35"/>
      <c r="AQ1071" s="35"/>
      <c r="AR1071" s="35"/>
      <c r="AS1071" s="35"/>
      <c r="AT1071" s="35"/>
      <c r="AU1071" s="35"/>
      <c r="AV1071" s="35"/>
      <c r="AW1071" s="35"/>
      <c r="AX1071" s="35"/>
      <c r="AY1071" s="35"/>
      <c r="AZ1071" s="35"/>
      <c r="BA1071" s="35"/>
      <c r="BB1071" s="35"/>
      <c r="BC1071" s="35"/>
      <c r="BD1071" s="35"/>
      <c r="BE1071" s="35"/>
      <c r="BF1071" s="35"/>
      <c r="BG1071" s="35"/>
    </row>
    <row r="1072" ht="15.75" customHeight="1">
      <c r="A1072" s="35"/>
      <c r="B1072" s="35"/>
      <c r="C1072" s="35"/>
      <c r="D1072" s="35"/>
      <c r="E1072" s="35"/>
      <c r="F1072" s="35"/>
      <c r="G1072" s="35"/>
      <c r="H1072" s="35"/>
      <c r="I1072" s="35"/>
      <c r="J1072" s="35"/>
      <c r="K1072" s="35"/>
      <c r="L1072" s="35"/>
      <c r="M1072" s="35"/>
      <c r="N1072" s="35"/>
      <c r="O1072" s="35"/>
      <c r="P1072" s="35"/>
      <c r="Q1072" s="35"/>
      <c r="R1072" s="35"/>
      <c r="S1072" s="35"/>
      <c r="T1072" s="35"/>
      <c r="U1072" s="35"/>
      <c r="V1072" s="35"/>
      <c r="W1072" s="35"/>
      <c r="X1072" s="35"/>
      <c r="Y1072" s="35"/>
      <c r="Z1072" s="35"/>
      <c r="AA1072" s="35"/>
      <c r="AB1072" s="35"/>
      <c r="AC1072" s="35"/>
      <c r="AD1072" s="35"/>
      <c r="AE1072" s="35"/>
      <c r="AF1072" s="35"/>
      <c r="AG1072" s="35"/>
      <c r="AH1072" s="35"/>
      <c r="AI1072" s="35"/>
      <c r="AJ1072" s="35"/>
      <c r="AK1072" s="35"/>
      <c r="AL1072" s="35"/>
      <c r="AM1072" s="35"/>
      <c r="AN1072" s="35"/>
      <c r="AO1072" s="35"/>
      <c r="AP1072" s="35"/>
      <c r="AQ1072" s="35"/>
      <c r="AR1072" s="35"/>
      <c r="AS1072" s="35"/>
      <c r="AT1072" s="35"/>
      <c r="AU1072" s="35"/>
      <c r="AV1072" s="35"/>
      <c r="AW1072" s="35"/>
      <c r="AX1072" s="35"/>
      <c r="AY1072" s="35"/>
      <c r="AZ1072" s="35"/>
      <c r="BA1072" s="35"/>
      <c r="BB1072" s="35"/>
      <c r="BC1072" s="35"/>
      <c r="BD1072" s="35"/>
      <c r="BE1072" s="35"/>
      <c r="BF1072" s="35"/>
      <c r="BG1072" s="35"/>
    </row>
    <row r="1073" ht="15.75" customHeight="1">
      <c r="A1073" s="35"/>
      <c r="B1073" s="35"/>
      <c r="C1073" s="35"/>
      <c r="D1073" s="35"/>
      <c r="E1073" s="35"/>
      <c r="F1073" s="35"/>
      <c r="G1073" s="35"/>
      <c r="H1073" s="35"/>
      <c r="I1073" s="35"/>
      <c r="J1073" s="35"/>
      <c r="K1073" s="35"/>
      <c r="L1073" s="35"/>
      <c r="M1073" s="35"/>
      <c r="N1073" s="35"/>
      <c r="O1073" s="35"/>
      <c r="P1073" s="35"/>
      <c r="Q1073" s="35"/>
      <c r="R1073" s="35"/>
      <c r="S1073" s="35"/>
      <c r="T1073" s="35"/>
      <c r="U1073" s="35"/>
      <c r="V1073" s="35"/>
      <c r="W1073" s="35"/>
      <c r="X1073" s="35"/>
      <c r="Y1073" s="35"/>
      <c r="Z1073" s="35"/>
      <c r="AA1073" s="35"/>
      <c r="AB1073" s="35"/>
      <c r="AC1073" s="35"/>
      <c r="AD1073" s="35"/>
      <c r="AE1073" s="35"/>
      <c r="AF1073" s="35"/>
      <c r="AG1073" s="35"/>
      <c r="AH1073" s="35"/>
      <c r="AI1073" s="35"/>
      <c r="AJ1073" s="35"/>
      <c r="AK1073" s="35"/>
      <c r="AL1073" s="35"/>
      <c r="AM1073" s="35"/>
      <c r="AN1073" s="35"/>
      <c r="AO1073" s="35"/>
      <c r="AP1073" s="35"/>
      <c r="AQ1073" s="35"/>
      <c r="AR1073" s="35"/>
      <c r="AS1073" s="35"/>
      <c r="AT1073" s="35"/>
      <c r="AU1073" s="35"/>
      <c r="AV1073" s="35"/>
      <c r="AW1073" s="35"/>
      <c r="AX1073" s="35"/>
      <c r="AY1073" s="35"/>
      <c r="AZ1073" s="35"/>
      <c r="BA1073" s="35"/>
      <c r="BB1073" s="35"/>
      <c r="BC1073" s="35"/>
      <c r="BD1073" s="35"/>
      <c r="BE1073" s="35"/>
      <c r="BF1073" s="35"/>
      <c r="BG1073" s="35"/>
    </row>
    <row r="1074" ht="15.75" customHeight="1">
      <c r="A1074" s="35"/>
      <c r="B1074" s="35"/>
      <c r="C1074" s="35"/>
      <c r="D1074" s="35"/>
      <c r="E1074" s="35"/>
      <c r="F1074" s="35"/>
      <c r="G1074" s="35"/>
      <c r="H1074" s="35"/>
      <c r="I1074" s="35"/>
      <c r="J1074" s="35"/>
      <c r="K1074" s="35"/>
      <c r="L1074" s="35"/>
      <c r="M1074" s="35"/>
      <c r="N1074" s="35"/>
      <c r="O1074" s="35"/>
      <c r="P1074" s="35"/>
      <c r="Q1074" s="35"/>
      <c r="R1074" s="35"/>
      <c r="S1074" s="35"/>
      <c r="T1074" s="35"/>
      <c r="U1074" s="35"/>
      <c r="V1074" s="35"/>
      <c r="W1074" s="35"/>
      <c r="X1074" s="35"/>
      <c r="Y1074" s="35"/>
      <c r="Z1074" s="35"/>
      <c r="AA1074" s="35"/>
      <c r="AB1074" s="35"/>
      <c r="AC1074" s="35"/>
      <c r="AD1074" s="35"/>
      <c r="AE1074" s="35"/>
      <c r="AF1074" s="35"/>
      <c r="AG1074" s="35"/>
      <c r="AH1074" s="35"/>
      <c r="AI1074" s="35"/>
      <c r="AJ1074" s="35"/>
      <c r="AK1074" s="35"/>
      <c r="AL1074" s="35"/>
      <c r="AM1074" s="35"/>
      <c r="AN1074" s="35"/>
      <c r="AO1074" s="35"/>
      <c r="AP1074" s="35"/>
      <c r="AQ1074" s="35"/>
      <c r="AR1074" s="35"/>
      <c r="AS1074" s="35"/>
      <c r="AT1074" s="35"/>
      <c r="AU1074" s="35"/>
      <c r="AV1074" s="35"/>
      <c r="AW1074" s="35"/>
      <c r="AX1074" s="35"/>
      <c r="AY1074" s="35"/>
      <c r="AZ1074" s="35"/>
      <c r="BA1074" s="35"/>
      <c r="BB1074" s="35"/>
      <c r="BC1074" s="35"/>
      <c r="BD1074" s="35"/>
      <c r="BE1074" s="35"/>
      <c r="BF1074" s="35"/>
      <c r="BG1074" s="35"/>
    </row>
    <row r="1075" ht="15.75" customHeight="1">
      <c r="A1075" s="35"/>
      <c r="B1075" s="35"/>
      <c r="C1075" s="35"/>
      <c r="D1075" s="35"/>
      <c r="E1075" s="35"/>
      <c r="F1075" s="35"/>
      <c r="G1075" s="35"/>
      <c r="H1075" s="35"/>
      <c r="I1075" s="35"/>
      <c r="J1075" s="35"/>
      <c r="K1075" s="35"/>
      <c r="L1075" s="35"/>
      <c r="M1075" s="35"/>
      <c r="N1075" s="35"/>
      <c r="O1075" s="35"/>
      <c r="P1075" s="35"/>
      <c r="Q1075" s="35"/>
      <c r="R1075" s="35"/>
      <c r="S1075" s="35"/>
      <c r="T1075" s="35"/>
      <c r="U1075" s="35"/>
      <c r="V1075" s="35"/>
      <c r="W1075" s="35"/>
      <c r="X1075" s="35"/>
      <c r="Y1075" s="35"/>
      <c r="Z1075" s="35"/>
      <c r="AA1075" s="35"/>
      <c r="AB1075" s="35"/>
      <c r="AC1075" s="35"/>
      <c r="AD1075" s="35"/>
      <c r="AE1075" s="35"/>
      <c r="AF1075" s="35"/>
      <c r="AG1075" s="35"/>
      <c r="AH1075" s="35"/>
      <c r="AI1075" s="35"/>
      <c r="AJ1075" s="35"/>
      <c r="AK1075" s="35"/>
      <c r="AL1075" s="35"/>
      <c r="AM1075" s="35"/>
      <c r="AN1075" s="35"/>
      <c r="AO1075" s="35"/>
      <c r="AP1075" s="35"/>
      <c r="AQ1075" s="35"/>
      <c r="AR1075" s="35"/>
      <c r="AS1075" s="35"/>
      <c r="AT1075" s="35"/>
      <c r="AU1075" s="35"/>
      <c r="AV1075" s="35"/>
      <c r="AW1075" s="35"/>
      <c r="AX1075" s="35"/>
      <c r="AY1075" s="35"/>
      <c r="AZ1075" s="35"/>
      <c r="BA1075" s="35"/>
      <c r="BB1075" s="35"/>
      <c r="BC1075" s="35"/>
      <c r="BD1075" s="35"/>
      <c r="BE1075" s="35"/>
      <c r="BF1075" s="35"/>
      <c r="BG1075" s="35"/>
    </row>
    <row r="1076" ht="15.75" customHeight="1">
      <c r="A1076" s="35"/>
      <c r="B1076" s="35"/>
      <c r="C1076" s="35"/>
      <c r="D1076" s="35"/>
      <c r="E1076" s="35"/>
      <c r="F1076" s="35"/>
      <c r="G1076" s="35"/>
      <c r="H1076" s="35"/>
      <c r="I1076" s="35"/>
      <c r="J1076" s="35"/>
      <c r="K1076" s="35"/>
      <c r="L1076" s="35"/>
      <c r="M1076" s="35"/>
      <c r="N1076" s="35"/>
      <c r="O1076" s="35"/>
      <c r="P1076" s="35"/>
      <c r="Q1076" s="35"/>
      <c r="R1076" s="35"/>
      <c r="S1076" s="35"/>
      <c r="T1076" s="35"/>
      <c r="U1076" s="35"/>
      <c r="V1076" s="35"/>
      <c r="W1076" s="35"/>
      <c r="X1076" s="35"/>
      <c r="Y1076" s="35"/>
      <c r="Z1076" s="35"/>
      <c r="AA1076" s="35"/>
      <c r="AB1076" s="35"/>
      <c r="AC1076" s="35"/>
      <c r="AD1076" s="35"/>
      <c r="AE1076" s="35"/>
      <c r="AF1076" s="35"/>
      <c r="AG1076" s="35"/>
      <c r="AH1076" s="35"/>
      <c r="AI1076" s="35"/>
      <c r="AJ1076" s="35"/>
      <c r="AK1076" s="35"/>
      <c r="AL1076" s="35"/>
      <c r="AM1076" s="35"/>
      <c r="AN1076" s="35"/>
      <c r="AO1076" s="35"/>
      <c r="AP1076" s="35"/>
      <c r="AQ1076" s="35"/>
      <c r="AR1076" s="35"/>
      <c r="AS1076" s="35"/>
      <c r="AT1076" s="35"/>
      <c r="AU1076" s="35"/>
      <c r="AV1076" s="35"/>
      <c r="AW1076" s="35"/>
      <c r="AX1076" s="35"/>
      <c r="AY1076" s="35"/>
      <c r="AZ1076" s="35"/>
      <c r="BA1076" s="35"/>
      <c r="BB1076" s="35"/>
      <c r="BC1076" s="35"/>
      <c r="BD1076" s="35"/>
      <c r="BE1076" s="35"/>
      <c r="BF1076" s="35"/>
      <c r="BG1076" s="35"/>
    </row>
    <row r="1077" ht="15.75" customHeight="1">
      <c r="A1077" s="35"/>
      <c r="B1077" s="35"/>
      <c r="C1077" s="35"/>
      <c r="D1077" s="35"/>
      <c r="E1077" s="35"/>
      <c r="F1077" s="35"/>
      <c r="G1077" s="35"/>
      <c r="H1077" s="35"/>
      <c r="I1077" s="35"/>
      <c r="J1077" s="35"/>
      <c r="K1077" s="35"/>
      <c r="L1077" s="35"/>
      <c r="M1077" s="35"/>
      <c r="N1077" s="35"/>
      <c r="O1077" s="35"/>
      <c r="P1077" s="35"/>
      <c r="Q1077" s="35"/>
      <c r="R1077" s="35"/>
      <c r="S1077" s="35"/>
      <c r="T1077" s="35"/>
      <c r="U1077" s="35"/>
      <c r="V1077" s="35"/>
      <c r="W1077" s="35"/>
      <c r="X1077" s="35"/>
      <c r="Y1077" s="35"/>
      <c r="Z1077" s="35"/>
      <c r="AA1077" s="35"/>
      <c r="AB1077" s="35"/>
      <c r="AC1077" s="35"/>
      <c r="AD1077" s="35"/>
      <c r="AE1077" s="35"/>
      <c r="AF1077" s="35"/>
      <c r="AG1077" s="35"/>
      <c r="AH1077" s="35"/>
      <c r="AI1077" s="35"/>
      <c r="AJ1077" s="35"/>
      <c r="AK1077" s="35"/>
      <c r="AL1077" s="35"/>
      <c r="AM1077" s="35"/>
      <c r="AN1077" s="35"/>
      <c r="AO1077" s="35"/>
      <c r="AP1077" s="35"/>
      <c r="AQ1077" s="35"/>
      <c r="AR1077" s="35"/>
      <c r="AS1077" s="35"/>
      <c r="AT1077" s="35"/>
      <c r="AU1077" s="35"/>
      <c r="AV1077" s="35"/>
      <c r="AW1077" s="35"/>
      <c r="AX1077" s="35"/>
      <c r="AY1077" s="35"/>
      <c r="AZ1077" s="35"/>
      <c r="BA1077" s="35"/>
      <c r="BB1077" s="35"/>
      <c r="BC1077" s="35"/>
      <c r="BD1077" s="35"/>
      <c r="BE1077" s="35"/>
      <c r="BF1077" s="35"/>
      <c r="BG1077" s="35"/>
    </row>
    <row r="1078" ht="15.75" customHeight="1">
      <c r="A1078" s="35"/>
      <c r="B1078" s="35"/>
      <c r="C1078" s="35"/>
      <c r="D1078" s="35"/>
      <c r="E1078" s="35"/>
      <c r="F1078" s="35"/>
      <c r="G1078" s="35"/>
      <c r="H1078" s="35"/>
      <c r="I1078" s="35"/>
      <c r="J1078" s="35"/>
      <c r="K1078" s="35"/>
      <c r="L1078" s="35"/>
      <c r="M1078" s="35"/>
      <c r="N1078" s="35"/>
      <c r="O1078" s="35"/>
      <c r="P1078" s="35"/>
      <c r="Q1078" s="35"/>
      <c r="R1078" s="35"/>
      <c r="S1078" s="35"/>
      <c r="T1078" s="35"/>
      <c r="U1078" s="35"/>
      <c r="V1078" s="35"/>
      <c r="W1078" s="35"/>
      <c r="X1078" s="35"/>
      <c r="Y1078" s="35"/>
      <c r="Z1078" s="35"/>
      <c r="AA1078" s="35"/>
      <c r="AB1078" s="35"/>
      <c r="AC1078" s="35"/>
      <c r="AD1078" s="35"/>
      <c r="AE1078" s="35"/>
      <c r="AF1078" s="35"/>
      <c r="AG1078" s="35"/>
      <c r="AH1078" s="35"/>
      <c r="AI1078" s="35"/>
      <c r="AJ1078" s="35"/>
      <c r="AK1078" s="35"/>
      <c r="AL1078" s="35"/>
      <c r="AM1078" s="35"/>
      <c r="AN1078" s="35"/>
      <c r="AO1078" s="35"/>
      <c r="AP1078" s="35"/>
      <c r="AQ1078" s="35"/>
      <c r="AR1078" s="35"/>
      <c r="AS1078" s="35"/>
      <c r="AT1078" s="35"/>
      <c r="AU1078" s="35"/>
      <c r="AV1078" s="35"/>
      <c r="AW1078" s="35"/>
      <c r="AX1078" s="35"/>
      <c r="AY1078" s="35"/>
      <c r="AZ1078" s="35"/>
      <c r="BA1078" s="35"/>
      <c r="BB1078" s="35"/>
      <c r="BC1078" s="35"/>
      <c r="BD1078" s="35"/>
      <c r="BE1078" s="35"/>
      <c r="BF1078" s="35"/>
      <c r="BG1078" s="35"/>
    </row>
    <row r="1079" ht="15.75" customHeight="1">
      <c r="A1079" s="35"/>
      <c r="B1079" s="35"/>
      <c r="C1079" s="35"/>
      <c r="D1079" s="35"/>
      <c r="E1079" s="35"/>
      <c r="F1079" s="35"/>
      <c r="G1079" s="35"/>
      <c r="H1079" s="35"/>
      <c r="I1079" s="35"/>
      <c r="J1079" s="35"/>
      <c r="K1079" s="35"/>
      <c r="L1079" s="35"/>
      <c r="M1079" s="35"/>
      <c r="N1079" s="35"/>
      <c r="O1079" s="35"/>
      <c r="P1079" s="35"/>
      <c r="Q1079" s="35"/>
      <c r="R1079" s="35"/>
      <c r="S1079" s="35"/>
      <c r="T1079" s="35"/>
      <c r="U1079" s="35"/>
      <c r="V1079" s="35"/>
      <c r="W1079" s="35"/>
      <c r="X1079" s="35"/>
      <c r="Y1079" s="35"/>
      <c r="Z1079" s="35"/>
      <c r="AA1079" s="35"/>
      <c r="AB1079" s="35"/>
      <c r="AC1079" s="35"/>
      <c r="AD1079" s="35"/>
      <c r="AE1079" s="35"/>
      <c r="AF1079" s="35"/>
      <c r="AG1079" s="35"/>
      <c r="AH1079" s="35"/>
      <c r="AI1079" s="35"/>
      <c r="AJ1079" s="35"/>
      <c r="AK1079" s="35"/>
      <c r="AL1079" s="35"/>
      <c r="AM1079" s="35"/>
      <c r="AN1079" s="35"/>
      <c r="AO1079" s="35"/>
      <c r="AP1079" s="35"/>
      <c r="AQ1079" s="35"/>
      <c r="AR1079" s="35"/>
      <c r="AS1079" s="35"/>
      <c r="AT1079" s="35"/>
      <c r="AU1079" s="35"/>
      <c r="AV1079" s="35"/>
      <c r="AW1079" s="35"/>
      <c r="AX1079" s="35"/>
      <c r="AY1079" s="35"/>
      <c r="AZ1079" s="35"/>
      <c r="BA1079" s="35"/>
      <c r="BB1079" s="35"/>
      <c r="BC1079" s="35"/>
      <c r="BD1079" s="35"/>
      <c r="BE1079" s="35"/>
      <c r="BF1079" s="35"/>
      <c r="BG1079" s="35"/>
    </row>
    <row r="1080" ht="15.75" customHeight="1">
      <c r="A1080" s="35"/>
      <c r="B1080" s="35"/>
      <c r="C1080" s="35"/>
      <c r="D1080" s="35"/>
      <c r="E1080" s="35"/>
      <c r="F1080" s="35"/>
      <c r="G1080" s="35"/>
      <c r="H1080" s="35"/>
      <c r="I1080" s="35"/>
      <c r="J1080" s="35"/>
      <c r="K1080" s="35"/>
      <c r="L1080" s="35"/>
      <c r="M1080" s="35"/>
      <c r="N1080" s="35"/>
      <c r="O1080" s="35"/>
      <c r="P1080" s="35"/>
      <c r="Q1080" s="35"/>
      <c r="R1080" s="35"/>
      <c r="S1080" s="35"/>
      <c r="T1080" s="35"/>
      <c r="U1080" s="35"/>
      <c r="V1080" s="35"/>
      <c r="W1080" s="35"/>
      <c r="X1080" s="35"/>
      <c r="Y1080" s="35"/>
      <c r="Z1080" s="35"/>
      <c r="AA1080" s="35"/>
      <c r="AB1080" s="35"/>
      <c r="AC1080" s="35"/>
      <c r="AD1080" s="35"/>
      <c r="AE1080" s="35"/>
      <c r="AF1080" s="35"/>
      <c r="AG1080" s="35"/>
      <c r="AH1080" s="35"/>
      <c r="AI1080" s="35"/>
      <c r="AJ1080" s="35"/>
      <c r="AK1080" s="35"/>
      <c r="AL1080" s="35"/>
      <c r="AM1080" s="35"/>
      <c r="AN1080" s="35"/>
      <c r="AO1080" s="35"/>
      <c r="AP1080" s="35"/>
      <c r="AQ1080" s="35"/>
      <c r="AR1080" s="35"/>
      <c r="AS1080" s="35"/>
      <c r="AT1080" s="35"/>
      <c r="AU1080" s="35"/>
      <c r="AV1080" s="35"/>
      <c r="AW1080" s="35"/>
      <c r="AX1080" s="35"/>
      <c r="AY1080" s="35"/>
      <c r="AZ1080" s="35"/>
      <c r="BA1080" s="35"/>
      <c r="BB1080" s="35"/>
      <c r="BC1080" s="35"/>
      <c r="BD1080" s="35"/>
      <c r="BE1080" s="35"/>
      <c r="BF1080" s="35"/>
      <c r="BG1080" s="35"/>
    </row>
    <row r="1081" ht="15.75" customHeight="1">
      <c r="A1081" s="35"/>
      <c r="B1081" s="35"/>
      <c r="C1081" s="35"/>
      <c r="D1081" s="35"/>
      <c r="E1081" s="35"/>
      <c r="F1081" s="35"/>
      <c r="G1081" s="35"/>
      <c r="H1081" s="35"/>
      <c r="I1081" s="35"/>
      <c r="J1081" s="35"/>
      <c r="K1081" s="35"/>
      <c r="L1081" s="35"/>
      <c r="M1081" s="35"/>
      <c r="N1081" s="35"/>
      <c r="O1081" s="35"/>
      <c r="P1081" s="35"/>
      <c r="Q1081" s="35"/>
      <c r="R1081" s="35"/>
      <c r="S1081" s="35"/>
      <c r="T1081" s="35"/>
      <c r="U1081" s="35"/>
      <c r="V1081" s="35"/>
      <c r="W1081" s="35"/>
      <c r="X1081" s="35"/>
      <c r="Y1081" s="35"/>
      <c r="Z1081" s="35"/>
      <c r="AA1081" s="35"/>
      <c r="AB1081" s="35"/>
      <c r="AC1081" s="35"/>
      <c r="AD1081" s="35"/>
      <c r="AE1081" s="35"/>
      <c r="AF1081" s="35"/>
      <c r="AG1081" s="35"/>
      <c r="AH1081" s="35"/>
      <c r="AI1081" s="35"/>
      <c r="AJ1081" s="35"/>
      <c r="AK1081" s="35"/>
      <c r="AL1081" s="35"/>
      <c r="AM1081" s="35"/>
      <c r="AN1081" s="35"/>
      <c r="AO1081" s="35"/>
      <c r="AP1081" s="35"/>
      <c r="AQ1081" s="35"/>
      <c r="AR1081" s="35"/>
      <c r="AS1081" s="35"/>
      <c r="AT1081" s="35"/>
      <c r="AU1081" s="35"/>
      <c r="AV1081" s="35"/>
      <c r="AW1081" s="35"/>
      <c r="AX1081" s="35"/>
      <c r="AY1081" s="35"/>
      <c r="AZ1081" s="35"/>
      <c r="BA1081" s="35"/>
      <c r="BB1081" s="35"/>
      <c r="BC1081" s="35"/>
      <c r="BD1081" s="35"/>
      <c r="BE1081" s="35"/>
      <c r="BF1081" s="35"/>
      <c r="BG1081" s="35"/>
    </row>
    <row r="1082" ht="15.75" customHeight="1">
      <c r="A1082" s="35"/>
      <c r="B1082" s="35"/>
      <c r="C1082" s="35"/>
      <c r="D1082" s="35"/>
      <c r="E1082" s="35"/>
      <c r="F1082" s="35"/>
      <c r="G1082" s="35"/>
      <c r="H1082" s="35"/>
      <c r="I1082" s="35"/>
      <c r="J1082" s="35"/>
      <c r="K1082" s="35"/>
      <c r="L1082" s="35"/>
      <c r="M1082" s="35"/>
      <c r="N1082" s="35"/>
      <c r="O1082" s="35"/>
      <c r="P1082" s="35"/>
      <c r="Q1082" s="35"/>
      <c r="R1082" s="35"/>
      <c r="S1082" s="35"/>
      <c r="T1082" s="35"/>
      <c r="U1082" s="35"/>
      <c r="V1082" s="35"/>
      <c r="W1082" s="35"/>
      <c r="X1082" s="35"/>
      <c r="Y1082" s="35"/>
      <c r="Z1082" s="35"/>
      <c r="AA1082" s="35"/>
      <c r="AB1082" s="35"/>
      <c r="AC1082" s="35"/>
      <c r="AD1082" s="35"/>
      <c r="AE1082" s="35"/>
      <c r="AF1082" s="35"/>
      <c r="AG1082" s="35"/>
      <c r="AH1082" s="35"/>
      <c r="AI1082" s="35"/>
      <c r="AJ1082" s="35"/>
      <c r="AK1082" s="35"/>
      <c r="AL1082" s="35"/>
      <c r="AM1082" s="35"/>
      <c r="AN1082" s="35"/>
      <c r="AO1082" s="35"/>
      <c r="AP1082" s="35"/>
      <c r="AQ1082" s="35"/>
      <c r="AR1082" s="35"/>
      <c r="AS1082" s="35"/>
      <c r="AT1082" s="35"/>
      <c r="AU1082" s="35"/>
      <c r="AV1082" s="35"/>
      <c r="AW1082" s="35"/>
      <c r="AX1082" s="35"/>
      <c r="AY1082" s="35"/>
      <c r="AZ1082" s="35"/>
      <c r="BA1082" s="35"/>
      <c r="BB1082" s="35"/>
      <c r="BC1082" s="35"/>
      <c r="BD1082" s="35"/>
      <c r="BE1082" s="35"/>
      <c r="BF1082" s="35"/>
      <c r="BG1082" s="35"/>
    </row>
    <row r="1083" ht="15.75" customHeight="1">
      <c r="A1083" s="35"/>
      <c r="B1083" s="35"/>
      <c r="C1083" s="35"/>
      <c r="D1083" s="35"/>
      <c r="E1083" s="35"/>
      <c r="F1083" s="35"/>
      <c r="G1083" s="35"/>
      <c r="H1083" s="35"/>
      <c r="I1083" s="35"/>
      <c r="J1083" s="35"/>
      <c r="K1083" s="35"/>
      <c r="L1083" s="35"/>
      <c r="M1083" s="35"/>
      <c r="N1083" s="35"/>
      <c r="O1083" s="35"/>
      <c r="P1083" s="35"/>
      <c r="Q1083" s="35"/>
      <c r="R1083" s="35"/>
      <c r="S1083" s="35"/>
      <c r="T1083" s="35"/>
      <c r="U1083" s="35"/>
      <c r="V1083" s="35"/>
      <c r="W1083" s="35"/>
      <c r="X1083" s="35"/>
      <c r="Y1083" s="35"/>
      <c r="Z1083" s="35"/>
      <c r="AA1083" s="35"/>
      <c r="AB1083" s="35"/>
      <c r="AC1083" s="35"/>
      <c r="AD1083" s="35"/>
      <c r="AE1083" s="35"/>
      <c r="AF1083" s="35"/>
      <c r="AG1083" s="35"/>
      <c r="AH1083" s="35"/>
      <c r="AI1083" s="35"/>
      <c r="AJ1083" s="35"/>
      <c r="AK1083" s="35"/>
      <c r="AL1083" s="35"/>
      <c r="AM1083" s="35"/>
      <c r="AN1083" s="35"/>
      <c r="AO1083" s="35"/>
      <c r="AP1083" s="35"/>
      <c r="AQ1083" s="35"/>
      <c r="AR1083" s="35"/>
      <c r="AS1083" s="35"/>
      <c r="AT1083" s="35"/>
      <c r="AU1083" s="35"/>
      <c r="AV1083" s="35"/>
      <c r="AW1083" s="35"/>
      <c r="AX1083" s="35"/>
      <c r="AY1083" s="35"/>
      <c r="AZ1083" s="35"/>
      <c r="BA1083" s="35"/>
      <c r="BB1083" s="35"/>
      <c r="BC1083" s="35"/>
      <c r="BD1083" s="35"/>
      <c r="BE1083" s="35"/>
      <c r="BF1083" s="35"/>
      <c r="BG1083" s="35"/>
    </row>
    <row r="1084" ht="15.75" customHeight="1">
      <c r="A1084" s="35"/>
      <c r="B1084" s="35"/>
      <c r="C1084" s="35"/>
      <c r="D1084" s="35"/>
      <c r="E1084" s="35"/>
      <c r="F1084" s="35"/>
      <c r="G1084" s="35"/>
      <c r="H1084" s="35"/>
      <c r="I1084" s="35"/>
      <c r="J1084" s="35"/>
      <c r="K1084" s="35"/>
      <c r="L1084" s="35"/>
      <c r="M1084" s="35"/>
      <c r="N1084" s="35"/>
      <c r="O1084" s="35"/>
      <c r="P1084" s="35"/>
      <c r="Q1084" s="35"/>
      <c r="R1084" s="35"/>
      <c r="S1084" s="35"/>
      <c r="T1084" s="35"/>
      <c r="U1084" s="35"/>
      <c r="V1084" s="35"/>
      <c r="W1084" s="35"/>
      <c r="X1084" s="35"/>
      <c r="Y1084" s="35"/>
      <c r="Z1084" s="35"/>
      <c r="AA1084" s="35"/>
      <c r="AB1084" s="35"/>
      <c r="AC1084" s="35"/>
      <c r="AD1084" s="35"/>
      <c r="AE1084" s="35"/>
      <c r="AF1084" s="35"/>
      <c r="AG1084" s="35"/>
      <c r="AH1084" s="35"/>
      <c r="AI1084" s="35"/>
      <c r="AJ1084" s="35"/>
      <c r="AK1084" s="35"/>
      <c r="AL1084" s="35"/>
      <c r="AM1084" s="35"/>
      <c r="AN1084" s="35"/>
      <c r="AO1084" s="35"/>
      <c r="AP1084" s="35"/>
      <c r="AQ1084" s="35"/>
      <c r="AR1084" s="35"/>
      <c r="AS1084" s="35"/>
      <c r="AT1084" s="35"/>
      <c r="AU1084" s="35"/>
      <c r="AV1084" s="35"/>
      <c r="AW1084" s="35"/>
      <c r="AX1084" s="35"/>
      <c r="AY1084" s="35"/>
      <c r="AZ1084" s="35"/>
      <c r="BA1084" s="35"/>
      <c r="BB1084" s="35"/>
      <c r="BC1084" s="35"/>
      <c r="BD1084" s="35"/>
      <c r="BE1084" s="35"/>
      <c r="BF1084" s="35"/>
      <c r="BG1084" s="35"/>
    </row>
    <row r="1085" ht="15.75" customHeight="1">
      <c r="A1085" s="35"/>
      <c r="B1085" s="35"/>
      <c r="C1085" s="35"/>
      <c r="D1085" s="35"/>
      <c r="E1085" s="35"/>
      <c r="F1085" s="35"/>
      <c r="G1085" s="35"/>
      <c r="H1085" s="35"/>
      <c r="I1085" s="35"/>
      <c r="J1085" s="35"/>
      <c r="K1085" s="35"/>
      <c r="L1085" s="35"/>
      <c r="M1085" s="35"/>
      <c r="N1085" s="35"/>
      <c r="O1085" s="35"/>
      <c r="P1085" s="35"/>
      <c r="Q1085" s="35"/>
      <c r="R1085" s="35"/>
      <c r="S1085" s="35"/>
      <c r="T1085" s="35"/>
      <c r="U1085" s="35"/>
      <c r="V1085" s="35"/>
      <c r="W1085" s="35"/>
      <c r="X1085" s="35"/>
      <c r="Y1085" s="35"/>
      <c r="Z1085" s="35"/>
      <c r="AA1085" s="35"/>
      <c r="AB1085" s="35"/>
      <c r="AC1085" s="35"/>
      <c r="AD1085" s="35"/>
      <c r="AE1085" s="35"/>
      <c r="AF1085" s="35"/>
      <c r="AG1085" s="35"/>
      <c r="AH1085" s="35"/>
      <c r="AI1085" s="35"/>
      <c r="AJ1085" s="35"/>
      <c r="AK1085" s="35"/>
      <c r="AL1085" s="35"/>
      <c r="AM1085" s="35"/>
      <c r="AN1085" s="35"/>
      <c r="AO1085" s="35"/>
      <c r="AP1085" s="35"/>
      <c r="AQ1085" s="35"/>
      <c r="AR1085" s="35"/>
      <c r="AS1085" s="35"/>
      <c r="AT1085" s="35"/>
      <c r="AU1085" s="35"/>
      <c r="AV1085" s="35"/>
      <c r="AW1085" s="35"/>
      <c r="AX1085" s="35"/>
      <c r="AY1085" s="35"/>
      <c r="AZ1085" s="35"/>
      <c r="BA1085" s="35"/>
      <c r="BB1085" s="35"/>
      <c r="BC1085" s="35"/>
      <c r="BD1085" s="35"/>
      <c r="BE1085" s="35"/>
      <c r="BF1085" s="35"/>
      <c r="BG1085" s="35"/>
    </row>
    <row r="1086" ht="15.75" customHeight="1">
      <c r="A1086" s="35"/>
      <c r="B1086" s="35"/>
      <c r="C1086" s="35"/>
      <c r="D1086" s="35"/>
      <c r="E1086" s="35"/>
      <c r="F1086" s="35"/>
      <c r="G1086" s="35"/>
      <c r="H1086" s="35"/>
      <c r="I1086" s="35"/>
      <c r="J1086" s="35"/>
      <c r="K1086" s="35"/>
      <c r="L1086" s="35"/>
      <c r="M1086" s="35"/>
      <c r="N1086" s="35"/>
      <c r="O1086" s="35"/>
      <c r="P1086" s="35"/>
      <c r="Q1086" s="35"/>
      <c r="R1086" s="35"/>
      <c r="S1086" s="35"/>
      <c r="T1086" s="35"/>
      <c r="U1086" s="35"/>
      <c r="V1086" s="35"/>
      <c r="W1086" s="35"/>
      <c r="X1086" s="35"/>
      <c r="Y1086" s="35"/>
      <c r="Z1086" s="35"/>
      <c r="AA1086" s="35"/>
      <c r="AB1086" s="35"/>
      <c r="AC1086" s="35"/>
      <c r="AD1086" s="35"/>
      <c r="AE1086" s="35"/>
      <c r="AF1086" s="35"/>
      <c r="AG1086" s="35"/>
      <c r="AH1086" s="35"/>
      <c r="AI1086" s="35"/>
      <c r="AJ1086" s="35"/>
      <c r="AK1086" s="35"/>
      <c r="AL1086" s="35"/>
      <c r="AM1086" s="35"/>
      <c r="AN1086" s="35"/>
      <c r="AO1086" s="35"/>
      <c r="AP1086" s="35"/>
      <c r="AQ1086" s="35"/>
      <c r="AR1086" s="35"/>
      <c r="AS1086" s="35"/>
      <c r="AT1086" s="35"/>
      <c r="AU1086" s="35"/>
      <c r="AV1086" s="35"/>
      <c r="AW1086" s="35"/>
      <c r="AX1086" s="35"/>
      <c r="AY1086" s="35"/>
      <c r="AZ1086" s="35"/>
      <c r="BA1086" s="35"/>
      <c r="BB1086" s="35"/>
      <c r="BC1086" s="35"/>
      <c r="BD1086" s="35"/>
      <c r="BE1086" s="35"/>
      <c r="BF1086" s="35"/>
      <c r="BG1086" s="35"/>
    </row>
    <row r="1087" ht="15.75" customHeight="1">
      <c r="A1087" s="35"/>
      <c r="B1087" s="35"/>
      <c r="C1087" s="35"/>
      <c r="D1087" s="35"/>
      <c r="E1087" s="35"/>
      <c r="F1087" s="35"/>
      <c r="G1087" s="35"/>
      <c r="H1087" s="35"/>
      <c r="I1087" s="35"/>
      <c r="J1087" s="35"/>
      <c r="K1087" s="35"/>
      <c r="L1087" s="35"/>
      <c r="M1087" s="35"/>
      <c r="N1087" s="35"/>
      <c r="O1087" s="35"/>
      <c r="P1087" s="35"/>
      <c r="Q1087" s="35"/>
      <c r="R1087" s="35"/>
      <c r="S1087" s="35"/>
      <c r="T1087" s="35"/>
      <c r="U1087" s="35"/>
      <c r="V1087" s="35"/>
      <c r="W1087" s="35"/>
      <c r="X1087" s="35"/>
      <c r="Y1087" s="35"/>
      <c r="Z1087" s="35"/>
      <c r="AA1087" s="35"/>
      <c r="AB1087" s="35"/>
      <c r="AC1087" s="35"/>
      <c r="AD1087" s="35"/>
      <c r="AE1087" s="35"/>
      <c r="AF1087" s="35"/>
      <c r="AG1087" s="35"/>
      <c r="AH1087" s="35"/>
      <c r="AI1087" s="35"/>
      <c r="AJ1087" s="35"/>
      <c r="AK1087" s="35"/>
      <c r="AL1087" s="35"/>
      <c r="AM1087" s="35"/>
      <c r="AN1087" s="35"/>
      <c r="AO1087" s="35"/>
      <c r="AP1087" s="35"/>
      <c r="AQ1087" s="35"/>
      <c r="AR1087" s="35"/>
      <c r="AS1087" s="35"/>
      <c r="AT1087" s="35"/>
      <c r="AU1087" s="35"/>
      <c r="AV1087" s="35"/>
      <c r="AW1087" s="35"/>
      <c r="AX1087" s="35"/>
      <c r="AY1087" s="35"/>
      <c r="AZ1087" s="35"/>
      <c r="BA1087" s="35"/>
      <c r="BB1087" s="35"/>
      <c r="BC1087" s="35"/>
      <c r="BD1087" s="35"/>
      <c r="BE1087" s="35"/>
      <c r="BF1087" s="35"/>
      <c r="BG1087" s="35"/>
    </row>
    <row r="1088" ht="15.75" customHeight="1">
      <c r="A1088" s="35"/>
      <c r="B1088" s="35"/>
      <c r="C1088" s="35"/>
      <c r="D1088" s="35"/>
      <c r="E1088" s="35"/>
      <c r="F1088" s="35"/>
      <c r="G1088" s="35"/>
      <c r="H1088" s="35"/>
      <c r="I1088" s="35"/>
      <c r="J1088" s="35"/>
      <c r="K1088" s="35"/>
      <c r="L1088" s="35"/>
      <c r="M1088" s="35"/>
      <c r="N1088" s="35"/>
      <c r="O1088" s="35"/>
      <c r="P1088" s="35"/>
      <c r="Q1088" s="35"/>
      <c r="R1088" s="35"/>
      <c r="S1088" s="35"/>
      <c r="T1088" s="35"/>
      <c r="U1088" s="35"/>
      <c r="V1088" s="35"/>
      <c r="W1088" s="35"/>
      <c r="X1088" s="35"/>
      <c r="Y1088" s="35"/>
      <c r="Z1088" s="35"/>
      <c r="AA1088" s="35"/>
      <c r="AB1088" s="35"/>
      <c r="AC1088" s="35"/>
      <c r="AD1088" s="35"/>
      <c r="AE1088" s="35"/>
      <c r="AF1088" s="35"/>
      <c r="AG1088" s="35"/>
      <c r="AH1088" s="35"/>
      <c r="AI1088" s="35"/>
      <c r="AJ1088" s="35"/>
      <c r="AK1088" s="35"/>
      <c r="AL1088" s="35"/>
      <c r="AM1088" s="35"/>
      <c r="AN1088" s="35"/>
      <c r="AO1088" s="35"/>
      <c r="AP1088" s="35"/>
      <c r="AQ1088" s="35"/>
      <c r="AR1088" s="35"/>
      <c r="AS1088" s="35"/>
      <c r="AT1088" s="35"/>
      <c r="AU1088" s="35"/>
      <c r="AV1088" s="35"/>
      <c r="AW1088" s="35"/>
      <c r="AX1088" s="35"/>
      <c r="AY1088" s="35"/>
      <c r="AZ1088" s="35"/>
      <c r="BA1088" s="35"/>
      <c r="BB1088" s="35"/>
      <c r="BC1088" s="35"/>
      <c r="BD1088" s="35"/>
      <c r="BE1088" s="35"/>
      <c r="BF1088" s="35"/>
      <c r="BG1088" s="35"/>
    </row>
    <row r="1089" ht="15.75" customHeight="1">
      <c r="A1089" s="35"/>
      <c r="B1089" s="35"/>
      <c r="C1089" s="35"/>
      <c r="D1089" s="35"/>
      <c r="E1089" s="35"/>
      <c r="F1089" s="35"/>
      <c r="G1089" s="35"/>
      <c r="H1089" s="35"/>
      <c r="I1089" s="35"/>
      <c r="J1089" s="35"/>
      <c r="K1089" s="35"/>
      <c r="L1089" s="35"/>
      <c r="M1089" s="35"/>
      <c r="N1089" s="35"/>
      <c r="O1089" s="35"/>
      <c r="P1089" s="35"/>
      <c r="Q1089" s="35"/>
      <c r="R1089" s="35"/>
      <c r="S1089" s="35"/>
      <c r="T1089" s="35"/>
      <c r="U1089" s="35"/>
      <c r="V1089" s="35"/>
      <c r="W1089" s="35"/>
      <c r="X1089" s="35"/>
      <c r="Y1089" s="35"/>
      <c r="Z1089" s="35"/>
      <c r="AA1089" s="35"/>
      <c r="AB1089" s="35"/>
      <c r="AC1089" s="35"/>
      <c r="AD1089" s="35"/>
      <c r="AE1089" s="35"/>
      <c r="AF1089" s="35"/>
      <c r="AG1089" s="35"/>
      <c r="AH1089" s="35"/>
      <c r="AI1089" s="35"/>
      <c r="AJ1089" s="35"/>
      <c r="AK1089" s="35"/>
      <c r="AL1089" s="35"/>
      <c r="AM1089" s="35"/>
      <c r="AN1089" s="35"/>
      <c r="AO1089" s="35"/>
      <c r="AP1089" s="35"/>
      <c r="AQ1089" s="35"/>
      <c r="AR1089" s="35"/>
      <c r="AS1089" s="35"/>
      <c r="AT1089" s="35"/>
      <c r="AU1089" s="35"/>
      <c r="AV1089" s="35"/>
      <c r="AW1089" s="35"/>
      <c r="AX1089" s="35"/>
      <c r="AY1089" s="35"/>
      <c r="AZ1089" s="35"/>
      <c r="BA1089" s="35"/>
      <c r="BB1089" s="35"/>
      <c r="BC1089" s="35"/>
      <c r="BD1089" s="35"/>
      <c r="BE1089" s="35"/>
      <c r="BF1089" s="35"/>
      <c r="BG1089" s="35"/>
    </row>
    <row r="1090" ht="15.75" customHeight="1">
      <c r="A1090" s="35"/>
      <c r="B1090" s="35"/>
      <c r="C1090" s="35"/>
      <c r="D1090" s="35"/>
      <c r="E1090" s="35"/>
      <c r="F1090" s="35"/>
      <c r="G1090" s="35"/>
      <c r="H1090" s="35"/>
      <c r="I1090" s="35"/>
      <c r="J1090" s="35"/>
      <c r="K1090" s="35"/>
      <c r="L1090" s="35"/>
      <c r="M1090" s="35"/>
      <c r="N1090" s="35"/>
      <c r="O1090" s="35"/>
      <c r="P1090" s="35"/>
      <c r="Q1090" s="35"/>
      <c r="R1090" s="35"/>
      <c r="S1090" s="35"/>
      <c r="T1090" s="35"/>
      <c r="U1090" s="35"/>
      <c r="V1090" s="35"/>
      <c r="W1090" s="35"/>
      <c r="X1090" s="35"/>
      <c r="Y1090" s="35"/>
      <c r="Z1090" s="35"/>
      <c r="AA1090" s="35"/>
      <c r="AB1090" s="35"/>
      <c r="AC1090" s="35"/>
      <c r="AD1090" s="35"/>
      <c r="AE1090" s="35"/>
      <c r="AF1090" s="35"/>
      <c r="AG1090" s="35"/>
      <c r="AH1090" s="35"/>
      <c r="AI1090" s="35"/>
      <c r="AJ1090" s="35"/>
      <c r="AK1090" s="35"/>
      <c r="AL1090" s="35"/>
      <c r="AM1090" s="35"/>
      <c r="AN1090" s="35"/>
      <c r="AO1090" s="35"/>
      <c r="AP1090" s="35"/>
      <c r="AQ1090" s="35"/>
      <c r="AR1090" s="35"/>
      <c r="AS1090" s="35"/>
      <c r="AT1090" s="35"/>
      <c r="AU1090" s="35"/>
      <c r="AV1090" s="35"/>
      <c r="AW1090" s="35"/>
      <c r="AX1090" s="35"/>
      <c r="AY1090" s="35"/>
      <c r="AZ1090" s="35"/>
      <c r="BA1090" s="35"/>
      <c r="BB1090" s="35"/>
      <c r="BC1090" s="35"/>
      <c r="BD1090" s="35"/>
      <c r="BE1090" s="35"/>
      <c r="BF1090" s="35"/>
      <c r="BG1090" s="35"/>
    </row>
    <row r="1091" ht="15.75" customHeight="1">
      <c r="A1091" s="35"/>
      <c r="B1091" s="35"/>
      <c r="C1091" s="35"/>
      <c r="D1091" s="35"/>
      <c r="E1091" s="35"/>
      <c r="F1091" s="35"/>
      <c r="G1091" s="35"/>
      <c r="H1091" s="35"/>
      <c r="I1091" s="35"/>
      <c r="J1091" s="35"/>
      <c r="K1091" s="35"/>
      <c r="L1091" s="35"/>
      <c r="M1091" s="35"/>
      <c r="N1091" s="35"/>
      <c r="O1091" s="35"/>
      <c r="P1091" s="35"/>
      <c r="Q1091" s="35"/>
      <c r="R1091" s="35"/>
      <c r="S1091" s="35"/>
      <c r="T1091" s="35"/>
      <c r="U1091" s="35"/>
      <c r="V1091" s="35"/>
      <c r="W1091" s="35"/>
      <c r="X1091" s="35"/>
      <c r="Y1091" s="35"/>
      <c r="Z1091" s="35"/>
      <c r="AA1091" s="35"/>
      <c r="AB1091" s="35"/>
      <c r="AC1091" s="35"/>
      <c r="AD1091" s="35"/>
      <c r="AE1091" s="35"/>
      <c r="AF1091" s="35"/>
      <c r="AG1091" s="35"/>
      <c r="AH1091" s="35"/>
      <c r="AI1091" s="35"/>
      <c r="AJ1091" s="35"/>
      <c r="AK1091" s="35"/>
      <c r="AL1091" s="35"/>
      <c r="AM1091" s="35"/>
      <c r="AN1091" s="35"/>
      <c r="AO1091" s="35"/>
      <c r="AP1091" s="35"/>
      <c r="AQ1091" s="35"/>
      <c r="AR1091" s="35"/>
      <c r="AS1091" s="35"/>
      <c r="AT1091" s="35"/>
      <c r="AU1091" s="35"/>
      <c r="AV1091" s="35"/>
      <c r="AW1091" s="35"/>
      <c r="AX1091" s="35"/>
      <c r="AY1091" s="35"/>
      <c r="AZ1091" s="35"/>
      <c r="BA1091" s="35"/>
      <c r="BB1091" s="35"/>
      <c r="BC1091" s="35"/>
      <c r="BD1091" s="35"/>
      <c r="BE1091" s="35"/>
      <c r="BF1091" s="35"/>
      <c r="BG1091" s="35"/>
    </row>
    <row r="1092" ht="15.75" customHeight="1">
      <c r="A1092" s="35"/>
      <c r="B1092" s="35"/>
      <c r="C1092" s="35"/>
      <c r="D1092" s="35"/>
      <c r="E1092" s="35"/>
      <c r="F1092" s="35"/>
      <c r="G1092" s="35"/>
      <c r="H1092" s="35"/>
      <c r="I1092" s="35"/>
      <c r="J1092" s="35"/>
      <c r="K1092" s="35"/>
      <c r="L1092" s="35"/>
      <c r="M1092" s="35"/>
      <c r="N1092" s="35"/>
      <c r="O1092" s="35"/>
      <c r="P1092" s="35"/>
      <c r="Q1092" s="35"/>
      <c r="R1092" s="35"/>
      <c r="S1092" s="35"/>
      <c r="T1092" s="35"/>
      <c r="U1092" s="35"/>
      <c r="V1092" s="35"/>
      <c r="W1092" s="35"/>
      <c r="X1092" s="35"/>
      <c r="Y1092" s="35"/>
      <c r="Z1092" s="35"/>
      <c r="AA1092" s="35"/>
      <c r="AB1092" s="35"/>
      <c r="AC1092" s="35"/>
      <c r="AD1092" s="35"/>
      <c r="AE1092" s="35"/>
      <c r="AF1092" s="35"/>
      <c r="AG1092" s="35"/>
      <c r="AH1092" s="35"/>
      <c r="AI1092" s="35"/>
      <c r="AJ1092" s="35"/>
      <c r="AK1092" s="35"/>
      <c r="AL1092" s="35"/>
      <c r="AM1092" s="35"/>
      <c r="AN1092" s="35"/>
      <c r="AO1092" s="35"/>
      <c r="AP1092" s="35"/>
      <c r="AQ1092" s="35"/>
      <c r="AR1092" s="35"/>
      <c r="AS1092" s="35"/>
      <c r="AT1092" s="35"/>
      <c r="AU1092" s="35"/>
      <c r="AV1092" s="35"/>
      <c r="AW1092" s="35"/>
      <c r="AX1092" s="35"/>
      <c r="AY1092" s="35"/>
      <c r="AZ1092" s="35"/>
      <c r="BA1092" s="35"/>
      <c r="BB1092" s="35"/>
      <c r="BC1092" s="35"/>
      <c r="BD1092" s="35"/>
      <c r="BE1092" s="35"/>
      <c r="BF1092" s="35"/>
      <c r="BG1092" s="35"/>
    </row>
    <row r="1093" ht="15.75" customHeight="1">
      <c r="A1093" s="35"/>
      <c r="B1093" s="35"/>
      <c r="C1093" s="35"/>
      <c r="D1093" s="35"/>
      <c r="E1093" s="35"/>
      <c r="F1093" s="35"/>
      <c r="G1093" s="35"/>
      <c r="H1093" s="35"/>
      <c r="I1093" s="35"/>
      <c r="J1093" s="35"/>
      <c r="K1093" s="35"/>
      <c r="L1093" s="35"/>
      <c r="M1093" s="35"/>
      <c r="N1093" s="35"/>
      <c r="O1093" s="35"/>
      <c r="P1093" s="35"/>
      <c r="Q1093" s="35"/>
      <c r="R1093" s="35"/>
      <c r="S1093" s="35"/>
      <c r="T1093" s="35"/>
      <c r="U1093" s="35"/>
      <c r="V1093" s="35"/>
      <c r="W1093" s="35"/>
      <c r="X1093" s="35"/>
      <c r="Y1093" s="35"/>
      <c r="Z1093" s="35"/>
      <c r="AA1093" s="35"/>
      <c r="AB1093" s="35"/>
      <c r="AC1093" s="35"/>
      <c r="AD1093" s="35"/>
      <c r="AE1093" s="35"/>
      <c r="AF1093" s="35"/>
      <c r="AG1093" s="35"/>
      <c r="AH1093" s="35"/>
      <c r="AI1093" s="35"/>
      <c r="AJ1093" s="35"/>
      <c r="AK1093" s="35"/>
      <c r="AL1093" s="35"/>
      <c r="AM1093" s="35"/>
      <c r="AN1093" s="35"/>
      <c r="AO1093" s="35"/>
      <c r="AP1093" s="35"/>
      <c r="AQ1093" s="35"/>
      <c r="AR1093" s="35"/>
      <c r="AS1093" s="35"/>
      <c r="AT1093" s="35"/>
      <c r="AU1093" s="35"/>
      <c r="AV1093" s="35"/>
      <c r="AW1093" s="35"/>
      <c r="AX1093" s="35"/>
      <c r="AY1093" s="35"/>
      <c r="AZ1093" s="35"/>
      <c r="BA1093" s="35"/>
      <c r="BB1093" s="35"/>
      <c r="BC1093" s="35"/>
      <c r="BD1093" s="35"/>
      <c r="BE1093" s="35"/>
      <c r="BF1093" s="35"/>
      <c r="BG1093" s="35"/>
    </row>
    <row r="1094" ht="15.75" customHeight="1">
      <c r="A1094" s="35"/>
      <c r="B1094" s="35"/>
      <c r="C1094" s="35"/>
      <c r="D1094" s="35"/>
      <c r="E1094" s="35"/>
      <c r="F1094" s="35"/>
      <c r="G1094" s="35"/>
      <c r="H1094" s="35"/>
      <c r="I1094" s="35"/>
      <c r="J1094" s="35"/>
      <c r="K1094" s="35"/>
      <c r="L1094" s="35"/>
      <c r="M1094" s="35"/>
      <c r="N1094" s="35"/>
      <c r="O1094" s="35"/>
      <c r="P1094" s="35"/>
      <c r="Q1094" s="35"/>
      <c r="R1094" s="35"/>
      <c r="S1094" s="35"/>
      <c r="T1094" s="35"/>
      <c r="U1094" s="35"/>
      <c r="V1094" s="35"/>
      <c r="W1094" s="35"/>
      <c r="X1094" s="35"/>
      <c r="Y1094" s="35"/>
      <c r="Z1094" s="35"/>
      <c r="AA1094" s="35"/>
      <c r="AB1094" s="35"/>
      <c r="AC1094" s="35"/>
      <c r="AD1094" s="35"/>
      <c r="AE1094" s="35"/>
      <c r="AF1094" s="35"/>
      <c r="AG1094" s="35"/>
      <c r="AH1094" s="35"/>
      <c r="AI1094" s="35"/>
      <c r="AJ1094" s="35"/>
      <c r="AK1094" s="35"/>
      <c r="AL1094" s="35"/>
      <c r="AM1094" s="35"/>
      <c r="AN1094" s="35"/>
      <c r="AO1094" s="35"/>
      <c r="AP1094" s="35"/>
      <c r="AQ1094" s="35"/>
      <c r="AR1094" s="35"/>
      <c r="AS1094" s="35"/>
      <c r="AT1094" s="35"/>
      <c r="AU1094" s="35"/>
      <c r="AV1094" s="35"/>
      <c r="AW1094" s="35"/>
      <c r="AX1094" s="35"/>
      <c r="AY1094" s="35"/>
      <c r="AZ1094" s="35"/>
      <c r="BA1094" s="35"/>
      <c r="BB1094" s="35"/>
      <c r="BC1094" s="35"/>
      <c r="BD1094" s="35"/>
      <c r="BE1094" s="35"/>
      <c r="BF1094" s="35"/>
      <c r="BG1094" s="35"/>
    </row>
    <row r="1095" ht="15.75" customHeight="1">
      <c r="A1095" s="35"/>
      <c r="B1095" s="35"/>
      <c r="C1095" s="35"/>
      <c r="D1095" s="35"/>
      <c r="E1095" s="35"/>
      <c r="F1095" s="35"/>
      <c r="G1095" s="35"/>
      <c r="H1095" s="35"/>
      <c r="I1095" s="35"/>
      <c r="J1095" s="35"/>
      <c r="K1095" s="35"/>
      <c r="L1095" s="35"/>
      <c r="M1095" s="35"/>
      <c r="N1095" s="35"/>
      <c r="O1095" s="35"/>
      <c r="P1095" s="35"/>
      <c r="Q1095" s="35"/>
      <c r="R1095" s="35"/>
      <c r="S1095" s="35"/>
      <c r="T1095" s="35"/>
      <c r="U1095" s="35"/>
      <c r="V1095" s="35"/>
      <c r="W1095" s="35"/>
      <c r="X1095" s="35"/>
      <c r="Y1095" s="35"/>
      <c r="Z1095" s="35"/>
      <c r="AA1095" s="35"/>
      <c r="AB1095" s="35"/>
      <c r="AC1095" s="35"/>
      <c r="AD1095" s="35"/>
      <c r="AE1095" s="35"/>
      <c r="AF1095" s="35"/>
      <c r="AG1095" s="35"/>
      <c r="AH1095" s="35"/>
      <c r="AI1095" s="35"/>
      <c r="AJ1095" s="35"/>
      <c r="AK1095" s="35"/>
      <c r="AL1095" s="35"/>
      <c r="AM1095" s="35"/>
      <c r="AN1095" s="35"/>
      <c r="AO1095" s="35"/>
      <c r="AP1095" s="35"/>
      <c r="AQ1095" s="35"/>
      <c r="AR1095" s="35"/>
      <c r="AS1095" s="35"/>
      <c r="AT1095" s="35"/>
      <c r="AU1095" s="35"/>
      <c r="AV1095" s="35"/>
      <c r="AW1095" s="35"/>
      <c r="AX1095" s="35"/>
      <c r="AY1095" s="35"/>
      <c r="AZ1095" s="35"/>
      <c r="BA1095" s="35"/>
      <c r="BB1095" s="35"/>
      <c r="BC1095" s="35"/>
      <c r="BD1095" s="35"/>
      <c r="BE1095" s="35"/>
      <c r="BF1095" s="35"/>
      <c r="BG1095" s="35"/>
    </row>
    <row r="1096" ht="15.75" customHeight="1">
      <c r="A1096" s="35"/>
      <c r="B1096" s="35"/>
      <c r="C1096" s="35"/>
      <c r="D1096" s="35"/>
      <c r="E1096" s="35"/>
      <c r="F1096" s="35"/>
      <c r="G1096" s="35"/>
      <c r="H1096" s="35"/>
      <c r="I1096" s="35"/>
      <c r="J1096" s="35"/>
      <c r="K1096" s="35"/>
      <c r="L1096" s="35"/>
      <c r="M1096" s="35"/>
      <c r="N1096" s="35"/>
      <c r="O1096" s="35"/>
      <c r="P1096" s="35"/>
      <c r="Q1096" s="35"/>
      <c r="R1096" s="35"/>
      <c r="S1096" s="35"/>
      <c r="T1096" s="35"/>
      <c r="U1096" s="35"/>
      <c r="V1096" s="35"/>
      <c r="W1096" s="35"/>
      <c r="X1096" s="35"/>
      <c r="Y1096" s="35"/>
      <c r="Z1096" s="35"/>
      <c r="AA1096" s="35"/>
      <c r="AB1096" s="35"/>
      <c r="AC1096" s="35"/>
      <c r="AD1096" s="35"/>
      <c r="AE1096" s="35"/>
      <c r="AF1096" s="35"/>
      <c r="AG1096" s="35"/>
      <c r="AH1096" s="35"/>
      <c r="AI1096" s="35"/>
      <c r="AJ1096" s="35"/>
      <c r="AK1096" s="35"/>
      <c r="AL1096" s="35"/>
      <c r="AM1096" s="35"/>
      <c r="AN1096" s="35"/>
      <c r="AO1096" s="35"/>
      <c r="AP1096" s="35"/>
      <c r="AQ1096" s="35"/>
      <c r="AR1096" s="35"/>
      <c r="AS1096" s="35"/>
      <c r="AT1096" s="35"/>
      <c r="AU1096" s="35"/>
      <c r="AV1096" s="35"/>
      <c r="AW1096" s="35"/>
      <c r="AX1096" s="35"/>
      <c r="AY1096" s="35"/>
      <c r="AZ1096" s="35"/>
      <c r="BA1096" s="35"/>
      <c r="BB1096" s="35"/>
      <c r="BC1096" s="35"/>
      <c r="BD1096" s="35"/>
      <c r="BE1096" s="35"/>
      <c r="BF1096" s="35"/>
      <c r="BG1096" s="35"/>
    </row>
    <row r="1097" ht="15.75" customHeight="1">
      <c r="A1097" s="35"/>
      <c r="B1097" s="35"/>
      <c r="C1097" s="35"/>
      <c r="D1097" s="35"/>
      <c r="E1097" s="35"/>
      <c r="F1097" s="35"/>
      <c r="G1097" s="35"/>
      <c r="H1097" s="35"/>
      <c r="I1097" s="35"/>
      <c r="J1097" s="35"/>
      <c r="K1097" s="35"/>
      <c r="L1097" s="35"/>
      <c r="M1097" s="35"/>
      <c r="N1097" s="35"/>
      <c r="O1097" s="35"/>
      <c r="P1097" s="35"/>
      <c r="Q1097" s="35"/>
      <c r="R1097" s="35"/>
      <c r="S1097" s="35"/>
      <c r="T1097" s="35"/>
      <c r="U1097" s="35"/>
      <c r="V1097" s="35"/>
      <c r="W1097" s="35"/>
      <c r="X1097" s="35"/>
      <c r="Y1097" s="35"/>
      <c r="Z1097" s="35"/>
      <c r="AA1097" s="35"/>
      <c r="AB1097" s="35"/>
      <c r="AC1097" s="35"/>
      <c r="AD1097" s="35"/>
      <c r="AE1097" s="35"/>
      <c r="AF1097" s="35"/>
      <c r="AG1097" s="35"/>
      <c r="AH1097" s="35"/>
      <c r="AI1097" s="35"/>
      <c r="AJ1097" s="35"/>
      <c r="AK1097" s="35"/>
      <c r="AL1097" s="35"/>
      <c r="AM1097" s="35"/>
      <c r="AN1097" s="35"/>
      <c r="AO1097" s="35"/>
      <c r="AP1097" s="35"/>
      <c r="AQ1097" s="35"/>
      <c r="AR1097" s="35"/>
      <c r="AS1097" s="35"/>
      <c r="AT1097" s="35"/>
      <c r="AU1097" s="35"/>
      <c r="AV1097" s="35"/>
      <c r="AW1097" s="35"/>
      <c r="AX1097" s="35"/>
      <c r="AY1097" s="35"/>
      <c r="AZ1097" s="35"/>
      <c r="BA1097" s="35"/>
      <c r="BB1097" s="35"/>
      <c r="BC1097" s="35"/>
      <c r="BD1097" s="35"/>
      <c r="BE1097" s="35"/>
      <c r="BF1097" s="35"/>
      <c r="BG1097" s="35"/>
    </row>
    <row r="1098" ht="15.75" customHeight="1">
      <c r="A1098" s="35"/>
      <c r="B1098" s="35"/>
      <c r="C1098" s="35"/>
      <c r="D1098" s="35"/>
      <c r="E1098" s="35"/>
      <c r="F1098" s="35"/>
      <c r="G1098" s="35"/>
      <c r="H1098" s="35"/>
      <c r="I1098" s="35"/>
      <c r="J1098" s="35"/>
      <c r="K1098" s="35"/>
      <c r="L1098" s="35"/>
      <c r="M1098" s="35"/>
      <c r="N1098" s="35"/>
      <c r="O1098" s="35"/>
      <c r="P1098" s="35"/>
      <c r="Q1098" s="35"/>
      <c r="R1098" s="35"/>
      <c r="S1098" s="35"/>
      <c r="T1098" s="35"/>
      <c r="U1098" s="35"/>
      <c r="V1098" s="35"/>
      <c r="W1098" s="35"/>
      <c r="X1098" s="35"/>
      <c r="Y1098" s="35"/>
      <c r="Z1098" s="35"/>
      <c r="AA1098" s="35"/>
      <c r="AB1098" s="35"/>
      <c r="AC1098" s="35"/>
      <c r="AD1098" s="35"/>
      <c r="AE1098" s="35"/>
      <c r="AF1098" s="35"/>
      <c r="AG1098" s="35"/>
      <c r="AH1098" s="35"/>
      <c r="AI1098" s="35"/>
      <c r="AJ1098" s="35"/>
      <c r="AK1098" s="35"/>
      <c r="AL1098" s="35"/>
      <c r="AM1098" s="35"/>
      <c r="AN1098" s="35"/>
      <c r="AO1098" s="35"/>
      <c r="AP1098" s="35"/>
      <c r="AQ1098" s="35"/>
      <c r="AR1098" s="35"/>
      <c r="AS1098" s="35"/>
      <c r="AT1098" s="35"/>
      <c r="AU1098" s="35"/>
      <c r="AV1098" s="35"/>
      <c r="AW1098" s="35"/>
      <c r="AX1098" s="35"/>
      <c r="AY1098" s="35"/>
      <c r="AZ1098" s="35"/>
      <c r="BA1098" s="35"/>
      <c r="BB1098" s="35"/>
      <c r="BC1098" s="35"/>
      <c r="BD1098" s="35"/>
      <c r="BE1098" s="35"/>
      <c r="BF1098" s="35"/>
      <c r="BG1098" s="35"/>
    </row>
    <row r="1099" ht="15.75" customHeight="1">
      <c r="A1099" s="35"/>
      <c r="B1099" s="35"/>
      <c r="C1099" s="35"/>
      <c r="D1099" s="35"/>
      <c r="E1099" s="35"/>
      <c r="F1099" s="35"/>
      <c r="G1099" s="35"/>
      <c r="H1099" s="35"/>
      <c r="I1099" s="35"/>
      <c r="J1099" s="35"/>
      <c r="K1099" s="35"/>
      <c r="L1099" s="35"/>
      <c r="M1099" s="35"/>
      <c r="N1099" s="35"/>
      <c r="O1099" s="35"/>
      <c r="P1099" s="35"/>
      <c r="Q1099" s="35"/>
      <c r="R1099" s="35"/>
      <c r="S1099" s="35"/>
      <c r="T1099" s="35"/>
      <c r="U1099" s="35"/>
      <c r="V1099" s="35"/>
      <c r="W1099" s="35"/>
      <c r="X1099" s="35"/>
      <c r="Y1099" s="35"/>
      <c r="Z1099" s="35"/>
      <c r="AA1099" s="35"/>
      <c r="AB1099" s="35"/>
      <c r="AC1099" s="35"/>
      <c r="AD1099" s="35"/>
      <c r="AE1099" s="35"/>
      <c r="AF1099" s="35"/>
      <c r="AG1099" s="35"/>
      <c r="AH1099" s="35"/>
      <c r="AI1099" s="35"/>
      <c r="AJ1099" s="35"/>
      <c r="AK1099" s="35"/>
      <c r="AL1099" s="35"/>
      <c r="AM1099" s="35"/>
      <c r="AN1099" s="35"/>
      <c r="AO1099" s="35"/>
      <c r="AP1099" s="35"/>
      <c r="AQ1099" s="35"/>
      <c r="AR1099" s="35"/>
      <c r="AS1099" s="35"/>
      <c r="AT1099" s="35"/>
      <c r="AU1099" s="35"/>
      <c r="AV1099" s="35"/>
      <c r="AW1099" s="35"/>
      <c r="AX1099" s="35"/>
      <c r="AY1099" s="35"/>
      <c r="AZ1099" s="35"/>
      <c r="BA1099" s="35"/>
      <c r="BB1099" s="35"/>
      <c r="BC1099" s="35"/>
      <c r="BD1099" s="35"/>
      <c r="BE1099" s="35"/>
      <c r="BF1099" s="35"/>
      <c r="BG1099" s="35"/>
    </row>
    <row r="1100" ht="15.75" customHeight="1">
      <c r="A1100" s="35"/>
      <c r="B1100" s="35"/>
      <c r="C1100" s="35"/>
      <c r="D1100" s="35"/>
      <c r="E1100" s="35"/>
      <c r="F1100" s="35"/>
      <c r="G1100" s="35"/>
      <c r="H1100" s="35"/>
      <c r="I1100" s="35"/>
      <c r="J1100" s="35"/>
      <c r="K1100" s="35"/>
      <c r="L1100" s="35"/>
      <c r="M1100" s="35"/>
      <c r="N1100" s="35"/>
      <c r="O1100" s="35"/>
      <c r="P1100" s="35"/>
      <c r="Q1100" s="35"/>
      <c r="R1100" s="35"/>
      <c r="S1100" s="35"/>
      <c r="T1100" s="35"/>
      <c r="U1100" s="35"/>
      <c r="V1100" s="35"/>
      <c r="W1100" s="35"/>
      <c r="X1100" s="35"/>
      <c r="Y1100" s="35"/>
      <c r="Z1100" s="35"/>
      <c r="AA1100" s="35"/>
      <c r="AB1100" s="35"/>
      <c r="AC1100" s="35"/>
      <c r="AD1100" s="35"/>
      <c r="AE1100" s="35"/>
      <c r="AF1100" s="35"/>
      <c r="AG1100" s="35"/>
      <c r="AH1100" s="35"/>
      <c r="AI1100" s="35"/>
      <c r="AJ1100" s="35"/>
      <c r="AK1100" s="35"/>
      <c r="AL1100" s="35"/>
      <c r="AM1100" s="35"/>
      <c r="AN1100" s="35"/>
      <c r="AO1100" s="35"/>
      <c r="AP1100" s="35"/>
      <c r="AQ1100" s="35"/>
      <c r="AR1100" s="35"/>
      <c r="AS1100" s="35"/>
      <c r="AT1100" s="35"/>
      <c r="AU1100" s="35"/>
      <c r="AV1100" s="35"/>
      <c r="AW1100" s="35"/>
      <c r="AX1100" s="35"/>
      <c r="AY1100" s="35"/>
      <c r="AZ1100" s="35"/>
      <c r="BA1100" s="35"/>
      <c r="BB1100" s="35"/>
      <c r="BC1100" s="35"/>
      <c r="BD1100" s="35"/>
      <c r="BE1100" s="35"/>
      <c r="BF1100" s="35"/>
      <c r="BG1100" s="35"/>
    </row>
    <row r="1101" ht="15.75" customHeight="1">
      <c r="A1101" s="35"/>
      <c r="B1101" s="35"/>
      <c r="C1101" s="35"/>
      <c r="D1101" s="35"/>
      <c r="E1101" s="35"/>
      <c r="F1101" s="35"/>
      <c r="G1101" s="35"/>
      <c r="H1101" s="35"/>
      <c r="I1101" s="35"/>
      <c r="J1101" s="35"/>
      <c r="K1101" s="35"/>
      <c r="L1101" s="35"/>
      <c r="M1101" s="35"/>
      <c r="N1101" s="35"/>
      <c r="O1101" s="35"/>
      <c r="P1101" s="35"/>
      <c r="Q1101" s="35"/>
      <c r="R1101" s="35"/>
      <c r="S1101" s="35"/>
      <c r="T1101" s="35"/>
      <c r="U1101" s="35"/>
      <c r="V1101" s="35"/>
      <c r="W1101" s="35"/>
      <c r="X1101" s="35"/>
      <c r="Y1101" s="35"/>
      <c r="Z1101" s="35"/>
      <c r="AA1101" s="35"/>
      <c r="AB1101" s="35"/>
      <c r="AC1101" s="35"/>
      <c r="AD1101" s="35"/>
      <c r="AE1101" s="35"/>
      <c r="AF1101" s="35"/>
      <c r="AG1101" s="35"/>
      <c r="AH1101" s="35"/>
      <c r="AI1101" s="35"/>
      <c r="AJ1101" s="35"/>
      <c r="AK1101" s="35"/>
      <c r="AL1101" s="35"/>
      <c r="AM1101" s="35"/>
      <c r="AN1101" s="35"/>
      <c r="AO1101" s="35"/>
      <c r="AP1101" s="35"/>
      <c r="AQ1101" s="35"/>
      <c r="AR1101" s="35"/>
      <c r="AS1101" s="35"/>
      <c r="AT1101" s="35"/>
      <c r="AU1101" s="35"/>
      <c r="AV1101" s="35"/>
      <c r="AW1101" s="35"/>
      <c r="AX1101" s="35"/>
      <c r="AY1101" s="35"/>
      <c r="AZ1101" s="35"/>
      <c r="BA1101" s="35"/>
      <c r="BB1101" s="35"/>
      <c r="BC1101" s="35"/>
      <c r="BD1101" s="35"/>
      <c r="BE1101" s="35"/>
      <c r="BF1101" s="35"/>
      <c r="BG1101" s="35"/>
    </row>
    <row r="1102" ht="15.75" customHeight="1">
      <c r="A1102" s="35"/>
      <c r="B1102" s="35"/>
      <c r="C1102" s="35"/>
      <c r="D1102" s="35"/>
      <c r="E1102" s="35"/>
      <c r="F1102" s="35"/>
      <c r="G1102" s="35"/>
      <c r="H1102" s="35"/>
      <c r="I1102" s="35"/>
      <c r="J1102" s="35"/>
      <c r="K1102" s="35"/>
      <c r="L1102" s="35"/>
      <c r="M1102" s="35"/>
      <c r="N1102" s="35"/>
      <c r="O1102" s="35"/>
      <c r="P1102" s="35"/>
      <c r="Q1102" s="35"/>
      <c r="R1102" s="35"/>
      <c r="S1102" s="35"/>
      <c r="T1102" s="35"/>
      <c r="U1102" s="35"/>
      <c r="V1102" s="35"/>
      <c r="W1102" s="35"/>
      <c r="X1102" s="35"/>
      <c r="Y1102" s="35"/>
      <c r="Z1102" s="35"/>
      <c r="AA1102" s="35"/>
      <c r="AB1102" s="35"/>
      <c r="AC1102" s="35"/>
      <c r="AD1102" s="35"/>
      <c r="AE1102" s="35"/>
      <c r="AF1102" s="35"/>
      <c r="AG1102" s="35"/>
      <c r="AH1102" s="35"/>
      <c r="AI1102" s="35"/>
      <c r="AJ1102" s="35"/>
      <c r="AK1102" s="35"/>
      <c r="AL1102" s="35"/>
      <c r="AM1102" s="35"/>
      <c r="AN1102" s="35"/>
      <c r="AO1102" s="35"/>
      <c r="AP1102" s="35"/>
      <c r="AQ1102" s="35"/>
      <c r="AR1102" s="35"/>
      <c r="AS1102" s="35"/>
      <c r="AT1102" s="35"/>
      <c r="AU1102" s="35"/>
      <c r="AV1102" s="35"/>
      <c r="AW1102" s="35"/>
      <c r="AX1102" s="35"/>
      <c r="AY1102" s="35"/>
      <c r="AZ1102" s="35"/>
      <c r="BA1102" s="35"/>
      <c r="BB1102" s="35"/>
      <c r="BC1102" s="35"/>
      <c r="BD1102" s="35"/>
      <c r="BE1102" s="35"/>
      <c r="BF1102" s="35"/>
      <c r="BG1102" s="35"/>
    </row>
    <row r="1103" ht="15.75" customHeight="1">
      <c r="A1103" s="35"/>
      <c r="B1103" s="35"/>
      <c r="C1103" s="35"/>
      <c r="D1103" s="35"/>
      <c r="E1103" s="35"/>
      <c r="F1103" s="35"/>
      <c r="G1103" s="35"/>
      <c r="H1103" s="35"/>
      <c r="I1103" s="35"/>
      <c r="J1103" s="35"/>
      <c r="K1103" s="35"/>
      <c r="L1103" s="35"/>
      <c r="M1103" s="35"/>
      <c r="N1103" s="35"/>
      <c r="O1103" s="35"/>
      <c r="P1103" s="35"/>
      <c r="Q1103" s="35"/>
      <c r="R1103" s="35"/>
      <c r="S1103" s="35"/>
      <c r="T1103" s="35"/>
      <c r="U1103" s="35"/>
      <c r="V1103" s="35"/>
      <c r="W1103" s="35"/>
      <c r="X1103" s="35"/>
      <c r="Y1103" s="35"/>
      <c r="Z1103" s="35"/>
      <c r="AA1103" s="35"/>
      <c r="AB1103" s="35"/>
      <c r="AC1103" s="35"/>
      <c r="AD1103" s="35"/>
      <c r="AE1103" s="35"/>
      <c r="AF1103" s="35"/>
      <c r="AG1103" s="35"/>
      <c r="AH1103" s="35"/>
      <c r="AI1103" s="35"/>
      <c r="AJ1103" s="35"/>
      <c r="AK1103" s="35"/>
      <c r="AL1103" s="35"/>
      <c r="AM1103" s="35"/>
      <c r="AN1103" s="35"/>
      <c r="AO1103" s="35"/>
      <c r="AP1103" s="35"/>
      <c r="AQ1103" s="35"/>
      <c r="AR1103" s="35"/>
      <c r="AS1103" s="35"/>
      <c r="AT1103" s="35"/>
      <c r="AU1103" s="35"/>
      <c r="AV1103" s="35"/>
      <c r="AW1103" s="35"/>
      <c r="AX1103" s="35"/>
      <c r="AY1103" s="35"/>
      <c r="AZ1103" s="35"/>
      <c r="BA1103" s="35"/>
      <c r="BB1103" s="35"/>
      <c r="BC1103" s="35"/>
      <c r="BD1103" s="35"/>
      <c r="BE1103" s="35"/>
      <c r="BF1103" s="35"/>
      <c r="BG1103" s="35"/>
    </row>
    <row r="1104" ht="15.75" customHeight="1">
      <c r="A1104" s="35"/>
      <c r="B1104" s="35"/>
      <c r="C1104" s="35"/>
      <c r="D1104" s="35"/>
      <c r="E1104" s="35"/>
      <c r="F1104" s="35"/>
      <c r="G1104" s="35"/>
      <c r="H1104" s="35"/>
      <c r="I1104" s="35"/>
      <c r="J1104" s="35"/>
      <c r="K1104" s="35"/>
      <c r="L1104" s="35"/>
      <c r="M1104" s="35"/>
      <c r="N1104" s="35"/>
      <c r="O1104" s="35"/>
      <c r="P1104" s="35"/>
      <c r="Q1104" s="35"/>
      <c r="R1104" s="35"/>
      <c r="S1104" s="35"/>
      <c r="T1104" s="35"/>
      <c r="U1104" s="35"/>
      <c r="V1104" s="35"/>
      <c r="W1104" s="35"/>
      <c r="X1104" s="35"/>
      <c r="Y1104" s="35"/>
      <c r="Z1104" s="35"/>
      <c r="AA1104" s="35"/>
      <c r="AB1104" s="35"/>
      <c r="AC1104" s="35"/>
      <c r="AD1104" s="35"/>
      <c r="AE1104" s="35"/>
      <c r="AF1104" s="35"/>
      <c r="AG1104" s="35"/>
      <c r="AH1104" s="35"/>
      <c r="AI1104" s="35"/>
      <c r="AJ1104" s="35"/>
      <c r="AK1104" s="35"/>
      <c r="AL1104" s="35"/>
      <c r="AM1104" s="35"/>
      <c r="AN1104" s="35"/>
      <c r="AO1104" s="35"/>
      <c r="AP1104" s="35"/>
      <c r="AQ1104" s="35"/>
      <c r="AR1104" s="35"/>
      <c r="AS1104" s="35"/>
      <c r="AT1104" s="35"/>
      <c r="AU1104" s="35"/>
      <c r="AV1104" s="35"/>
      <c r="AW1104" s="35"/>
      <c r="AX1104" s="35"/>
      <c r="AY1104" s="35"/>
      <c r="AZ1104" s="35"/>
      <c r="BA1104" s="35"/>
      <c r="BB1104" s="35"/>
      <c r="BC1104" s="35"/>
      <c r="BD1104" s="35"/>
      <c r="BE1104" s="35"/>
      <c r="BF1104" s="35"/>
      <c r="BG1104" s="35"/>
    </row>
    <row r="1105" ht="15.75" customHeight="1">
      <c r="A1105" s="35"/>
      <c r="B1105" s="35"/>
      <c r="C1105" s="35"/>
      <c r="D1105" s="35"/>
      <c r="E1105" s="35"/>
      <c r="F1105" s="35"/>
      <c r="G1105" s="35"/>
      <c r="H1105" s="35"/>
      <c r="I1105" s="35"/>
      <c r="J1105" s="35"/>
      <c r="K1105" s="35"/>
      <c r="L1105" s="35"/>
      <c r="M1105" s="35"/>
      <c r="N1105" s="35"/>
      <c r="O1105" s="35"/>
      <c r="P1105" s="35"/>
      <c r="Q1105" s="35"/>
      <c r="R1105" s="35"/>
      <c r="S1105" s="35"/>
      <c r="T1105" s="35"/>
      <c r="U1105" s="35"/>
      <c r="V1105" s="35"/>
      <c r="W1105" s="35"/>
      <c r="X1105" s="35"/>
      <c r="Y1105" s="35"/>
      <c r="Z1105" s="35"/>
      <c r="AA1105" s="35"/>
      <c r="AB1105" s="35"/>
      <c r="AC1105" s="35"/>
      <c r="AD1105" s="35"/>
      <c r="AE1105" s="35"/>
      <c r="AF1105" s="35"/>
      <c r="AG1105" s="35"/>
      <c r="AH1105" s="35"/>
      <c r="AI1105" s="35"/>
      <c r="AJ1105" s="35"/>
      <c r="AK1105" s="35"/>
      <c r="AL1105" s="35"/>
      <c r="AM1105" s="35"/>
      <c r="AN1105" s="35"/>
      <c r="AO1105" s="35"/>
      <c r="AP1105" s="35"/>
      <c r="AQ1105" s="35"/>
      <c r="AR1105" s="35"/>
      <c r="AS1105" s="35"/>
      <c r="AT1105" s="35"/>
      <c r="AU1105" s="35"/>
      <c r="AV1105" s="35"/>
      <c r="AW1105" s="35"/>
      <c r="AX1105" s="35"/>
      <c r="AY1105" s="35"/>
      <c r="AZ1105" s="35"/>
      <c r="BA1105" s="35"/>
      <c r="BB1105" s="35"/>
      <c r="BC1105" s="35"/>
      <c r="BD1105" s="35"/>
      <c r="BE1105" s="35"/>
      <c r="BF1105" s="35"/>
      <c r="BG1105" s="35"/>
    </row>
    <row r="1106" ht="15.75" customHeight="1">
      <c r="A1106" s="35"/>
      <c r="B1106" s="35"/>
      <c r="C1106" s="35"/>
      <c r="D1106" s="35"/>
      <c r="E1106" s="35"/>
      <c r="F1106" s="35"/>
      <c r="G1106" s="35"/>
      <c r="H1106" s="35"/>
      <c r="I1106" s="35"/>
      <c r="J1106" s="35"/>
      <c r="K1106" s="35"/>
      <c r="L1106" s="35"/>
      <c r="M1106" s="35"/>
      <c r="N1106" s="35"/>
      <c r="O1106" s="35"/>
      <c r="P1106" s="35"/>
      <c r="Q1106" s="35"/>
      <c r="R1106" s="35"/>
      <c r="S1106" s="35"/>
      <c r="T1106" s="35"/>
      <c r="U1106" s="35"/>
      <c r="V1106" s="35"/>
      <c r="W1106" s="35"/>
      <c r="X1106" s="35"/>
      <c r="Y1106" s="35"/>
      <c r="Z1106" s="35"/>
      <c r="AA1106" s="35"/>
      <c r="AB1106" s="35"/>
      <c r="AC1106" s="35"/>
      <c r="AD1106" s="35"/>
      <c r="AE1106" s="35"/>
      <c r="AF1106" s="35"/>
      <c r="AG1106" s="35"/>
      <c r="AH1106" s="35"/>
      <c r="AI1106" s="35"/>
      <c r="AJ1106" s="35"/>
      <c r="AK1106" s="35"/>
      <c r="AL1106" s="35"/>
      <c r="AM1106" s="35"/>
      <c r="AN1106" s="35"/>
      <c r="AO1106" s="35"/>
      <c r="AP1106" s="35"/>
      <c r="AQ1106" s="35"/>
      <c r="AR1106" s="35"/>
      <c r="AS1106" s="35"/>
      <c r="AT1106" s="35"/>
      <c r="AU1106" s="35"/>
      <c r="AV1106" s="35"/>
      <c r="AW1106" s="35"/>
      <c r="AX1106" s="35"/>
      <c r="AY1106" s="35"/>
      <c r="AZ1106" s="35"/>
      <c r="BA1106" s="35"/>
      <c r="BB1106" s="35"/>
      <c r="BC1106" s="35"/>
      <c r="BD1106" s="35"/>
      <c r="BE1106" s="35"/>
      <c r="BF1106" s="35"/>
      <c r="BG1106" s="35"/>
    </row>
    <row r="1107" ht="15.75" customHeight="1">
      <c r="A1107" s="35"/>
      <c r="B1107" s="35"/>
      <c r="C1107" s="35"/>
      <c r="D1107" s="35"/>
      <c r="E1107" s="35"/>
      <c r="F1107" s="35"/>
      <c r="G1107" s="35"/>
      <c r="H1107" s="35"/>
      <c r="I1107" s="35"/>
      <c r="J1107" s="35"/>
      <c r="K1107" s="35"/>
      <c r="L1107" s="35"/>
      <c r="M1107" s="35"/>
      <c r="N1107" s="35"/>
      <c r="O1107" s="35"/>
      <c r="P1107" s="35"/>
      <c r="Q1107" s="35"/>
      <c r="R1107" s="35"/>
      <c r="S1107" s="35"/>
      <c r="T1107" s="35"/>
      <c r="U1107" s="35"/>
      <c r="V1107" s="35"/>
      <c r="W1107" s="35"/>
      <c r="X1107" s="35"/>
      <c r="Y1107" s="35"/>
      <c r="Z1107" s="35"/>
      <c r="AA1107" s="35"/>
      <c r="AB1107" s="35"/>
      <c r="AC1107" s="35"/>
      <c r="AD1107" s="35"/>
      <c r="AE1107" s="35"/>
      <c r="AF1107" s="35"/>
      <c r="AG1107" s="35"/>
      <c r="AH1107" s="35"/>
      <c r="AI1107" s="35"/>
      <c r="AJ1107" s="35"/>
      <c r="AK1107" s="35"/>
      <c r="AL1107" s="35"/>
      <c r="AM1107" s="35"/>
      <c r="AN1107" s="35"/>
      <c r="AO1107" s="35"/>
      <c r="AP1107" s="35"/>
      <c r="AQ1107" s="35"/>
      <c r="AR1107" s="35"/>
      <c r="AS1107" s="35"/>
      <c r="AT1107" s="35"/>
      <c r="AU1107" s="35"/>
      <c r="AV1107" s="35"/>
      <c r="AW1107" s="35"/>
      <c r="AX1107" s="35"/>
      <c r="AY1107" s="35"/>
      <c r="AZ1107" s="35"/>
      <c r="BA1107" s="35"/>
      <c r="BB1107" s="35"/>
      <c r="BC1107" s="35"/>
      <c r="BD1107" s="35"/>
      <c r="BE1107" s="35"/>
      <c r="BF1107" s="35"/>
      <c r="BG1107" s="35"/>
    </row>
    <row r="1108" ht="15.75" customHeight="1">
      <c r="A1108" s="35"/>
      <c r="B1108" s="35"/>
      <c r="C1108" s="35"/>
      <c r="D1108" s="35"/>
      <c r="E1108" s="35"/>
      <c r="F1108" s="35"/>
      <c r="G1108" s="35"/>
      <c r="H1108" s="35"/>
      <c r="I1108" s="35"/>
      <c r="J1108" s="35"/>
      <c r="K1108" s="35"/>
      <c r="L1108" s="35"/>
      <c r="M1108" s="35"/>
      <c r="N1108" s="35"/>
      <c r="O1108" s="35"/>
      <c r="P1108" s="35"/>
      <c r="Q1108" s="35"/>
      <c r="R1108" s="35"/>
      <c r="S1108" s="35"/>
      <c r="T1108" s="35"/>
      <c r="U1108" s="35"/>
      <c r="V1108" s="35"/>
      <c r="W1108" s="35"/>
      <c r="X1108" s="35"/>
      <c r="Y1108" s="35"/>
      <c r="Z1108" s="35"/>
      <c r="AA1108" s="35"/>
      <c r="AB1108" s="35"/>
      <c r="AC1108" s="35"/>
      <c r="AD1108" s="35"/>
      <c r="AE1108" s="35"/>
      <c r="AF1108" s="35"/>
      <c r="AG1108" s="35"/>
      <c r="AH1108" s="35"/>
      <c r="AI1108" s="35"/>
      <c r="AJ1108" s="35"/>
      <c r="AK1108" s="35"/>
      <c r="AL1108" s="35"/>
      <c r="AM1108" s="35"/>
      <c r="AN1108" s="35"/>
      <c r="AO1108" s="35"/>
      <c r="AP1108" s="35"/>
      <c r="AQ1108" s="35"/>
      <c r="AR1108" s="35"/>
      <c r="AS1108" s="35"/>
      <c r="AT1108" s="35"/>
      <c r="AU1108" s="35"/>
      <c r="AV1108" s="35"/>
      <c r="AW1108" s="35"/>
      <c r="AX1108" s="35"/>
      <c r="AY1108" s="35"/>
      <c r="AZ1108" s="35"/>
      <c r="BA1108" s="35"/>
      <c r="BB1108" s="35"/>
      <c r="BC1108" s="35"/>
      <c r="BD1108" s="35"/>
      <c r="BE1108" s="35"/>
      <c r="BF1108" s="35"/>
      <c r="BG1108" s="35"/>
    </row>
    <row r="1109" ht="15.75" customHeight="1">
      <c r="A1109" s="35"/>
      <c r="B1109" s="35"/>
      <c r="C1109" s="35"/>
      <c r="D1109" s="35"/>
      <c r="E1109" s="35"/>
      <c r="F1109" s="35"/>
      <c r="G1109" s="35"/>
      <c r="H1109" s="35"/>
      <c r="I1109" s="35"/>
      <c r="J1109" s="35"/>
      <c r="K1109" s="35"/>
      <c r="L1109" s="35"/>
      <c r="M1109" s="35"/>
      <c r="N1109" s="35"/>
      <c r="O1109" s="35"/>
      <c r="P1109" s="35"/>
      <c r="Q1109" s="35"/>
      <c r="R1109" s="35"/>
      <c r="S1109" s="35"/>
      <c r="T1109" s="35"/>
      <c r="U1109" s="35"/>
      <c r="V1109" s="35"/>
      <c r="W1109" s="35"/>
      <c r="X1109" s="35"/>
      <c r="Y1109" s="35"/>
      <c r="Z1109" s="35"/>
      <c r="AA1109" s="35"/>
      <c r="AB1109" s="35"/>
      <c r="AC1109" s="35"/>
      <c r="AD1109" s="35"/>
      <c r="AE1109" s="35"/>
      <c r="AF1109" s="35"/>
      <c r="AG1109" s="35"/>
      <c r="AH1109" s="35"/>
      <c r="AI1109" s="35"/>
      <c r="AJ1109" s="35"/>
      <c r="AK1109" s="35"/>
      <c r="AL1109" s="35"/>
      <c r="AM1109" s="35"/>
      <c r="AN1109" s="35"/>
      <c r="AO1109" s="35"/>
      <c r="AP1109" s="35"/>
      <c r="AQ1109" s="35"/>
      <c r="AR1109" s="35"/>
      <c r="AS1109" s="35"/>
      <c r="AT1109" s="35"/>
      <c r="AU1109" s="35"/>
      <c r="AV1109" s="35"/>
      <c r="AW1109" s="35"/>
      <c r="AX1109" s="35"/>
      <c r="AY1109" s="35"/>
      <c r="AZ1109" s="35"/>
      <c r="BA1109" s="35"/>
      <c r="BB1109" s="35"/>
      <c r="BC1109" s="35"/>
      <c r="BD1109" s="35"/>
      <c r="BE1109" s="35"/>
      <c r="BF1109" s="35"/>
      <c r="BG1109" s="35"/>
    </row>
    <row r="1110" ht="15.75" customHeight="1">
      <c r="A1110" s="35"/>
      <c r="B1110" s="35"/>
      <c r="C1110" s="35"/>
      <c r="D1110" s="35"/>
      <c r="E1110" s="35"/>
      <c r="F1110" s="35"/>
      <c r="G1110" s="35"/>
      <c r="H1110" s="35"/>
      <c r="I1110" s="35"/>
      <c r="J1110" s="35"/>
      <c r="K1110" s="35"/>
      <c r="L1110" s="35"/>
      <c r="M1110" s="35"/>
      <c r="N1110" s="35"/>
      <c r="O1110" s="35"/>
      <c r="P1110" s="35"/>
      <c r="Q1110" s="35"/>
      <c r="R1110" s="35"/>
      <c r="S1110" s="35"/>
      <c r="T1110" s="35"/>
      <c r="U1110" s="35"/>
      <c r="V1110" s="35"/>
      <c r="W1110" s="35"/>
      <c r="X1110" s="35"/>
      <c r="Y1110" s="35"/>
      <c r="Z1110" s="35"/>
      <c r="AA1110" s="35"/>
      <c r="AB1110" s="35"/>
      <c r="AC1110" s="35"/>
      <c r="AD1110" s="35"/>
      <c r="AE1110" s="35"/>
      <c r="AF1110" s="35"/>
      <c r="AG1110" s="35"/>
      <c r="AH1110" s="35"/>
      <c r="AI1110" s="35"/>
      <c r="AJ1110" s="35"/>
      <c r="AK1110" s="35"/>
      <c r="AL1110" s="35"/>
      <c r="AM1110" s="35"/>
      <c r="AN1110" s="35"/>
      <c r="AO1110" s="35"/>
      <c r="AP1110" s="35"/>
      <c r="AQ1110" s="35"/>
      <c r="AR1110" s="35"/>
      <c r="AS1110" s="35"/>
      <c r="AT1110" s="35"/>
      <c r="AU1110" s="35"/>
      <c r="AV1110" s="35"/>
      <c r="AW1110" s="35"/>
      <c r="AX1110" s="35"/>
      <c r="AY1110" s="35"/>
      <c r="AZ1110" s="35"/>
      <c r="BA1110" s="35"/>
      <c r="BB1110" s="35"/>
      <c r="BC1110" s="35"/>
      <c r="BD1110" s="35"/>
      <c r="BE1110" s="35"/>
      <c r="BF1110" s="35"/>
      <c r="BG1110" s="35"/>
    </row>
    <row r="1111" ht="15.75" customHeight="1">
      <c r="A1111" s="35"/>
      <c r="B1111" s="35"/>
      <c r="C1111" s="35"/>
      <c r="D1111" s="35"/>
      <c r="E1111" s="35"/>
      <c r="F1111" s="35"/>
      <c r="G1111" s="35"/>
      <c r="H1111" s="35"/>
      <c r="I1111" s="35"/>
      <c r="J1111" s="35"/>
      <c r="K1111" s="35"/>
      <c r="L1111" s="35"/>
      <c r="M1111" s="35"/>
      <c r="N1111" s="35"/>
      <c r="O1111" s="35"/>
      <c r="P1111" s="35"/>
      <c r="Q1111" s="35"/>
      <c r="R1111" s="35"/>
      <c r="S1111" s="35"/>
      <c r="T1111" s="35"/>
      <c r="U1111" s="35"/>
      <c r="V1111" s="35"/>
      <c r="W1111" s="35"/>
      <c r="X1111" s="35"/>
      <c r="Y1111" s="35"/>
      <c r="Z1111" s="35"/>
      <c r="AA1111" s="35"/>
      <c r="AB1111" s="35"/>
      <c r="AC1111" s="35"/>
      <c r="AD1111" s="35"/>
      <c r="AE1111" s="35"/>
      <c r="AF1111" s="35"/>
      <c r="AG1111" s="35"/>
      <c r="AH1111" s="35"/>
      <c r="AI1111" s="35"/>
      <c r="AJ1111" s="35"/>
      <c r="AK1111" s="35"/>
      <c r="AL1111" s="35"/>
      <c r="AM1111" s="35"/>
      <c r="AN1111" s="35"/>
      <c r="AO1111" s="35"/>
      <c r="AP1111" s="35"/>
      <c r="AQ1111" s="35"/>
      <c r="AR1111" s="35"/>
      <c r="AS1111" s="35"/>
      <c r="AT1111" s="35"/>
      <c r="AU1111" s="35"/>
      <c r="AV1111" s="35"/>
      <c r="AW1111" s="35"/>
      <c r="AX1111" s="35"/>
      <c r="AY1111" s="35"/>
      <c r="AZ1111" s="35"/>
      <c r="BA1111" s="35"/>
      <c r="BB1111" s="35"/>
      <c r="BC1111" s="35"/>
      <c r="BD1111" s="35"/>
      <c r="BE1111" s="35"/>
      <c r="BF1111" s="35"/>
      <c r="BG1111" s="35"/>
    </row>
    <row r="1112" ht="15.75" customHeight="1">
      <c r="A1112" s="35"/>
      <c r="B1112" s="35"/>
      <c r="C1112" s="35"/>
      <c r="D1112" s="35"/>
      <c r="E1112" s="35"/>
      <c r="F1112" s="35"/>
      <c r="G1112" s="35"/>
      <c r="H1112" s="35"/>
      <c r="I1112" s="35"/>
      <c r="J1112" s="35"/>
      <c r="K1112" s="35"/>
      <c r="L1112" s="35"/>
      <c r="M1112" s="35"/>
      <c r="N1112" s="35"/>
      <c r="O1112" s="35"/>
      <c r="P1112" s="35"/>
      <c r="Q1112" s="35"/>
      <c r="R1112" s="35"/>
      <c r="S1112" s="35"/>
      <c r="T1112" s="35"/>
      <c r="U1112" s="35"/>
      <c r="V1112" s="35"/>
      <c r="W1112" s="35"/>
      <c r="X1112" s="35"/>
      <c r="Y1112" s="35"/>
      <c r="Z1112" s="35"/>
      <c r="AA1112" s="35"/>
      <c r="AB1112" s="35"/>
      <c r="AC1112" s="35"/>
      <c r="AD1112" s="35"/>
      <c r="AE1112" s="35"/>
      <c r="AF1112" s="35"/>
      <c r="AG1112" s="35"/>
      <c r="AH1112" s="35"/>
      <c r="AI1112" s="35"/>
      <c r="AJ1112" s="35"/>
      <c r="AK1112" s="35"/>
      <c r="AL1112" s="35"/>
      <c r="AM1112" s="35"/>
      <c r="AN1112" s="35"/>
      <c r="AO1112" s="35"/>
      <c r="AP1112" s="35"/>
      <c r="AQ1112" s="35"/>
      <c r="AR1112" s="35"/>
      <c r="AS1112" s="35"/>
      <c r="AT1112" s="35"/>
      <c r="AU1112" s="35"/>
      <c r="AV1112" s="35"/>
      <c r="AW1112" s="35"/>
      <c r="AX1112" s="35"/>
      <c r="AY1112" s="35"/>
      <c r="AZ1112" s="35"/>
      <c r="BA1112" s="35"/>
      <c r="BB1112" s="35"/>
      <c r="BC1112" s="35"/>
      <c r="BD1112" s="35"/>
      <c r="BE1112" s="35"/>
      <c r="BF1112" s="35"/>
      <c r="BG1112" s="35"/>
    </row>
    <row r="1113" ht="15.75" customHeight="1">
      <c r="A1113" s="35"/>
      <c r="B1113" s="35"/>
      <c r="C1113" s="35"/>
      <c r="D1113" s="35"/>
      <c r="E1113" s="35"/>
      <c r="F1113" s="35"/>
      <c r="G1113" s="35"/>
      <c r="H1113" s="35"/>
      <c r="I1113" s="35"/>
      <c r="J1113" s="35"/>
      <c r="K1113" s="35"/>
      <c r="L1113" s="35"/>
      <c r="M1113" s="35"/>
      <c r="N1113" s="35"/>
      <c r="O1113" s="35"/>
      <c r="P1113" s="35"/>
      <c r="Q1113" s="35"/>
      <c r="R1113" s="35"/>
      <c r="S1113" s="35"/>
      <c r="T1113" s="35"/>
      <c r="U1113" s="35"/>
      <c r="V1113" s="35"/>
      <c r="W1113" s="35"/>
      <c r="X1113" s="35"/>
      <c r="Y1113" s="35"/>
      <c r="Z1113" s="35"/>
      <c r="AA1113" s="35"/>
      <c r="AB1113" s="35"/>
      <c r="AC1113" s="35"/>
      <c r="AD1113" s="35"/>
      <c r="AE1113" s="35"/>
      <c r="AF1113" s="35"/>
      <c r="AG1113" s="35"/>
      <c r="AH1113" s="35"/>
      <c r="AI1113" s="35"/>
      <c r="AJ1113" s="35"/>
      <c r="AK1113" s="35"/>
      <c r="AL1113" s="35"/>
      <c r="AM1113" s="35"/>
      <c r="AN1113" s="35"/>
      <c r="AO1113" s="35"/>
      <c r="AP1113" s="35"/>
      <c r="AQ1113" s="35"/>
      <c r="AR1113" s="35"/>
      <c r="AS1113" s="35"/>
      <c r="AT1113" s="35"/>
      <c r="AU1113" s="35"/>
      <c r="AV1113" s="35"/>
      <c r="AW1113" s="35"/>
      <c r="AX1113" s="35"/>
      <c r="AY1113" s="35"/>
      <c r="AZ1113" s="35"/>
      <c r="BA1113" s="35"/>
      <c r="BB1113" s="35"/>
      <c r="BC1113" s="35"/>
      <c r="BD1113" s="35"/>
      <c r="BE1113" s="35"/>
      <c r="BF1113" s="35"/>
      <c r="BG1113" s="35"/>
    </row>
    <row r="1114" ht="15.75" customHeight="1">
      <c r="A1114" s="35"/>
      <c r="B1114" s="35"/>
      <c r="C1114" s="35"/>
      <c r="D1114" s="35"/>
      <c r="E1114" s="35"/>
      <c r="F1114" s="35"/>
      <c r="G1114" s="35"/>
      <c r="H1114" s="35"/>
      <c r="I1114" s="35"/>
      <c r="J1114" s="35"/>
      <c r="K1114" s="35"/>
      <c r="L1114" s="35"/>
      <c r="M1114" s="35"/>
      <c r="N1114" s="35"/>
      <c r="O1114" s="35"/>
      <c r="P1114" s="35"/>
      <c r="Q1114" s="35"/>
      <c r="R1114" s="35"/>
      <c r="S1114" s="35"/>
      <c r="T1114" s="35"/>
      <c r="U1114" s="35"/>
      <c r="V1114" s="35"/>
      <c r="W1114" s="35"/>
      <c r="X1114" s="35"/>
      <c r="Y1114" s="35"/>
      <c r="Z1114" s="35"/>
      <c r="AA1114" s="35"/>
      <c r="AB1114" s="35"/>
      <c r="AC1114" s="35"/>
      <c r="AD1114" s="35"/>
      <c r="AE1114" s="35"/>
      <c r="AF1114" s="35"/>
      <c r="AG1114" s="35"/>
      <c r="AH1114" s="35"/>
      <c r="AI1114" s="35"/>
      <c r="AJ1114" s="35"/>
      <c r="AK1114" s="35"/>
      <c r="AL1114" s="35"/>
      <c r="AM1114" s="35"/>
      <c r="AN1114" s="35"/>
      <c r="AO1114" s="35"/>
      <c r="AP1114" s="35"/>
      <c r="AQ1114" s="35"/>
      <c r="AR1114" s="35"/>
      <c r="AS1114" s="35"/>
      <c r="AT1114" s="35"/>
      <c r="AU1114" s="35"/>
      <c r="AV1114" s="35"/>
      <c r="AW1114" s="35"/>
      <c r="AX1114" s="35"/>
      <c r="AY1114" s="35"/>
      <c r="AZ1114" s="35"/>
      <c r="BA1114" s="35"/>
      <c r="BB1114" s="35"/>
      <c r="BC1114" s="35"/>
      <c r="BD1114" s="35"/>
      <c r="BE1114" s="35"/>
      <c r="BF1114" s="35"/>
      <c r="BG1114" s="35"/>
    </row>
    <row r="1115" ht="15.75" customHeight="1">
      <c r="A1115" s="35"/>
      <c r="B1115" s="35"/>
      <c r="C1115" s="35"/>
      <c r="D1115" s="35"/>
      <c r="E1115" s="35"/>
      <c r="F1115" s="35"/>
      <c r="G1115" s="35"/>
      <c r="H1115" s="35"/>
      <c r="I1115" s="35"/>
      <c r="J1115" s="35"/>
      <c r="K1115" s="35"/>
      <c r="L1115" s="35"/>
      <c r="M1115" s="35"/>
      <c r="N1115" s="35"/>
      <c r="O1115" s="35"/>
      <c r="P1115" s="35"/>
      <c r="Q1115" s="35"/>
      <c r="R1115" s="35"/>
      <c r="S1115" s="35"/>
      <c r="T1115" s="35"/>
      <c r="U1115" s="35"/>
      <c r="V1115" s="35"/>
      <c r="W1115" s="35"/>
      <c r="X1115" s="35"/>
      <c r="Y1115" s="35"/>
      <c r="Z1115" s="35"/>
      <c r="AA1115" s="35"/>
      <c r="AB1115" s="35"/>
      <c r="AC1115" s="35"/>
      <c r="AD1115" s="35"/>
      <c r="AE1115" s="35"/>
      <c r="AF1115" s="35"/>
      <c r="AG1115" s="35"/>
      <c r="AH1115" s="35"/>
      <c r="AI1115" s="35"/>
      <c r="AJ1115" s="35"/>
      <c r="AK1115" s="35"/>
      <c r="AL1115" s="35"/>
      <c r="AM1115" s="35"/>
      <c r="AN1115" s="35"/>
      <c r="AO1115" s="35"/>
      <c r="AP1115" s="35"/>
      <c r="AQ1115" s="35"/>
      <c r="AR1115" s="35"/>
      <c r="AS1115" s="35"/>
      <c r="AT1115" s="35"/>
      <c r="AU1115" s="35"/>
      <c r="AV1115" s="35"/>
      <c r="AW1115" s="35"/>
      <c r="AX1115" s="35"/>
      <c r="AY1115" s="35"/>
      <c r="AZ1115" s="35"/>
      <c r="BA1115" s="35"/>
      <c r="BB1115" s="35"/>
      <c r="BC1115" s="35"/>
      <c r="BD1115" s="35"/>
      <c r="BE1115" s="35"/>
      <c r="BF1115" s="35"/>
      <c r="BG1115" s="35"/>
    </row>
    <row r="1116" ht="15.75" customHeight="1">
      <c r="A1116" s="35"/>
      <c r="B1116" s="35"/>
      <c r="C1116" s="35"/>
      <c r="D1116" s="35"/>
      <c r="E1116" s="35"/>
      <c r="F1116" s="35"/>
      <c r="G1116" s="35"/>
      <c r="H1116" s="35"/>
      <c r="I1116" s="35"/>
      <c r="J1116" s="35"/>
      <c r="K1116" s="35"/>
      <c r="L1116" s="35"/>
      <c r="M1116" s="35"/>
      <c r="N1116" s="35"/>
      <c r="O1116" s="35"/>
      <c r="P1116" s="35"/>
      <c r="Q1116" s="35"/>
      <c r="R1116" s="35"/>
      <c r="S1116" s="35"/>
      <c r="T1116" s="35"/>
      <c r="U1116" s="35"/>
      <c r="V1116" s="35"/>
      <c r="W1116" s="35"/>
      <c r="X1116" s="35"/>
      <c r="Y1116" s="35"/>
      <c r="Z1116" s="35"/>
      <c r="AA1116" s="35"/>
      <c r="AB1116" s="35"/>
      <c r="AC1116" s="35"/>
      <c r="AD1116" s="35"/>
      <c r="AE1116" s="35"/>
      <c r="AF1116" s="35"/>
      <c r="AG1116" s="35"/>
      <c r="AH1116" s="35"/>
      <c r="AI1116" s="35"/>
      <c r="AJ1116" s="35"/>
      <c r="AK1116" s="35"/>
      <c r="AL1116" s="35"/>
      <c r="AM1116" s="35"/>
      <c r="AN1116" s="35"/>
      <c r="AO1116" s="35"/>
      <c r="AP1116" s="35"/>
      <c r="AQ1116" s="35"/>
      <c r="AR1116" s="35"/>
      <c r="AS1116" s="35"/>
      <c r="AT1116" s="35"/>
      <c r="AU1116" s="35"/>
      <c r="AV1116" s="35"/>
      <c r="AW1116" s="35"/>
      <c r="AX1116" s="35"/>
      <c r="AY1116" s="35"/>
      <c r="AZ1116" s="35"/>
      <c r="BA1116" s="35"/>
      <c r="BB1116" s="35"/>
      <c r="BC1116" s="35"/>
      <c r="BD1116" s="35"/>
      <c r="BE1116" s="35"/>
      <c r="BF1116" s="35"/>
      <c r="BG1116" s="35"/>
    </row>
    <row r="1117" ht="15.75" customHeight="1">
      <c r="A1117" s="35"/>
      <c r="B1117" s="35"/>
      <c r="C1117" s="35"/>
      <c r="D1117" s="35"/>
      <c r="E1117" s="35"/>
      <c r="F1117" s="35"/>
      <c r="G1117" s="35"/>
      <c r="H1117" s="35"/>
      <c r="I1117" s="35"/>
      <c r="J1117" s="35"/>
      <c r="K1117" s="35"/>
      <c r="L1117" s="35"/>
      <c r="M1117" s="35"/>
      <c r="N1117" s="35"/>
      <c r="O1117" s="35"/>
      <c r="P1117" s="35"/>
      <c r="Q1117" s="35"/>
      <c r="R1117" s="35"/>
      <c r="S1117" s="35"/>
      <c r="T1117" s="35"/>
      <c r="U1117" s="35"/>
      <c r="V1117" s="35"/>
      <c r="W1117" s="35"/>
      <c r="X1117" s="35"/>
      <c r="Y1117" s="35"/>
      <c r="Z1117" s="35"/>
      <c r="AA1117" s="35"/>
      <c r="AB1117" s="35"/>
      <c r="AC1117" s="35"/>
      <c r="AD1117" s="35"/>
      <c r="AE1117" s="35"/>
      <c r="AF1117" s="35"/>
      <c r="AG1117" s="35"/>
      <c r="AH1117" s="35"/>
      <c r="AI1117" s="35"/>
      <c r="AJ1117" s="35"/>
      <c r="AK1117" s="35"/>
      <c r="AL1117" s="35"/>
      <c r="AM1117" s="35"/>
      <c r="AN1117" s="35"/>
      <c r="AO1117" s="35"/>
      <c r="AP1117" s="35"/>
      <c r="AQ1117" s="35"/>
      <c r="AR1117" s="35"/>
      <c r="AS1117" s="35"/>
      <c r="AT1117" s="35"/>
      <c r="AU1117" s="35"/>
      <c r="AV1117" s="35"/>
      <c r="AW1117" s="35"/>
      <c r="AX1117" s="35"/>
      <c r="AY1117" s="35"/>
      <c r="AZ1117" s="35"/>
      <c r="BA1117" s="35"/>
      <c r="BB1117" s="35"/>
      <c r="BC1117" s="35"/>
      <c r="BD1117" s="35"/>
      <c r="BE1117" s="35"/>
      <c r="BF1117" s="35"/>
      <c r="BG1117" s="35"/>
    </row>
    <row r="1118" ht="15.75" customHeight="1">
      <c r="A1118" s="35"/>
      <c r="B1118" s="35"/>
      <c r="C1118" s="35"/>
      <c r="D1118" s="35"/>
      <c r="E1118" s="35"/>
      <c r="F1118" s="35"/>
      <c r="G1118" s="35"/>
      <c r="H1118" s="35"/>
      <c r="I1118" s="35"/>
      <c r="J1118" s="35"/>
      <c r="K1118" s="35"/>
      <c r="L1118" s="35"/>
      <c r="M1118" s="35"/>
      <c r="N1118" s="35"/>
      <c r="O1118" s="35"/>
      <c r="P1118" s="35"/>
      <c r="Q1118" s="35"/>
      <c r="R1118" s="35"/>
      <c r="S1118" s="35"/>
      <c r="T1118" s="35"/>
      <c r="U1118" s="35"/>
      <c r="V1118" s="35"/>
      <c r="W1118" s="35"/>
      <c r="X1118" s="35"/>
      <c r="Y1118" s="35"/>
      <c r="Z1118" s="35"/>
      <c r="AA1118" s="35"/>
      <c r="AB1118" s="35"/>
      <c r="AC1118" s="35"/>
      <c r="AD1118" s="35"/>
      <c r="AE1118" s="35"/>
      <c r="AF1118" s="35"/>
      <c r="AG1118" s="35"/>
      <c r="AH1118" s="35"/>
      <c r="AI1118" s="35"/>
      <c r="AJ1118" s="35"/>
      <c r="AK1118" s="35"/>
      <c r="AL1118" s="35"/>
      <c r="AM1118" s="35"/>
      <c r="AN1118" s="35"/>
      <c r="AO1118" s="35"/>
      <c r="AP1118" s="35"/>
      <c r="AQ1118" s="35"/>
      <c r="AR1118" s="35"/>
      <c r="AS1118" s="35"/>
      <c r="AT1118" s="35"/>
      <c r="AU1118" s="35"/>
      <c r="AV1118" s="35"/>
      <c r="AW1118" s="35"/>
      <c r="AX1118" s="35"/>
      <c r="AY1118" s="35"/>
      <c r="AZ1118" s="35"/>
      <c r="BA1118" s="35"/>
      <c r="BB1118" s="35"/>
      <c r="BC1118" s="35"/>
      <c r="BD1118" s="35"/>
      <c r="BE1118" s="35"/>
      <c r="BF1118" s="35"/>
      <c r="BG1118" s="35"/>
    </row>
    <row r="1119" ht="15.75" customHeight="1">
      <c r="A1119" s="35"/>
      <c r="B1119" s="35"/>
      <c r="C1119" s="35"/>
      <c r="D1119" s="35"/>
      <c r="E1119" s="35"/>
      <c r="F1119" s="35"/>
      <c r="G1119" s="35"/>
      <c r="H1119" s="35"/>
      <c r="I1119" s="35"/>
      <c r="J1119" s="35"/>
      <c r="K1119" s="35"/>
      <c r="L1119" s="35"/>
      <c r="M1119" s="35"/>
      <c r="N1119" s="35"/>
      <c r="O1119" s="35"/>
      <c r="P1119" s="35"/>
      <c r="Q1119" s="35"/>
      <c r="R1119" s="35"/>
      <c r="S1119" s="35"/>
      <c r="T1119" s="35"/>
      <c r="U1119" s="35"/>
      <c r="V1119" s="35"/>
      <c r="W1119" s="35"/>
      <c r="X1119" s="35"/>
      <c r="Y1119" s="35"/>
      <c r="Z1119" s="35"/>
      <c r="AA1119" s="35"/>
      <c r="AB1119" s="35"/>
      <c r="AC1119" s="35"/>
      <c r="AD1119" s="35"/>
      <c r="AE1119" s="35"/>
      <c r="AF1119" s="35"/>
      <c r="AG1119" s="35"/>
      <c r="AH1119" s="35"/>
      <c r="AI1119" s="35"/>
      <c r="AJ1119" s="35"/>
      <c r="AK1119" s="35"/>
      <c r="AL1119" s="35"/>
      <c r="AM1119" s="35"/>
      <c r="AN1119" s="35"/>
      <c r="AO1119" s="35"/>
      <c r="AP1119" s="35"/>
      <c r="AQ1119" s="35"/>
      <c r="AR1119" s="35"/>
      <c r="AS1119" s="35"/>
      <c r="AT1119" s="35"/>
      <c r="AU1119" s="35"/>
      <c r="AV1119" s="35"/>
      <c r="AW1119" s="35"/>
      <c r="AX1119" s="35"/>
      <c r="AY1119" s="35"/>
      <c r="AZ1119" s="35"/>
      <c r="BA1119" s="35"/>
      <c r="BB1119" s="35"/>
      <c r="BC1119" s="35"/>
      <c r="BD1119" s="35"/>
      <c r="BE1119" s="35"/>
      <c r="BF1119" s="35"/>
      <c r="BG1119" s="35"/>
    </row>
    <row r="1120" ht="15.75" customHeight="1">
      <c r="A1120" s="35"/>
      <c r="B1120" s="35"/>
      <c r="C1120" s="35"/>
      <c r="D1120" s="35"/>
      <c r="E1120" s="35"/>
      <c r="F1120" s="35"/>
      <c r="G1120" s="35"/>
      <c r="H1120" s="35"/>
      <c r="I1120" s="35"/>
      <c r="J1120" s="35"/>
      <c r="K1120" s="35"/>
      <c r="L1120" s="35"/>
      <c r="M1120" s="35"/>
      <c r="N1120" s="35"/>
      <c r="O1120" s="35"/>
      <c r="P1120" s="35"/>
      <c r="Q1120" s="35"/>
      <c r="R1120" s="35"/>
      <c r="S1120" s="35"/>
      <c r="T1120" s="35"/>
      <c r="U1120" s="35"/>
      <c r="V1120" s="35"/>
      <c r="W1120" s="35"/>
      <c r="X1120" s="35"/>
      <c r="Y1120" s="35"/>
      <c r="Z1120" s="35"/>
      <c r="AA1120" s="35"/>
      <c r="AB1120" s="35"/>
      <c r="AC1120" s="35"/>
      <c r="AD1120" s="35"/>
      <c r="AE1120" s="35"/>
      <c r="AF1120" s="35"/>
      <c r="AG1120" s="35"/>
      <c r="AH1120" s="35"/>
      <c r="AI1120" s="35"/>
      <c r="AJ1120" s="35"/>
      <c r="AK1120" s="35"/>
      <c r="AL1120" s="35"/>
      <c r="AM1120" s="35"/>
      <c r="AN1120" s="35"/>
      <c r="AO1120" s="35"/>
      <c r="AP1120" s="35"/>
      <c r="AQ1120" s="35"/>
      <c r="AR1120" s="35"/>
      <c r="AS1120" s="35"/>
      <c r="AT1120" s="35"/>
      <c r="AU1120" s="35"/>
      <c r="AV1120" s="35"/>
      <c r="AW1120" s="35"/>
      <c r="AX1120" s="35"/>
      <c r="AY1120" s="35"/>
      <c r="AZ1120" s="35"/>
      <c r="BA1120" s="35"/>
      <c r="BB1120" s="35"/>
      <c r="BC1120" s="35"/>
      <c r="BD1120" s="35"/>
      <c r="BE1120" s="35"/>
      <c r="BF1120" s="35"/>
      <c r="BG1120" s="35"/>
    </row>
    <row r="1121" ht="15.75" customHeight="1">
      <c r="A1121" s="35"/>
      <c r="B1121" s="35"/>
      <c r="C1121" s="35"/>
      <c r="D1121" s="35"/>
      <c r="E1121" s="35"/>
      <c r="F1121" s="35"/>
      <c r="G1121" s="35"/>
      <c r="H1121" s="35"/>
      <c r="I1121" s="35"/>
      <c r="J1121" s="35"/>
      <c r="K1121" s="35"/>
      <c r="L1121" s="35"/>
      <c r="M1121" s="35"/>
      <c r="N1121" s="35"/>
      <c r="O1121" s="35"/>
      <c r="P1121" s="35"/>
      <c r="Q1121" s="35"/>
      <c r="R1121" s="35"/>
      <c r="S1121" s="35"/>
      <c r="T1121" s="35"/>
      <c r="U1121" s="35"/>
      <c r="V1121" s="35"/>
      <c r="W1121" s="35"/>
      <c r="X1121" s="35"/>
      <c r="Y1121" s="35"/>
      <c r="Z1121" s="35"/>
      <c r="AA1121" s="35"/>
      <c r="AB1121" s="35"/>
      <c r="AC1121" s="35"/>
      <c r="AD1121" s="35"/>
      <c r="AE1121" s="35"/>
      <c r="AF1121" s="35"/>
      <c r="AG1121" s="35"/>
      <c r="AH1121" s="35"/>
      <c r="AI1121" s="35"/>
      <c r="AJ1121" s="35"/>
      <c r="AK1121" s="35"/>
      <c r="AL1121" s="35"/>
      <c r="AM1121" s="35"/>
      <c r="AN1121" s="35"/>
      <c r="AO1121" s="35"/>
      <c r="AP1121" s="35"/>
      <c r="AQ1121" s="35"/>
      <c r="AR1121" s="35"/>
      <c r="AS1121" s="35"/>
      <c r="AT1121" s="35"/>
      <c r="AU1121" s="35"/>
      <c r="AV1121" s="35"/>
      <c r="AW1121" s="35"/>
      <c r="AX1121" s="35"/>
      <c r="AY1121" s="35"/>
      <c r="AZ1121" s="35"/>
      <c r="BA1121" s="35"/>
      <c r="BB1121" s="35"/>
      <c r="BC1121" s="35"/>
      <c r="BD1121" s="35"/>
      <c r="BE1121" s="35"/>
      <c r="BF1121" s="35"/>
      <c r="BG1121" s="35"/>
    </row>
    <row r="1122" ht="15.75" customHeight="1">
      <c r="A1122" s="35"/>
      <c r="B1122" s="35"/>
      <c r="C1122" s="35"/>
      <c r="D1122" s="35"/>
      <c r="E1122" s="35"/>
      <c r="F1122" s="35"/>
      <c r="G1122" s="35"/>
      <c r="H1122" s="35"/>
      <c r="I1122" s="35"/>
      <c r="J1122" s="35"/>
      <c r="K1122" s="35"/>
      <c r="L1122" s="35"/>
      <c r="M1122" s="35"/>
      <c r="N1122" s="35"/>
      <c r="O1122" s="35"/>
      <c r="P1122" s="35"/>
      <c r="Q1122" s="35"/>
      <c r="R1122" s="35"/>
      <c r="S1122" s="35"/>
      <c r="T1122" s="35"/>
      <c r="U1122" s="35"/>
      <c r="V1122" s="35"/>
      <c r="W1122" s="35"/>
      <c r="X1122" s="35"/>
      <c r="Y1122" s="35"/>
      <c r="Z1122" s="35"/>
      <c r="AA1122" s="35"/>
      <c r="AB1122" s="35"/>
      <c r="AC1122" s="35"/>
      <c r="AD1122" s="35"/>
      <c r="AE1122" s="35"/>
      <c r="AF1122" s="35"/>
      <c r="AG1122" s="35"/>
      <c r="AH1122" s="35"/>
      <c r="AI1122" s="35"/>
      <c r="AJ1122" s="35"/>
      <c r="AK1122" s="35"/>
      <c r="AL1122" s="35"/>
      <c r="AM1122" s="35"/>
      <c r="AN1122" s="35"/>
      <c r="AO1122" s="35"/>
      <c r="AP1122" s="35"/>
      <c r="AQ1122" s="35"/>
      <c r="AR1122" s="35"/>
      <c r="AS1122" s="35"/>
      <c r="AT1122" s="35"/>
      <c r="AU1122" s="35"/>
      <c r="AV1122" s="35"/>
      <c r="AW1122" s="35"/>
      <c r="AX1122" s="35"/>
      <c r="AY1122" s="35"/>
      <c r="AZ1122" s="35"/>
      <c r="BA1122" s="35"/>
      <c r="BB1122" s="35"/>
      <c r="BC1122" s="35"/>
      <c r="BD1122" s="35"/>
      <c r="BE1122" s="35"/>
      <c r="BF1122" s="35"/>
      <c r="BG1122" s="35"/>
    </row>
    <row r="1123" ht="15.75" customHeight="1">
      <c r="A1123" s="35"/>
      <c r="B1123" s="35"/>
      <c r="C1123" s="35"/>
      <c r="D1123" s="35"/>
      <c r="E1123" s="35"/>
      <c r="F1123" s="35"/>
      <c r="G1123" s="35"/>
      <c r="H1123" s="35"/>
      <c r="I1123" s="35"/>
      <c r="J1123" s="35"/>
      <c r="K1123" s="35"/>
      <c r="L1123" s="35"/>
      <c r="M1123" s="35"/>
      <c r="N1123" s="35"/>
      <c r="O1123" s="35"/>
      <c r="P1123" s="35"/>
      <c r="Q1123" s="35"/>
      <c r="R1123" s="35"/>
      <c r="S1123" s="35"/>
      <c r="T1123" s="35"/>
      <c r="U1123" s="35"/>
      <c r="V1123" s="35"/>
      <c r="W1123" s="35"/>
      <c r="X1123" s="35"/>
      <c r="Y1123" s="35"/>
      <c r="Z1123" s="35"/>
      <c r="AA1123" s="35"/>
      <c r="AB1123" s="35"/>
      <c r="AC1123" s="35"/>
      <c r="AD1123" s="35"/>
      <c r="AE1123" s="35"/>
      <c r="AF1123" s="35"/>
      <c r="AG1123" s="35"/>
      <c r="AH1123" s="35"/>
      <c r="AI1123" s="35"/>
      <c r="AJ1123" s="35"/>
      <c r="AK1123" s="35"/>
      <c r="AL1123" s="35"/>
      <c r="AM1123" s="35"/>
      <c r="AN1123" s="35"/>
      <c r="AO1123" s="35"/>
      <c r="AP1123" s="35"/>
      <c r="AQ1123" s="35"/>
      <c r="AR1123" s="35"/>
      <c r="AS1123" s="35"/>
      <c r="AT1123" s="35"/>
      <c r="AU1123" s="35"/>
      <c r="AV1123" s="35"/>
      <c r="AW1123" s="35"/>
      <c r="AX1123" s="35"/>
      <c r="AY1123" s="35"/>
      <c r="AZ1123" s="35"/>
      <c r="BA1123" s="35"/>
      <c r="BB1123" s="35"/>
      <c r="BC1123" s="35"/>
      <c r="BD1123" s="35"/>
      <c r="BE1123" s="35"/>
      <c r="BF1123" s="35"/>
      <c r="BG1123" s="35"/>
    </row>
    <row r="1124" ht="15.75" customHeight="1">
      <c r="A1124" s="35"/>
      <c r="B1124" s="35"/>
      <c r="C1124" s="35"/>
      <c r="D1124" s="35"/>
      <c r="E1124" s="35"/>
      <c r="F1124" s="35"/>
      <c r="G1124" s="35"/>
      <c r="H1124" s="35"/>
      <c r="I1124" s="35"/>
      <c r="J1124" s="35"/>
      <c r="K1124" s="35"/>
      <c r="L1124" s="35"/>
      <c r="M1124" s="35"/>
      <c r="N1124" s="35"/>
      <c r="O1124" s="35"/>
      <c r="P1124" s="35"/>
      <c r="Q1124" s="35"/>
      <c r="R1124" s="35"/>
      <c r="S1124" s="35"/>
      <c r="T1124" s="35"/>
      <c r="U1124" s="35"/>
      <c r="V1124" s="35"/>
      <c r="W1124" s="35"/>
      <c r="X1124" s="35"/>
      <c r="Y1124" s="35"/>
      <c r="Z1124" s="35"/>
      <c r="AA1124" s="35"/>
      <c r="AB1124" s="35"/>
      <c r="AC1124" s="35"/>
      <c r="AD1124" s="35"/>
      <c r="AE1124" s="35"/>
      <c r="AF1124" s="35"/>
      <c r="AG1124" s="35"/>
      <c r="AH1124" s="35"/>
      <c r="AI1124" s="35"/>
      <c r="AJ1124" s="35"/>
      <c r="AK1124" s="35"/>
      <c r="AL1124" s="35"/>
      <c r="AM1124" s="35"/>
      <c r="AN1124" s="35"/>
      <c r="AO1124" s="35"/>
      <c r="AP1124" s="35"/>
      <c r="AQ1124" s="35"/>
      <c r="AR1124" s="35"/>
      <c r="AS1124" s="35"/>
      <c r="AT1124" s="35"/>
      <c r="AU1124" s="35"/>
      <c r="AV1124" s="35"/>
      <c r="AW1124" s="35"/>
      <c r="AX1124" s="35"/>
      <c r="AY1124" s="35"/>
      <c r="AZ1124" s="35"/>
      <c r="BA1124" s="35"/>
      <c r="BB1124" s="35"/>
      <c r="BC1124" s="35"/>
      <c r="BD1124" s="35"/>
      <c r="BE1124" s="35"/>
      <c r="BF1124" s="35"/>
      <c r="BG1124" s="35"/>
    </row>
    <row r="1125" ht="15.75" customHeight="1">
      <c r="A1125" s="35"/>
      <c r="B1125" s="35"/>
      <c r="C1125" s="35"/>
      <c r="D1125" s="35"/>
      <c r="E1125" s="35"/>
      <c r="F1125" s="35"/>
      <c r="G1125" s="35"/>
      <c r="H1125" s="35"/>
      <c r="I1125" s="35"/>
      <c r="J1125" s="35"/>
      <c r="K1125" s="35"/>
      <c r="L1125" s="35"/>
      <c r="M1125" s="35"/>
      <c r="N1125" s="35"/>
      <c r="O1125" s="35"/>
      <c r="P1125" s="35"/>
      <c r="Q1125" s="35"/>
      <c r="R1125" s="35"/>
      <c r="S1125" s="35"/>
      <c r="T1125" s="35"/>
      <c r="U1125" s="35"/>
      <c r="V1125" s="35"/>
      <c r="W1125" s="35"/>
      <c r="X1125" s="35"/>
      <c r="Y1125" s="35"/>
      <c r="Z1125" s="35"/>
      <c r="AA1125" s="35"/>
      <c r="AB1125" s="35"/>
      <c r="AC1125" s="35"/>
      <c r="AD1125" s="35"/>
      <c r="AE1125" s="35"/>
      <c r="AF1125" s="35"/>
      <c r="AG1125" s="35"/>
      <c r="AH1125" s="35"/>
      <c r="AI1125" s="35"/>
      <c r="AJ1125" s="35"/>
      <c r="AK1125" s="35"/>
      <c r="AL1125" s="35"/>
      <c r="AM1125" s="35"/>
      <c r="AN1125" s="35"/>
      <c r="AO1125" s="35"/>
      <c r="AP1125" s="35"/>
      <c r="AQ1125" s="35"/>
      <c r="AR1125" s="35"/>
      <c r="AS1125" s="35"/>
      <c r="AT1125" s="35"/>
      <c r="AU1125" s="35"/>
      <c r="AV1125" s="35"/>
      <c r="AW1125" s="35"/>
      <c r="AX1125" s="35"/>
      <c r="AY1125" s="35"/>
      <c r="AZ1125" s="35"/>
      <c r="BA1125" s="35"/>
      <c r="BB1125" s="35"/>
      <c r="BC1125" s="35"/>
      <c r="BD1125" s="35"/>
      <c r="BE1125" s="35"/>
      <c r="BF1125" s="35"/>
      <c r="BG1125" s="35"/>
    </row>
    <row r="1126" ht="15.75" customHeight="1">
      <c r="A1126" s="35"/>
      <c r="B1126" s="35"/>
      <c r="C1126" s="35"/>
      <c r="D1126" s="35"/>
      <c r="E1126" s="35"/>
      <c r="F1126" s="35"/>
      <c r="G1126" s="35"/>
      <c r="H1126" s="35"/>
      <c r="I1126" s="35"/>
      <c r="J1126" s="35"/>
      <c r="K1126" s="35"/>
      <c r="L1126" s="35"/>
      <c r="M1126" s="35"/>
      <c r="N1126" s="35"/>
      <c r="O1126" s="35"/>
      <c r="P1126" s="35"/>
      <c r="Q1126" s="35"/>
      <c r="R1126" s="35"/>
      <c r="S1126" s="35"/>
      <c r="T1126" s="35"/>
      <c r="U1126" s="35"/>
      <c r="V1126" s="35"/>
      <c r="W1126" s="35"/>
      <c r="X1126" s="35"/>
      <c r="Y1126" s="35"/>
      <c r="Z1126" s="35"/>
      <c r="AA1126" s="35"/>
      <c r="AB1126" s="35"/>
      <c r="AC1126" s="35"/>
      <c r="AD1126" s="35"/>
      <c r="AE1126" s="35"/>
      <c r="AF1126" s="35"/>
      <c r="AG1126" s="35"/>
      <c r="AH1126" s="35"/>
      <c r="AI1126" s="35"/>
      <c r="AJ1126" s="35"/>
      <c r="AK1126" s="35"/>
      <c r="AL1126" s="35"/>
      <c r="AM1126" s="35"/>
      <c r="AN1126" s="35"/>
      <c r="AO1126" s="35"/>
      <c r="AP1126" s="35"/>
      <c r="AQ1126" s="35"/>
      <c r="AR1126" s="35"/>
      <c r="AS1126" s="35"/>
      <c r="AT1126" s="35"/>
      <c r="AU1126" s="35"/>
      <c r="AV1126" s="35"/>
      <c r="AW1126" s="35"/>
      <c r="AX1126" s="35"/>
      <c r="AY1126" s="35"/>
      <c r="AZ1126" s="35"/>
      <c r="BA1126" s="35"/>
      <c r="BB1126" s="35"/>
      <c r="BC1126" s="35"/>
      <c r="BD1126" s="35"/>
      <c r="BE1126" s="35"/>
      <c r="BF1126" s="35"/>
      <c r="BG1126" s="35"/>
    </row>
    <row r="1127" ht="15.75" customHeight="1">
      <c r="A1127" s="35"/>
      <c r="B1127" s="35"/>
      <c r="C1127" s="35"/>
      <c r="D1127" s="35"/>
      <c r="E1127" s="35"/>
      <c r="F1127" s="35"/>
      <c r="G1127" s="35"/>
      <c r="H1127" s="35"/>
      <c r="I1127" s="35"/>
      <c r="J1127" s="35"/>
      <c r="K1127" s="35"/>
      <c r="L1127" s="35"/>
      <c r="M1127" s="35"/>
      <c r="N1127" s="35"/>
      <c r="O1127" s="35"/>
      <c r="P1127" s="35"/>
      <c r="Q1127" s="35"/>
      <c r="R1127" s="35"/>
      <c r="S1127" s="35"/>
      <c r="T1127" s="35"/>
      <c r="U1127" s="35"/>
      <c r="V1127" s="35"/>
      <c r="W1127" s="35"/>
      <c r="X1127" s="35"/>
      <c r="Y1127" s="35"/>
      <c r="Z1127" s="35"/>
      <c r="AA1127" s="35"/>
      <c r="AB1127" s="35"/>
      <c r="AC1127" s="35"/>
      <c r="AD1127" s="35"/>
      <c r="AE1127" s="35"/>
      <c r="AF1127" s="35"/>
      <c r="AG1127" s="35"/>
      <c r="AH1127" s="35"/>
      <c r="AI1127" s="35"/>
      <c r="AJ1127" s="35"/>
      <c r="AK1127" s="35"/>
      <c r="AL1127" s="35"/>
      <c r="AM1127" s="35"/>
      <c r="AN1127" s="35"/>
      <c r="AO1127" s="35"/>
      <c r="AP1127" s="35"/>
      <c r="AQ1127" s="35"/>
      <c r="AR1127" s="35"/>
      <c r="AS1127" s="35"/>
      <c r="AT1127" s="35"/>
      <c r="AU1127" s="35"/>
      <c r="AV1127" s="35"/>
      <c r="AW1127" s="35"/>
      <c r="AX1127" s="35"/>
      <c r="AY1127" s="35"/>
      <c r="AZ1127" s="35"/>
      <c r="BA1127" s="35"/>
      <c r="BB1127" s="35"/>
      <c r="BC1127" s="35"/>
      <c r="BD1127" s="35"/>
      <c r="BE1127" s="35"/>
      <c r="BF1127" s="35"/>
      <c r="BG1127" s="35"/>
    </row>
    <row r="1128" ht="15.75" customHeight="1">
      <c r="A1128" s="35"/>
      <c r="B1128" s="35"/>
      <c r="C1128" s="35"/>
      <c r="D1128" s="35"/>
      <c r="E1128" s="35"/>
      <c r="F1128" s="35"/>
      <c r="G1128" s="35"/>
      <c r="H1128" s="35"/>
      <c r="I1128" s="35"/>
      <c r="J1128" s="35"/>
      <c r="K1128" s="35"/>
      <c r="L1128" s="35"/>
      <c r="M1128" s="35"/>
      <c r="N1128" s="35"/>
      <c r="O1128" s="35"/>
      <c r="P1128" s="35"/>
      <c r="Q1128" s="35"/>
      <c r="R1128" s="35"/>
      <c r="S1128" s="35"/>
      <c r="T1128" s="35"/>
      <c r="U1128" s="35"/>
      <c r="V1128" s="35"/>
      <c r="W1128" s="35"/>
      <c r="X1128" s="35"/>
      <c r="Y1128" s="35"/>
      <c r="Z1128" s="35"/>
      <c r="AA1128" s="35"/>
      <c r="AB1128" s="35"/>
      <c r="AC1128" s="35"/>
      <c r="AD1128" s="35"/>
      <c r="AE1128" s="35"/>
      <c r="AF1128" s="35"/>
      <c r="AG1128" s="35"/>
      <c r="AH1128" s="35"/>
      <c r="AI1128" s="35"/>
      <c r="AJ1128" s="35"/>
      <c r="AK1128" s="35"/>
      <c r="AL1128" s="35"/>
      <c r="AM1128" s="35"/>
      <c r="AN1128" s="35"/>
      <c r="AO1128" s="35"/>
      <c r="AP1128" s="35"/>
      <c r="AQ1128" s="35"/>
      <c r="AR1128" s="35"/>
      <c r="AS1128" s="35"/>
      <c r="AT1128" s="35"/>
      <c r="AU1128" s="35"/>
      <c r="AV1128" s="35"/>
      <c r="AW1128" s="35"/>
      <c r="AX1128" s="35"/>
      <c r="AY1128" s="35"/>
      <c r="AZ1128" s="35"/>
      <c r="BA1128" s="35"/>
      <c r="BB1128" s="35"/>
      <c r="BC1128" s="35"/>
      <c r="BD1128" s="35"/>
      <c r="BE1128" s="35"/>
      <c r="BF1128" s="35"/>
      <c r="BG1128" s="35"/>
    </row>
    <row r="1129" ht="15.75" customHeight="1">
      <c r="A1129" s="35"/>
      <c r="B1129" s="35"/>
      <c r="C1129" s="35"/>
      <c r="D1129" s="35"/>
      <c r="E1129" s="35"/>
      <c r="F1129" s="35"/>
      <c r="G1129" s="35"/>
      <c r="H1129" s="35"/>
      <c r="I1129" s="35"/>
      <c r="J1129" s="35"/>
      <c r="K1129" s="35"/>
      <c r="L1129" s="35"/>
      <c r="M1129" s="35"/>
      <c r="N1129" s="35"/>
      <c r="O1129" s="35"/>
      <c r="P1129" s="35"/>
      <c r="Q1129" s="35"/>
      <c r="R1129" s="35"/>
      <c r="S1129" s="35"/>
      <c r="T1129" s="35"/>
      <c r="U1129" s="35"/>
      <c r="V1129" s="35"/>
      <c r="W1129" s="35"/>
      <c r="X1129" s="35"/>
      <c r="Y1129" s="35"/>
      <c r="Z1129" s="35"/>
      <c r="AA1129" s="35"/>
      <c r="AB1129" s="35"/>
      <c r="AC1129" s="35"/>
      <c r="AD1129" s="35"/>
      <c r="AE1129" s="35"/>
      <c r="AF1129" s="35"/>
      <c r="AG1129" s="35"/>
      <c r="AH1129" s="35"/>
      <c r="AI1129" s="35"/>
      <c r="AJ1129" s="35"/>
      <c r="AK1129" s="35"/>
      <c r="AL1129" s="35"/>
      <c r="AM1129" s="35"/>
      <c r="AN1129" s="35"/>
      <c r="AO1129" s="35"/>
      <c r="AP1129" s="35"/>
      <c r="AQ1129" s="35"/>
      <c r="AR1129" s="35"/>
      <c r="AS1129" s="35"/>
      <c r="AT1129" s="35"/>
      <c r="AU1129" s="35"/>
      <c r="AV1129" s="35"/>
      <c r="AW1129" s="35"/>
      <c r="AX1129" s="35"/>
      <c r="AY1129" s="35"/>
      <c r="AZ1129" s="35"/>
      <c r="BA1129" s="35"/>
      <c r="BB1129" s="35"/>
      <c r="BC1129" s="35"/>
      <c r="BD1129" s="35"/>
      <c r="BE1129" s="35"/>
      <c r="BF1129" s="35"/>
      <c r="BG1129" s="35"/>
    </row>
    <row r="1130" ht="15.75" customHeight="1">
      <c r="A1130" s="35"/>
      <c r="B1130" s="35"/>
      <c r="C1130" s="35"/>
      <c r="D1130" s="35"/>
      <c r="E1130" s="35"/>
      <c r="F1130" s="35"/>
      <c r="G1130" s="35"/>
      <c r="H1130" s="35"/>
      <c r="I1130" s="35"/>
      <c r="J1130" s="35"/>
      <c r="K1130" s="35"/>
      <c r="L1130" s="35"/>
      <c r="M1130" s="35"/>
      <c r="N1130" s="35"/>
      <c r="O1130" s="35"/>
      <c r="P1130" s="35"/>
      <c r="Q1130" s="35"/>
      <c r="R1130" s="35"/>
      <c r="S1130" s="35"/>
      <c r="T1130" s="35"/>
      <c r="U1130" s="35"/>
      <c r="V1130" s="35"/>
      <c r="W1130" s="35"/>
      <c r="X1130" s="35"/>
      <c r="Y1130" s="35"/>
      <c r="Z1130" s="35"/>
      <c r="AA1130" s="35"/>
      <c r="AB1130" s="35"/>
      <c r="AC1130" s="35"/>
      <c r="AD1130" s="35"/>
      <c r="AE1130" s="35"/>
      <c r="AF1130" s="35"/>
      <c r="AG1130" s="35"/>
      <c r="AH1130" s="35"/>
      <c r="AI1130" s="35"/>
      <c r="AJ1130" s="35"/>
      <c r="AK1130" s="35"/>
      <c r="AL1130" s="35"/>
      <c r="AM1130" s="35"/>
      <c r="AN1130" s="35"/>
      <c r="AO1130" s="35"/>
      <c r="AP1130" s="35"/>
      <c r="AQ1130" s="35"/>
      <c r="AR1130" s="35"/>
      <c r="AS1130" s="35"/>
      <c r="AT1130" s="35"/>
      <c r="AU1130" s="35"/>
      <c r="AV1130" s="35"/>
      <c r="AW1130" s="35"/>
      <c r="AX1130" s="35"/>
      <c r="AY1130" s="35"/>
      <c r="AZ1130" s="35"/>
      <c r="BA1130" s="35"/>
      <c r="BB1130" s="35"/>
      <c r="BC1130" s="35"/>
      <c r="BD1130" s="35"/>
      <c r="BE1130" s="35"/>
      <c r="BF1130" s="35"/>
      <c r="BG1130" s="35"/>
    </row>
    <row r="1131" ht="15.75" customHeight="1">
      <c r="A1131" s="35"/>
      <c r="B1131" s="35"/>
      <c r="C1131" s="35"/>
      <c r="D1131" s="35"/>
      <c r="E1131" s="35"/>
      <c r="F1131" s="35"/>
      <c r="G1131" s="35"/>
      <c r="H1131" s="35"/>
      <c r="I1131" s="35"/>
      <c r="J1131" s="35"/>
      <c r="K1131" s="35"/>
      <c r="L1131" s="35"/>
      <c r="M1131" s="35"/>
      <c r="N1131" s="35"/>
      <c r="O1131" s="35"/>
      <c r="P1131" s="35"/>
      <c r="Q1131" s="35"/>
      <c r="R1131" s="35"/>
      <c r="S1131" s="35"/>
      <c r="T1131" s="35"/>
      <c r="U1131" s="35"/>
      <c r="V1131" s="35"/>
      <c r="W1131" s="35"/>
      <c r="X1131" s="35"/>
      <c r="Y1131" s="35"/>
      <c r="Z1131" s="35"/>
      <c r="AA1131" s="35"/>
      <c r="AB1131" s="35"/>
      <c r="AC1131" s="35"/>
      <c r="AD1131" s="35"/>
      <c r="AE1131" s="35"/>
      <c r="AF1131" s="35"/>
      <c r="AG1131" s="35"/>
      <c r="AH1131" s="35"/>
      <c r="AI1131" s="35"/>
      <c r="AJ1131" s="35"/>
      <c r="AK1131" s="35"/>
      <c r="AL1131" s="35"/>
      <c r="AM1131" s="35"/>
      <c r="AN1131" s="35"/>
      <c r="AO1131" s="35"/>
      <c r="AP1131" s="35"/>
      <c r="AQ1131" s="35"/>
      <c r="AR1131" s="35"/>
      <c r="AS1131" s="35"/>
      <c r="AT1131" s="35"/>
      <c r="AU1131" s="35"/>
      <c r="AV1131" s="35"/>
      <c r="AW1131" s="35"/>
      <c r="AX1131" s="35"/>
      <c r="AY1131" s="35"/>
      <c r="AZ1131" s="35"/>
      <c r="BA1131" s="35"/>
      <c r="BB1131" s="35"/>
      <c r="BC1131" s="35"/>
      <c r="BD1131" s="35"/>
      <c r="BE1131" s="35"/>
      <c r="BF1131" s="35"/>
      <c r="BG1131" s="35"/>
    </row>
    <row r="1132" ht="15.75" customHeight="1">
      <c r="A1132" s="35"/>
      <c r="B1132" s="35"/>
      <c r="C1132" s="35"/>
      <c r="D1132" s="35"/>
      <c r="E1132" s="35"/>
      <c r="F1132" s="35"/>
      <c r="G1132" s="35"/>
      <c r="H1132" s="35"/>
      <c r="I1132" s="35"/>
      <c r="J1132" s="35"/>
      <c r="K1132" s="35"/>
      <c r="L1132" s="35"/>
      <c r="M1132" s="35"/>
      <c r="N1132" s="35"/>
      <c r="O1132" s="35"/>
      <c r="P1132" s="35"/>
      <c r="Q1132" s="35"/>
      <c r="R1132" s="35"/>
      <c r="S1132" s="35"/>
      <c r="T1132" s="35"/>
      <c r="U1132" s="35"/>
      <c r="V1132" s="35"/>
      <c r="W1132" s="35"/>
      <c r="X1132" s="35"/>
      <c r="Y1132" s="35"/>
      <c r="Z1132" s="35"/>
      <c r="AA1132" s="35"/>
      <c r="AB1132" s="35"/>
      <c r="AC1132" s="35"/>
      <c r="AD1132" s="35"/>
      <c r="AE1132" s="35"/>
      <c r="AF1132" s="35"/>
      <c r="AG1132" s="35"/>
      <c r="AH1132" s="35"/>
      <c r="AI1132" s="35"/>
      <c r="AJ1132" s="35"/>
      <c r="AK1132" s="35"/>
      <c r="AL1132" s="35"/>
      <c r="AM1132" s="35"/>
      <c r="AN1132" s="35"/>
      <c r="AO1132" s="35"/>
      <c r="AP1132" s="35"/>
      <c r="AQ1132" s="35"/>
      <c r="AR1132" s="35"/>
      <c r="AS1132" s="35"/>
      <c r="AT1132" s="35"/>
      <c r="AU1132" s="35"/>
      <c r="AV1132" s="35"/>
      <c r="AW1132" s="35"/>
      <c r="AX1132" s="35"/>
      <c r="AY1132" s="35"/>
      <c r="AZ1132" s="35"/>
      <c r="BA1132" s="35"/>
      <c r="BB1132" s="35"/>
      <c r="BC1132" s="35"/>
      <c r="BD1132" s="35"/>
      <c r="BE1132" s="35"/>
      <c r="BF1132" s="35"/>
      <c r="BG1132" s="35"/>
    </row>
    <row r="1133" ht="15.75" customHeight="1">
      <c r="A1133" s="35"/>
      <c r="B1133" s="35"/>
      <c r="C1133" s="35"/>
      <c r="D1133" s="35"/>
      <c r="E1133" s="35"/>
      <c r="F1133" s="35"/>
      <c r="G1133" s="35"/>
      <c r="H1133" s="35"/>
      <c r="I1133" s="35"/>
      <c r="J1133" s="35"/>
      <c r="K1133" s="35"/>
      <c r="L1133" s="35"/>
      <c r="M1133" s="35"/>
      <c r="N1133" s="35"/>
      <c r="O1133" s="35"/>
      <c r="P1133" s="35"/>
      <c r="Q1133" s="35"/>
      <c r="R1133" s="35"/>
      <c r="S1133" s="35"/>
      <c r="T1133" s="35"/>
      <c r="U1133" s="35"/>
      <c r="V1133" s="35"/>
      <c r="W1133" s="35"/>
      <c r="X1133" s="35"/>
      <c r="Y1133" s="35"/>
      <c r="Z1133" s="35"/>
      <c r="AA1133" s="35"/>
      <c r="AB1133" s="35"/>
      <c r="AC1133" s="35"/>
      <c r="AD1133" s="35"/>
      <c r="AE1133" s="35"/>
      <c r="AF1133" s="35"/>
      <c r="AG1133" s="35"/>
      <c r="AH1133" s="35"/>
      <c r="AI1133" s="35"/>
      <c r="AJ1133" s="35"/>
      <c r="AK1133" s="35"/>
      <c r="AL1133" s="35"/>
      <c r="AM1133" s="35"/>
      <c r="AN1133" s="35"/>
      <c r="AO1133" s="35"/>
      <c r="AP1133" s="35"/>
      <c r="AQ1133" s="35"/>
      <c r="AR1133" s="35"/>
      <c r="AS1133" s="35"/>
      <c r="AT1133" s="35"/>
      <c r="AU1133" s="35"/>
      <c r="AV1133" s="35"/>
      <c r="AW1133" s="35"/>
      <c r="AX1133" s="35"/>
      <c r="AY1133" s="35"/>
      <c r="AZ1133" s="35"/>
      <c r="BA1133" s="35"/>
      <c r="BB1133" s="35"/>
      <c r="BC1133" s="35"/>
      <c r="BD1133" s="35"/>
      <c r="BE1133" s="35"/>
      <c r="BF1133" s="35"/>
      <c r="BG1133" s="35"/>
    </row>
    <row r="1134" ht="15.75" customHeight="1">
      <c r="A1134" s="35"/>
      <c r="B1134" s="35"/>
      <c r="C1134" s="35"/>
      <c r="D1134" s="35"/>
      <c r="E1134" s="35"/>
      <c r="F1134" s="35"/>
      <c r="G1134" s="35"/>
      <c r="H1134" s="35"/>
      <c r="I1134" s="35"/>
      <c r="J1134" s="35"/>
      <c r="K1134" s="35"/>
      <c r="L1134" s="35"/>
      <c r="M1134" s="35"/>
      <c r="N1134" s="35"/>
      <c r="O1134" s="35"/>
      <c r="P1134" s="35"/>
      <c r="Q1134" s="35"/>
      <c r="R1134" s="35"/>
      <c r="S1134" s="35"/>
      <c r="T1134" s="35"/>
      <c r="U1134" s="35"/>
      <c r="V1134" s="35"/>
      <c r="W1134" s="35"/>
      <c r="X1134" s="35"/>
      <c r="Y1134" s="35"/>
      <c r="Z1134" s="35"/>
      <c r="AA1134" s="35"/>
      <c r="AB1134" s="35"/>
      <c r="AC1134" s="35"/>
      <c r="AD1134" s="35"/>
      <c r="AE1134" s="35"/>
      <c r="AF1134" s="35"/>
      <c r="AG1134" s="35"/>
      <c r="AH1134" s="35"/>
      <c r="AI1134" s="35"/>
      <c r="AJ1134" s="35"/>
      <c r="AK1134" s="35"/>
      <c r="AL1134" s="35"/>
      <c r="AM1134" s="35"/>
      <c r="AN1134" s="35"/>
      <c r="AO1134" s="35"/>
      <c r="AP1134" s="35"/>
      <c r="AQ1134" s="35"/>
      <c r="AR1134" s="35"/>
      <c r="AS1134" s="35"/>
      <c r="AT1134" s="35"/>
      <c r="AU1134" s="35"/>
      <c r="AV1134" s="35"/>
      <c r="AW1134" s="35"/>
      <c r="AX1134" s="35"/>
      <c r="AY1134" s="35"/>
      <c r="AZ1134" s="35"/>
      <c r="BA1134" s="35"/>
      <c r="BB1134" s="35"/>
      <c r="BC1134" s="35"/>
      <c r="BD1134" s="35"/>
      <c r="BE1134" s="35"/>
      <c r="BF1134" s="35"/>
      <c r="BG1134" s="35"/>
    </row>
    <row r="1135" ht="15.75" customHeight="1">
      <c r="A1135" s="35"/>
      <c r="B1135" s="35"/>
      <c r="C1135" s="35"/>
      <c r="D1135" s="35"/>
      <c r="E1135" s="35"/>
      <c r="F1135" s="35"/>
      <c r="G1135" s="35"/>
      <c r="H1135" s="35"/>
      <c r="I1135" s="35"/>
      <c r="J1135" s="35"/>
      <c r="K1135" s="35"/>
      <c r="L1135" s="35"/>
      <c r="M1135" s="35"/>
      <c r="N1135" s="35"/>
      <c r="O1135" s="35"/>
      <c r="P1135" s="35"/>
      <c r="Q1135" s="35"/>
      <c r="R1135" s="35"/>
      <c r="S1135" s="35"/>
      <c r="T1135" s="35"/>
      <c r="U1135" s="35"/>
      <c r="V1135" s="35"/>
      <c r="W1135" s="35"/>
      <c r="X1135" s="35"/>
      <c r="Y1135" s="35"/>
      <c r="Z1135" s="35"/>
      <c r="AA1135" s="35"/>
      <c r="AB1135" s="35"/>
      <c r="AC1135" s="35"/>
      <c r="AD1135" s="35"/>
      <c r="AE1135" s="35"/>
      <c r="AF1135" s="35"/>
      <c r="AG1135" s="35"/>
      <c r="AH1135" s="35"/>
      <c r="AI1135" s="35"/>
      <c r="AJ1135" s="35"/>
      <c r="AK1135" s="35"/>
      <c r="AL1135" s="35"/>
      <c r="AM1135" s="35"/>
      <c r="AN1135" s="35"/>
      <c r="AO1135" s="35"/>
      <c r="AP1135" s="35"/>
      <c r="AQ1135" s="35"/>
      <c r="AR1135" s="35"/>
      <c r="AS1135" s="35"/>
      <c r="AT1135" s="35"/>
      <c r="AU1135" s="35"/>
      <c r="AV1135" s="35"/>
      <c r="AW1135" s="35"/>
      <c r="AX1135" s="35"/>
      <c r="AY1135" s="35"/>
      <c r="AZ1135" s="35"/>
      <c r="BA1135" s="35"/>
      <c r="BB1135" s="35"/>
      <c r="BC1135" s="35"/>
      <c r="BD1135" s="35"/>
      <c r="BE1135" s="35"/>
      <c r="BF1135" s="35"/>
      <c r="BG1135" s="35"/>
    </row>
    <row r="1136" ht="15.75" customHeight="1">
      <c r="A1136" s="35"/>
      <c r="B1136" s="35"/>
      <c r="C1136" s="35"/>
      <c r="D1136" s="35"/>
      <c r="E1136" s="35"/>
      <c r="F1136" s="35"/>
      <c r="G1136" s="35"/>
      <c r="H1136" s="35"/>
      <c r="I1136" s="35"/>
      <c r="J1136" s="35"/>
      <c r="K1136" s="35"/>
      <c r="L1136" s="35"/>
      <c r="M1136" s="35"/>
      <c r="N1136" s="35"/>
      <c r="O1136" s="35"/>
      <c r="P1136" s="35"/>
      <c r="Q1136" s="35"/>
      <c r="R1136" s="35"/>
      <c r="S1136" s="35"/>
      <c r="T1136" s="35"/>
      <c r="U1136" s="35"/>
      <c r="V1136" s="35"/>
      <c r="W1136" s="35"/>
      <c r="X1136" s="35"/>
      <c r="Y1136" s="35"/>
      <c r="Z1136" s="35"/>
      <c r="AA1136" s="35"/>
      <c r="AB1136" s="35"/>
      <c r="AC1136" s="35"/>
      <c r="AD1136" s="35"/>
      <c r="AE1136" s="35"/>
      <c r="AF1136" s="35"/>
      <c r="AG1136" s="35"/>
      <c r="AH1136" s="35"/>
      <c r="AI1136" s="35"/>
      <c r="AJ1136" s="35"/>
      <c r="AK1136" s="35"/>
      <c r="AL1136" s="35"/>
      <c r="AM1136" s="35"/>
      <c r="AN1136" s="35"/>
      <c r="AO1136" s="35"/>
      <c r="AP1136" s="35"/>
      <c r="AQ1136" s="35"/>
      <c r="AR1136" s="35"/>
      <c r="AS1136" s="35"/>
      <c r="AT1136" s="35"/>
      <c r="AU1136" s="35"/>
      <c r="AV1136" s="35"/>
      <c r="AW1136" s="35"/>
      <c r="AX1136" s="35"/>
      <c r="AY1136" s="35"/>
      <c r="AZ1136" s="35"/>
      <c r="BA1136" s="35"/>
      <c r="BB1136" s="35"/>
      <c r="BC1136" s="35"/>
      <c r="BD1136" s="35"/>
      <c r="BE1136" s="35"/>
      <c r="BF1136" s="35"/>
      <c r="BG1136" s="35"/>
    </row>
    <row r="1137" ht="15.75" customHeight="1">
      <c r="A1137" s="35"/>
      <c r="B1137" s="35"/>
      <c r="C1137" s="35"/>
      <c r="D1137" s="35"/>
      <c r="E1137" s="35"/>
      <c r="F1137" s="35"/>
      <c r="G1137" s="35"/>
      <c r="H1137" s="35"/>
      <c r="I1137" s="35"/>
      <c r="J1137" s="35"/>
      <c r="K1137" s="35"/>
      <c r="L1137" s="35"/>
      <c r="M1137" s="35"/>
      <c r="N1137" s="35"/>
      <c r="O1137" s="35"/>
      <c r="P1137" s="35"/>
      <c r="Q1137" s="35"/>
      <c r="R1137" s="35"/>
      <c r="S1137" s="35"/>
      <c r="T1137" s="35"/>
      <c r="U1137" s="35"/>
      <c r="V1137" s="35"/>
      <c r="W1137" s="35"/>
      <c r="X1137" s="35"/>
      <c r="Y1137" s="35"/>
      <c r="Z1137" s="35"/>
      <c r="AA1137" s="35"/>
      <c r="AB1137" s="35"/>
      <c r="AC1137" s="35"/>
      <c r="AD1137" s="35"/>
      <c r="AE1137" s="35"/>
      <c r="AF1137" s="35"/>
      <c r="AG1137" s="35"/>
      <c r="AH1137" s="35"/>
      <c r="AI1137" s="35"/>
      <c r="AJ1137" s="35"/>
      <c r="AK1137" s="35"/>
      <c r="AL1137" s="35"/>
      <c r="AM1137" s="35"/>
      <c r="AN1137" s="35"/>
      <c r="AO1137" s="35"/>
      <c r="AP1137" s="35"/>
      <c r="AQ1137" s="35"/>
      <c r="AR1137" s="35"/>
      <c r="AS1137" s="35"/>
      <c r="AT1137" s="35"/>
      <c r="AU1137" s="35"/>
      <c r="AV1137" s="35"/>
      <c r="AW1137" s="35"/>
      <c r="AX1137" s="35"/>
      <c r="AY1137" s="35"/>
      <c r="AZ1137" s="35"/>
      <c r="BA1137" s="35"/>
      <c r="BB1137" s="35"/>
      <c r="BC1137" s="35"/>
      <c r="BD1137" s="35"/>
      <c r="BE1137" s="35"/>
      <c r="BF1137" s="35"/>
      <c r="BG1137" s="35"/>
    </row>
    <row r="1138" ht="15.75" customHeight="1">
      <c r="A1138" s="35"/>
      <c r="B1138" s="35"/>
      <c r="C1138" s="35"/>
      <c r="D1138" s="35"/>
      <c r="E1138" s="35"/>
      <c r="F1138" s="35"/>
      <c r="G1138" s="35"/>
      <c r="H1138" s="35"/>
      <c r="I1138" s="35"/>
      <c r="J1138" s="35"/>
      <c r="K1138" s="35"/>
      <c r="L1138" s="35"/>
      <c r="M1138" s="35"/>
      <c r="N1138" s="35"/>
      <c r="O1138" s="35"/>
      <c r="P1138" s="35"/>
      <c r="Q1138" s="35"/>
      <c r="R1138" s="35"/>
      <c r="S1138" s="35"/>
      <c r="T1138" s="35"/>
      <c r="U1138" s="35"/>
      <c r="V1138" s="35"/>
      <c r="W1138" s="35"/>
      <c r="X1138" s="35"/>
      <c r="Y1138" s="35"/>
      <c r="Z1138" s="35"/>
      <c r="AA1138" s="35"/>
      <c r="AB1138" s="35"/>
      <c r="AC1138" s="35"/>
      <c r="AD1138" s="35"/>
      <c r="AE1138" s="35"/>
      <c r="AF1138" s="35"/>
      <c r="AG1138" s="35"/>
      <c r="AH1138" s="35"/>
      <c r="AI1138" s="35"/>
      <c r="AJ1138" s="35"/>
      <c r="AK1138" s="35"/>
      <c r="AL1138" s="35"/>
      <c r="AM1138" s="35"/>
      <c r="AN1138" s="35"/>
      <c r="AO1138" s="35"/>
      <c r="AP1138" s="35"/>
      <c r="AQ1138" s="35"/>
      <c r="AR1138" s="35"/>
      <c r="AS1138" s="35"/>
      <c r="AT1138" s="35"/>
      <c r="AU1138" s="35"/>
      <c r="AV1138" s="35"/>
      <c r="AW1138" s="35"/>
      <c r="AX1138" s="35"/>
      <c r="AY1138" s="35"/>
      <c r="AZ1138" s="35"/>
      <c r="BA1138" s="35"/>
      <c r="BB1138" s="35"/>
      <c r="BC1138" s="35"/>
      <c r="BD1138" s="35"/>
      <c r="BE1138" s="35"/>
      <c r="BF1138" s="35"/>
      <c r="BG1138" s="35"/>
    </row>
    <row r="1139" ht="15.75" customHeight="1">
      <c r="A1139" s="35"/>
      <c r="B1139" s="35"/>
      <c r="C1139" s="35"/>
      <c r="D1139" s="35"/>
      <c r="E1139" s="35"/>
      <c r="F1139" s="35"/>
      <c r="G1139" s="35"/>
      <c r="H1139" s="35"/>
      <c r="I1139" s="35"/>
      <c r="J1139" s="35"/>
      <c r="K1139" s="35"/>
      <c r="L1139" s="35"/>
      <c r="M1139" s="35"/>
      <c r="N1139" s="35"/>
      <c r="O1139" s="35"/>
      <c r="P1139" s="35"/>
      <c r="Q1139" s="35"/>
      <c r="R1139" s="35"/>
      <c r="S1139" s="35"/>
      <c r="T1139" s="35"/>
      <c r="U1139" s="35"/>
      <c r="V1139" s="35"/>
      <c r="W1139" s="35"/>
      <c r="X1139" s="35"/>
      <c r="Y1139" s="35"/>
      <c r="Z1139" s="35"/>
      <c r="AA1139" s="35"/>
      <c r="AB1139" s="35"/>
      <c r="AC1139" s="35"/>
      <c r="AD1139" s="35"/>
      <c r="AE1139" s="35"/>
      <c r="AF1139" s="35"/>
      <c r="AG1139" s="35"/>
      <c r="AH1139" s="35"/>
      <c r="AI1139" s="35"/>
      <c r="AJ1139" s="35"/>
      <c r="AK1139" s="35"/>
      <c r="AL1139" s="35"/>
      <c r="AM1139" s="35"/>
      <c r="AN1139" s="35"/>
      <c r="AO1139" s="35"/>
      <c r="AP1139" s="35"/>
      <c r="AQ1139" s="35"/>
      <c r="AR1139" s="35"/>
      <c r="AS1139" s="35"/>
      <c r="AT1139" s="35"/>
      <c r="AU1139" s="35"/>
      <c r="AV1139" s="35"/>
      <c r="AW1139" s="35"/>
      <c r="AX1139" s="35"/>
      <c r="AY1139" s="35"/>
      <c r="AZ1139" s="35"/>
      <c r="BA1139" s="35"/>
      <c r="BB1139" s="35"/>
      <c r="BC1139" s="35"/>
      <c r="BD1139" s="35"/>
      <c r="BE1139" s="35"/>
      <c r="BF1139" s="35"/>
      <c r="BG1139" s="35"/>
    </row>
    <row r="1140" ht="15.75" customHeight="1">
      <c r="A1140" s="35"/>
      <c r="B1140" s="35"/>
      <c r="C1140" s="35"/>
      <c r="D1140" s="35"/>
      <c r="E1140" s="35"/>
      <c r="F1140" s="35"/>
      <c r="G1140" s="35"/>
      <c r="H1140" s="35"/>
      <c r="I1140" s="35"/>
      <c r="J1140" s="35"/>
      <c r="K1140" s="35"/>
      <c r="L1140" s="35"/>
      <c r="M1140" s="35"/>
      <c r="N1140" s="35"/>
      <c r="O1140" s="35"/>
      <c r="P1140" s="35"/>
      <c r="Q1140" s="35"/>
      <c r="R1140" s="35"/>
      <c r="S1140" s="35"/>
      <c r="T1140" s="35"/>
      <c r="U1140" s="35"/>
      <c r="V1140" s="35"/>
      <c r="W1140" s="35"/>
      <c r="X1140" s="35"/>
      <c r="Y1140" s="35"/>
      <c r="Z1140" s="35"/>
      <c r="AA1140" s="35"/>
      <c r="AB1140" s="35"/>
      <c r="AC1140" s="35"/>
      <c r="AD1140" s="35"/>
      <c r="AE1140" s="35"/>
      <c r="AF1140" s="35"/>
      <c r="AG1140" s="35"/>
      <c r="AH1140" s="35"/>
      <c r="AI1140" s="35"/>
      <c r="AJ1140" s="35"/>
      <c r="AK1140" s="35"/>
      <c r="AL1140" s="35"/>
      <c r="AM1140" s="35"/>
      <c r="AN1140" s="35"/>
      <c r="AO1140" s="35"/>
      <c r="AP1140" s="35"/>
      <c r="AQ1140" s="35"/>
      <c r="AR1140" s="35"/>
      <c r="AS1140" s="35"/>
      <c r="AT1140" s="35"/>
      <c r="AU1140" s="35"/>
      <c r="AV1140" s="35"/>
      <c r="AW1140" s="35"/>
      <c r="AX1140" s="35"/>
      <c r="AY1140" s="35"/>
      <c r="AZ1140" s="35"/>
      <c r="BA1140" s="35"/>
      <c r="BB1140" s="35"/>
      <c r="BC1140" s="35"/>
      <c r="BD1140" s="35"/>
      <c r="BE1140" s="35"/>
      <c r="BF1140" s="35"/>
      <c r="BG1140" s="35"/>
    </row>
    <row r="1141" ht="15.75" customHeight="1">
      <c r="A1141" s="35"/>
      <c r="B1141" s="35"/>
      <c r="C1141" s="35"/>
      <c r="D1141" s="35"/>
      <c r="E1141" s="35"/>
      <c r="F1141" s="35"/>
      <c r="G1141" s="35"/>
      <c r="H1141" s="35"/>
      <c r="I1141" s="35"/>
      <c r="J1141" s="35"/>
      <c r="K1141" s="35"/>
      <c r="L1141" s="35"/>
      <c r="M1141" s="35"/>
      <c r="N1141" s="35"/>
      <c r="O1141" s="35"/>
      <c r="P1141" s="35"/>
      <c r="Q1141" s="35"/>
      <c r="R1141" s="35"/>
      <c r="S1141" s="35"/>
      <c r="T1141" s="35"/>
      <c r="U1141" s="35"/>
      <c r="V1141" s="35"/>
      <c r="W1141" s="35"/>
      <c r="X1141" s="35"/>
      <c r="Y1141" s="35"/>
      <c r="Z1141" s="35"/>
      <c r="AA1141" s="35"/>
      <c r="AB1141" s="35"/>
      <c r="AC1141" s="35"/>
      <c r="AD1141" s="35"/>
      <c r="AE1141" s="35"/>
      <c r="AF1141" s="35"/>
      <c r="AG1141" s="35"/>
      <c r="AH1141" s="35"/>
      <c r="AI1141" s="35"/>
      <c r="AJ1141" s="35"/>
      <c r="AK1141" s="35"/>
      <c r="AL1141" s="35"/>
      <c r="AM1141" s="35"/>
      <c r="AN1141" s="35"/>
      <c r="AO1141" s="35"/>
      <c r="AP1141" s="35"/>
      <c r="AQ1141" s="35"/>
      <c r="AR1141" s="35"/>
      <c r="AS1141" s="35"/>
      <c r="AT1141" s="35"/>
      <c r="AU1141" s="35"/>
      <c r="AV1141" s="35"/>
      <c r="AW1141" s="35"/>
      <c r="AX1141" s="35"/>
      <c r="AY1141" s="35"/>
      <c r="AZ1141" s="35"/>
      <c r="BA1141" s="35"/>
      <c r="BB1141" s="35"/>
      <c r="BC1141" s="35"/>
      <c r="BD1141" s="35"/>
      <c r="BE1141" s="35"/>
      <c r="BF1141" s="35"/>
      <c r="BG1141" s="35"/>
    </row>
    <row r="1142" ht="15.75" customHeight="1">
      <c r="A1142" s="35"/>
      <c r="B1142" s="35"/>
      <c r="C1142" s="35"/>
      <c r="D1142" s="35"/>
      <c r="E1142" s="35"/>
      <c r="F1142" s="35"/>
      <c r="G1142" s="35"/>
      <c r="H1142" s="35"/>
      <c r="I1142" s="35"/>
      <c r="J1142" s="35"/>
      <c r="K1142" s="35"/>
      <c r="L1142" s="35"/>
      <c r="M1142" s="35"/>
      <c r="N1142" s="35"/>
      <c r="O1142" s="35"/>
      <c r="P1142" s="35"/>
      <c r="Q1142" s="35"/>
      <c r="R1142" s="35"/>
      <c r="S1142" s="35"/>
      <c r="T1142" s="35"/>
      <c r="U1142" s="35"/>
      <c r="V1142" s="35"/>
      <c r="W1142" s="35"/>
      <c r="X1142" s="35"/>
      <c r="Y1142" s="35"/>
      <c r="Z1142" s="35"/>
      <c r="AA1142" s="35"/>
      <c r="AB1142" s="35"/>
      <c r="AC1142" s="35"/>
      <c r="AD1142" s="35"/>
      <c r="AE1142" s="35"/>
      <c r="AF1142" s="35"/>
      <c r="AG1142" s="35"/>
      <c r="AH1142" s="35"/>
      <c r="AI1142" s="35"/>
      <c r="AJ1142" s="35"/>
      <c r="AK1142" s="35"/>
      <c r="AL1142" s="35"/>
      <c r="AM1142" s="35"/>
      <c r="AN1142" s="35"/>
      <c r="AO1142" s="35"/>
      <c r="AP1142" s="35"/>
      <c r="AQ1142" s="35"/>
      <c r="AR1142" s="35"/>
      <c r="AS1142" s="35"/>
      <c r="AT1142" s="35"/>
      <c r="AU1142" s="35"/>
      <c r="AV1142" s="35"/>
      <c r="AW1142" s="35"/>
      <c r="AX1142" s="35"/>
      <c r="AY1142" s="35"/>
      <c r="AZ1142" s="35"/>
      <c r="BA1142" s="35"/>
      <c r="BB1142" s="35"/>
      <c r="BC1142" s="35"/>
      <c r="BD1142" s="35"/>
      <c r="BE1142" s="35"/>
      <c r="BF1142" s="35"/>
      <c r="BG1142" s="35"/>
    </row>
    <row r="1143" ht="15.75" customHeight="1">
      <c r="A1143" s="35"/>
      <c r="B1143" s="35"/>
      <c r="C1143" s="35"/>
      <c r="D1143" s="35"/>
      <c r="E1143" s="35"/>
      <c r="F1143" s="35"/>
      <c r="G1143" s="35"/>
      <c r="H1143" s="35"/>
      <c r="I1143" s="35"/>
      <c r="J1143" s="35"/>
      <c r="K1143" s="35"/>
      <c r="L1143" s="35"/>
      <c r="M1143" s="35"/>
      <c r="N1143" s="35"/>
      <c r="O1143" s="35"/>
      <c r="P1143" s="35"/>
      <c r="Q1143" s="35"/>
      <c r="R1143" s="35"/>
      <c r="S1143" s="35"/>
      <c r="T1143" s="35"/>
      <c r="U1143" s="35"/>
      <c r="V1143" s="35"/>
      <c r="W1143" s="35"/>
      <c r="X1143" s="35"/>
      <c r="Y1143" s="35"/>
      <c r="Z1143" s="35"/>
      <c r="AA1143" s="35"/>
      <c r="AB1143" s="35"/>
      <c r="AC1143" s="35"/>
      <c r="AD1143" s="35"/>
      <c r="AE1143" s="35"/>
      <c r="AF1143" s="35"/>
      <c r="AG1143" s="35"/>
      <c r="AH1143" s="35"/>
      <c r="AI1143" s="35"/>
      <c r="AJ1143" s="35"/>
      <c r="AK1143" s="35"/>
      <c r="AL1143" s="35"/>
      <c r="AM1143" s="35"/>
      <c r="AN1143" s="35"/>
      <c r="AO1143" s="35"/>
      <c r="AP1143" s="35"/>
      <c r="AQ1143" s="35"/>
      <c r="AR1143" s="35"/>
      <c r="AS1143" s="35"/>
      <c r="AT1143" s="35"/>
      <c r="AU1143" s="35"/>
      <c r="AV1143" s="35"/>
      <c r="AW1143" s="35"/>
      <c r="AX1143" s="35"/>
      <c r="AY1143" s="35"/>
      <c r="AZ1143" s="35"/>
      <c r="BA1143" s="35"/>
      <c r="BB1143" s="35"/>
      <c r="BC1143" s="35"/>
      <c r="BD1143" s="35"/>
      <c r="BE1143" s="35"/>
      <c r="BF1143" s="35"/>
      <c r="BG1143" s="35"/>
    </row>
    <row r="1144" ht="15.75" customHeight="1">
      <c r="A1144" s="35"/>
      <c r="B1144" s="35"/>
      <c r="C1144" s="35"/>
      <c r="D1144" s="35"/>
      <c r="E1144" s="35"/>
      <c r="F1144" s="35"/>
      <c r="G1144" s="35"/>
      <c r="H1144" s="35"/>
      <c r="I1144" s="35"/>
      <c r="J1144" s="35"/>
      <c r="K1144" s="35"/>
      <c r="L1144" s="35"/>
      <c r="M1144" s="35"/>
      <c r="N1144" s="35"/>
      <c r="O1144" s="35"/>
      <c r="P1144" s="35"/>
      <c r="Q1144" s="35"/>
      <c r="R1144" s="35"/>
      <c r="S1144" s="35"/>
      <c r="T1144" s="35"/>
      <c r="U1144" s="35"/>
      <c r="V1144" s="35"/>
      <c r="W1144" s="35"/>
      <c r="X1144" s="35"/>
      <c r="Y1144" s="35"/>
      <c r="Z1144" s="35"/>
      <c r="AA1144" s="35"/>
      <c r="AB1144" s="35"/>
      <c r="AC1144" s="35"/>
      <c r="AD1144" s="35"/>
      <c r="AE1144" s="35"/>
      <c r="AF1144" s="35"/>
      <c r="AG1144" s="35"/>
      <c r="AH1144" s="35"/>
      <c r="AI1144" s="35"/>
      <c r="AJ1144" s="35"/>
      <c r="AK1144" s="35"/>
      <c r="AL1144" s="35"/>
      <c r="AM1144" s="35"/>
      <c r="AN1144" s="35"/>
      <c r="AO1144" s="35"/>
      <c r="AP1144" s="35"/>
      <c r="AQ1144" s="35"/>
      <c r="AR1144" s="35"/>
      <c r="AS1144" s="35"/>
      <c r="AT1144" s="35"/>
      <c r="AU1144" s="35"/>
      <c r="AV1144" s="35"/>
      <c r="AW1144" s="35"/>
      <c r="AX1144" s="35"/>
      <c r="AY1144" s="35"/>
      <c r="AZ1144" s="35"/>
      <c r="BA1144" s="35"/>
      <c r="BB1144" s="35"/>
      <c r="BC1144" s="35"/>
      <c r="BD1144" s="35"/>
      <c r="BE1144" s="35"/>
      <c r="BF1144" s="35"/>
      <c r="BG1144" s="35"/>
    </row>
    <row r="1145" ht="15.75" customHeight="1">
      <c r="A1145" s="35"/>
      <c r="B1145" s="35"/>
      <c r="C1145" s="35"/>
      <c r="D1145" s="35"/>
      <c r="E1145" s="35"/>
      <c r="F1145" s="35"/>
      <c r="G1145" s="35"/>
      <c r="H1145" s="35"/>
      <c r="I1145" s="35"/>
      <c r="J1145" s="35"/>
      <c r="K1145" s="35"/>
      <c r="L1145" s="35"/>
      <c r="M1145" s="35"/>
      <c r="N1145" s="35"/>
      <c r="O1145" s="35"/>
      <c r="P1145" s="35"/>
      <c r="Q1145" s="35"/>
      <c r="R1145" s="35"/>
      <c r="S1145" s="35"/>
      <c r="T1145" s="35"/>
      <c r="U1145" s="35"/>
      <c r="V1145" s="35"/>
      <c r="W1145" s="35"/>
      <c r="X1145" s="35"/>
      <c r="Y1145" s="35"/>
      <c r="Z1145" s="35"/>
      <c r="AA1145" s="35"/>
      <c r="AB1145" s="35"/>
      <c r="AC1145" s="35"/>
      <c r="AD1145" s="35"/>
      <c r="AE1145" s="35"/>
      <c r="AF1145" s="35"/>
      <c r="AG1145" s="35"/>
      <c r="AH1145" s="35"/>
      <c r="AI1145" s="35"/>
      <c r="AJ1145" s="35"/>
      <c r="AK1145" s="35"/>
      <c r="AL1145" s="35"/>
      <c r="AM1145" s="35"/>
      <c r="AN1145" s="35"/>
      <c r="AO1145" s="35"/>
      <c r="AP1145" s="35"/>
      <c r="AQ1145" s="35"/>
      <c r="AR1145" s="35"/>
      <c r="AS1145" s="35"/>
      <c r="AT1145" s="35"/>
      <c r="AU1145" s="35"/>
      <c r="AV1145" s="35"/>
      <c r="AW1145" s="35"/>
      <c r="AX1145" s="35"/>
      <c r="AY1145" s="35"/>
      <c r="AZ1145" s="35"/>
      <c r="BA1145" s="35"/>
      <c r="BB1145" s="35"/>
      <c r="BC1145" s="35"/>
      <c r="BD1145" s="35"/>
      <c r="BE1145" s="35"/>
      <c r="BF1145" s="35"/>
      <c r="BG1145" s="35"/>
    </row>
    <row r="1146" ht="15.75" customHeight="1">
      <c r="A1146" s="35"/>
      <c r="B1146" s="35"/>
      <c r="C1146" s="35"/>
      <c r="D1146" s="35"/>
      <c r="E1146" s="35"/>
      <c r="F1146" s="35"/>
      <c r="G1146" s="35"/>
      <c r="H1146" s="35"/>
      <c r="I1146" s="35"/>
      <c r="J1146" s="35"/>
      <c r="K1146" s="35"/>
      <c r="L1146" s="35"/>
      <c r="M1146" s="35"/>
      <c r="N1146" s="35"/>
      <c r="O1146" s="35"/>
      <c r="P1146" s="35"/>
      <c r="Q1146" s="35"/>
      <c r="R1146" s="35"/>
      <c r="S1146" s="35"/>
      <c r="T1146" s="35"/>
      <c r="U1146" s="35"/>
      <c r="V1146" s="35"/>
      <c r="W1146" s="35"/>
      <c r="X1146" s="35"/>
      <c r="Y1146" s="35"/>
      <c r="Z1146" s="35"/>
      <c r="AA1146" s="35"/>
      <c r="AB1146" s="35"/>
      <c r="AC1146" s="35"/>
      <c r="AD1146" s="35"/>
      <c r="AE1146" s="35"/>
      <c r="AF1146" s="35"/>
      <c r="AG1146" s="35"/>
      <c r="AH1146" s="35"/>
      <c r="AI1146" s="35"/>
      <c r="AJ1146" s="35"/>
      <c r="AK1146" s="35"/>
      <c r="AL1146" s="35"/>
      <c r="AM1146" s="35"/>
      <c r="AN1146" s="35"/>
      <c r="AO1146" s="35"/>
      <c r="AP1146" s="35"/>
      <c r="AQ1146" s="35"/>
      <c r="AR1146" s="35"/>
      <c r="AS1146" s="35"/>
      <c r="AT1146" s="35"/>
      <c r="AU1146" s="35"/>
      <c r="AV1146" s="35"/>
      <c r="AW1146" s="35"/>
      <c r="AX1146" s="35"/>
      <c r="AY1146" s="35"/>
      <c r="AZ1146" s="35"/>
      <c r="BA1146" s="35"/>
      <c r="BB1146" s="35"/>
      <c r="BC1146" s="35"/>
      <c r="BD1146" s="35"/>
      <c r="BE1146" s="35"/>
      <c r="BF1146" s="35"/>
      <c r="BG1146" s="35"/>
    </row>
    <row r="1147" ht="15.75" customHeight="1">
      <c r="A1147" s="35"/>
      <c r="B1147" s="35"/>
      <c r="C1147" s="35"/>
      <c r="D1147" s="35"/>
      <c r="E1147" s="35"/>
      <c r="F1147" s="35"/>
      <c r="G1147" s="35"/>
      <c r="H1147" s="35"/>
      <c r="I1147" s="35"/>
      <c r="J1147" s="35"/>
      <c r="K1147" s="35"/>
      <c r="L1147" s="35"/>
      <c r="M1147" s="35"/>
      <c r="N1147" s="35"/>
      <c r="O1147" s="35"/>
      <c r="P1147" s="35"/>
      <c r="Q1147" s="35"/>
      <c r="R1147" s="35"/>
      <c r="S1147" s="35"/>
      <c r="T1147" s="35"/>
      <c r="U1147" s="35"/>
      <c r="V1147" s="35"/>
      <c r="W1147" s="35"/>
      <c r="X1147" s="35"/>
      <c r="Y1147" s="35"/>
      <c r="Z1147" s="35"/>
      <c r="AA1147" s="35"/>
      <c r="AB1147" s="35"/>
      <c r="AC1147" s="35"/>
      <c r="AD1147" s="35"/>
      <c r="AE1147" s="35"/>
      <c r="AF1147" s="35"/>
      <c r="AG1147" s="35"/>
      <c r="AH1147" s="35"/>
      <c r="AI1147" s="35"/>
      <c r="AJ1147" s="35"/>
      <c r="AK1147" s="35"/>
      <c r="AL1147" s="35"/>
      <c r="AM1147" s="35"/>
      <c r="AN1147" s="35"/>
      <c r="AO1147" s="35"/>
      <c r="AP1147" s="35"/>
      <c r="AQ1147" s="35"/>
      <c r="AR1147" s="35"/>
      <c r="AS1147" s="35"/>
      <c r="AT1147" s="35"/>
      <c r="AU1147" s="35"/>
      <c r="AV1147" s="35"/>
      <c r="AW1147" s="35"/>
      <c r="AX1147" s="35"/>
      <c r="AY1147" s="35"/>
      <c r="AZ1147" s="35"/>
      <c r="BA1147" s="35"/>
      <c r="BB1147" s="35"/>
      <c r="BC1147" s="35"/>
      <c r="BD1147" s="35"/>
      <c r="BE1147" s="35"/>
      <c r="BF1147" s="35"/>
      <c r="BG1147" s="35"/>
    </row>
    <row r="1148" ht="15.75" customHeight="1">
      <c r="A1148" s="35"/>
      <c r="B1148" s="35"/>
      <c r="C1148" s="35"/>
      <c r="D1148" s="35"/>
      <c r="E1148" s="35"/>
      <c r="F1148" s="35"/>
      <c r="G1148" s="35"/>
      <c r="H1148" s="35"/>
      <c r="I1148" s="35"/>
      <c r="J1148" s="35"/>
      <c r="K1148" s="35"/>
      <c r="L1148" s="35"/>
      <c r="M1148" s="35"/>
      <c r="N1148" s="35"/>
      <c r="O1148" s="35"/>
      <c r="P1148" s="35"/>
      <c r="Q1148" s="35"/>
      <c r="R1148" s="35"/>
      <c r="S1148" s="35"/>
      <c r="T1148" s="35"/>
      <c r="U1148" s="35"/>
      <c r="V1148" s="35"/>
      <c r="W1148" s="35"/>
      <c r="X1148" s="35"/>
      <c r="Y1148" s="35"/>
      <c r="Z1148" s="35"/>
      <c r="AA1148" s="35"/>
      <c r="AB1148" s="35"/>
      <c r="AC1148" s="35"/>
      <c r="AD1148" s="35"/>
      <c r="AE1148" s="35"/>
      <c r="AF1148" s="35"/>
      <c r="AG1148" s="35"/>
      <c r="AH1148" s="35"/>
      <c r="AI1148" s="35"/>
      <c r="AJ1148" s="35"/>
      <c r="AK1148" s="35"/>
      <c r="AL1148" s="35"/>
      <c r="AM1148" s="35"/>
      <c r="AN1148" s="35"/>
      <c r="AO1148" s="35"/>
      <c r="AP1148" s="35"/>
      <c r="AQ1148" s="35"/>
      <c r="AR1148" s="35"/>
      <c r="AS1148" s="35"/>
      <c r="AT1148" s="35"/>
      <c r="AU1148" s="35"/>
      <c r="AV1148" s="35"/>
      <c r="AW1148" s="35"/>
      <c r="AX1148" s="35"/>
      <c r="AY1148" s="35"/>
      <c r="AZ1148" s="35"/>
      <c r="BA1148" s="35"/>
      <c r="BB1148" s="35"/>
      <c r="BC1148" s="35"/>
      <c r="BD1148" s="35"/>
      <c r="BE1148" s="35"/>
      <c r="BF1148" s="35"/>
      <c r="BG1148" s="35"/>
    </row>
    <row r="1149" ht="15.75" customHeight="1">
      <c r="A1149" s="35"/>
      <c r="B1149" s="35"/>
      <c r="C1149" s="35"/>
      <c r="D1149" s="35"/>
      <c r="E1149" s="35"/>
      <c r="F1149" s="35"/>
      <c r="G1149" s="35"/>
      <c r="H1149" s="35"/>
      <c r="I1149" s="35"/>
      <c r="J1149" s="35"/>
      <c r="K1149" s="35"/>
      <c r="L1149" s="35"/>
      <c r="M1149" s="35"/>
      <c r="N1149" s="35"/>
      <c r="O1149" s="35"/>
      <c r="P1149" s="35"/>
      <c r="Q1149" s="35"/>
      <c r="R1149" s="35"/>
      <c r="S1149" s="35"/>
      <c r="T1149" s="35"/>
      <c r="U1149" s="35"/>
      <c r="V1149" s="35"/>
      <c r="W1149" s="35"/>
      <c r="X1149" s="35"/>
      <c r="Y1149" s="35"/>
      <c r="Z1149" s="35"/>
      <c r="AA1149" s="35"/>
      <c r="AB1149" s="35"/>
      <c r="AC1149" s="35"/>
      <c r="AD1149" s="35"/>
      <c r="AE1149" s="35"/>
      <c r="AF1149" s="35"/>
      <c r="AG1149" s="35"/>
      <c r="AH1149" s="35"/>
      <c r="AI1149" s="35"/>
      <c r="AJ1149" s="35"/>
      <c r="AK1149" s="35"/>
      <c r="AL1149" s="35"/>
      <c r="AM1149" s="35"/>
      <c r="AN1149" s="35"/>
      <c r="AO1149" s="35"/>
      <c r="AP1149" s="35"/>
      <c r="AQ1149" s="35"/>
      <c r="AR1149" s="35"/>
      <c r="AS1149" s="35"/>
      <c r="AT1149" s="35"/>
      <c r="AU1149" s="35"/>
      <c r="AV1149" s="35"/>
      <c r="AW1149" s="35"/>
      <c r="AX1149" s="35"/>
      <c r="AY1149" s="35"/>
      <c r="AZ1149" s="35"/>
      <c r="BA1149" s="35"/>
      <c r="BB1149" s="35"/>
      <c r="BC1149" s="35"/>
      <c r="BD1149" s="35"/>
      <c r="BE1149" s="35"/>
      <c r="BF1149" s="35"/>
      <c r="BG1149" s="35"/>
    </row>
    <row r="1150" ht="15.75" customHeight="1">
      <c r="A1150" s="35"/>
      <c r="B1150" s="35"/>
      <c r="C1150" s="35"/>
      <c r="D1150" s="35"/>
      <c r="E1150" s="35"/>
      <c r="F1150" s="35"/>
      <c r="G1150" s="35"/>
      <c r="H1150" s="35"/>
      <c r="I1150" s="35"/>
      <c r="J1150" s="35"/>
      <c r="K1150" s="35"/>
      <c r="L1150" s="35"/>
      <c r="M1150" s="35"/>
      <c r="N1150" s="35"/>
      <c r="O1150" s="35"/>
      <c r="P1150" s="35"/>
      <c r="Q1150" s="35"/>
      <c r="R1150" s="35"/>
      <c r="S1150" s="35"/>
      <c r="T1150" s="35"/>
      <c r="U1150" s="35"/>
      <c r="V1150" s="35"/>
      <c r="W1150" s="35"/>
      <c r="X1150" s="35"/>
      <c r="Y1150" s="35"/>
      <c r="Z1150" s="35"/>
      <c r="AA1150" s="35"/>
      <c r="AB1150" s="35"/>
      <c r="AC1150" s="35"/>
      <c r="AD1150" s="35"/>
      <c r="AE1150" s="35"/>
      <c r="AF1150" s="35"/>
      <c r="AG1150" s="35"/>
      <c r="AH1150" s="35"/>
      <c r="AI1150" s="35"/>
      <c r="AJ1150" s="35"/>
      <c r="AK1150" s="35"/>
      <c r="AL1150" s="35"/>
      <c r="AM1150" s="35"/>
      <c r="AN1150" s="35"/>
      <c r="AO1150" s="35"/>
      <c r="AP1150" s="35"/>
      <c r="AQ1150" s="35"/>
      <c r="AR1150" s="35"/>
      <c r="AS1150" s="35"/>
      <c r="AT1150" s="35"/>
      <c r="AU1150" s="35"/>
      <c r="AV1150" s="35"/>
      <c r="AW1150" s="35"/>
      <c r="AX1150" s="35"/>
      <c r="AY1150" s="35"/>
      <c r="AZ1150" s="35"/>
      <c r="BA1150" s="35"/>
      <c r="BB1150" s="35"/>
      <c r="BC1150" s="35"/>
      <c r="BD1150" s="35"/>
      <c r="BE1150" s="35"/>
      <c r="BF1150" s="35"/>
      <c r="BG1150" s="35"/>
    </row>
    <row r="1151" ht="15.75" customHeight="1">
      <c r="A1151" s="35"/>
      <c r="B1151" s="35"/>
      <c r="C1151" s="35"/>
      <c r="D1151" s="35"/>
      <c r="E1151" s="35"/>
      <c r="F1151" s="35"/>
      <c r="G1151" s="35"/>
      <c r="H1151" s="35"/>
      <c r="I1151" s="35"/>
      <c r="J1151" s="35"/>
      <c r="K1151" s="35"/>
      <c r="L1151" s="35"/>
      <c r="M1151" s="35"/>
      <c r="N1151" s="35"/>
      <c r="O1151" s="35"/>
      <c r="P1151" s="35"/>
      <c r="Q1151" s="35"/>
      <c r="R1151" s="35"/>
      <c r="S1151" s="35"/>
      <c r="T1151" s="35"/>
      <c r="U1151" s="35"/>
      <c r="V1151" s="35"/>
      <c r="W1151" s="35"/>
      <c r="X1151" s="35"/>
      <c r="Y1151" s="35"/>
      <c r="Z1151" s="35"/>
      <c r="AA1151" s="35"/>
      <c r="AB1151" s="35"/>
      <c r="AC1151" s="35"/>
      <c r="AD1151" s="35"/>
      <c r="AE1151" s="35"/>
      <c r="AF1151" s="35"/>
      <c r="AG1151" s="35"/>
      <c r="AH1151" s="35"/>
      <c r="AI1151" s="35"/>
      <c r="AJ1151" s="35"/>
      <c r="AK1151" s="35"/>
      <c r="AL1151" s="35"/>
      <c r="AM1151" s="35"/>
      <c r="AN1151" s="35"/>
      <c r="AO1151" s="35"/>
      <c r="AP1151" s="35"/>
      <c r="AQ1151" s="35"/>
      <c r="AR1151" s="35"/>
      <c r="AS1151" s="35"/>
      <c r="AT1151" s="35"/>
      <c r="AU1151" s="35"/>
      <c r="AV1151" s="35"/>
      <c r="AW1151" s="35"/>
      <c r="AX1151" s="35"/>
      <c r="AY1151" s="35"/>
      <c r="AZ1151" s="35"/>
      <c r="BA1151" s="35"/>
      <c r="BB1151" s="35"/>
      <c r="BC1151" s="35"/>
      <c r="BD1151" s="35"/>
      <c r="BE1151" s="35"/>
      <c r="BF1151" s="35"/>
      <c r="BG1151" s="35"/>
    </row>
    <row r="1152" ht="15.75" customHeight="1">
      <c r="A1152" s="35"/>
      <c r="B1152" s="35"/>
      <c r="C1152" s="35"/>
      <c r="D1152" s="35"/>
      <c r="E1152" s="35"/>
      <c r="F1152" s="35"/>
      <c r="G1152" s="35"/>
      <c r="H1152" s="35"/>
      <c r="I1152" s="35"/>
      <c r="J1152" s="35"/>
      <c r="K1152" s="35"/>
      <c r="L1152" s="35"/>
      <c r="M1152" s="35"/>
      <c r="N1152" s="35"/>
      <c r="O1152" s="35"/>
      <c r="P1152" s="35"/>
      <c r="Q1152" s="35"/>
      <c r="R1152" s="35"/>
      <c r="S1152" s="35"/>
      <c r="T1152" s="35"/>
      <c r="U1152" s="35"/>
      <c r="V1152" s="35"/>
      <c r="W1152" s="35"/>
      <c r="X1152" s="35"/>
      <c r="Y1152" s="35"/>
      <c r="Z1152" s="35"/>
      <c r="AA1152" s="35"/>
      <c r="AB1152" s="35"/>
      <c r="AC1152" s="35"/>
      <c r="AD1152" s="35"/>
      <c r="AE1152" s="35"/>
      <c r="AF1152" s="35"/>
      <c r="AG1152" s="35"/>
      <c r="AH1152" s="35"/>
      <c r="AI1152" s="35"/>
      <c r="AJ1152" s="35"/>
      <c r="AK1152" s="35"/>
      <c r="AL1152" s="35"/>
      <c r="AM1152" s="35"/>
      <c r="AN1152" s="35"/>
      <c r="AO1152" s="35"/>
      <c r="AP1152" s="35"/>
      <c r="AQ1152" s="35"/>
      <c r="AR1152" s="35"/>
      <c r="AS1152" s="35"/>
      <c r="AT1152" s="35"/>
      <c r="AU1152" s="35"/>
      <c r="AV1152" s="35"/>
      <c r="AW1152" s="35"/>
      <c r="AX1152" s="35"/>
      <c r="AY1152" s="35"/>
      <c r="AZ1152" s="35"/>
      <c r="BA1152" s="35"/>
      <c r="BB1152" s="35"/>
      <c r="BC1152" s="35"/>
      <c r="BD1152" s="35"/>
      <c r="BE1152" s="35"/>
      <c r="BF1152" s="35"/>
      <c r="BG1152" s="35"/>
    </row>
    <row r="1153" ht="15.75" customHeight="1">
      <c r="A1153" s="35"/>
      <c r="B1153" s="35"/>
      <c r="C1153" s="35"/>
      <c r="D1153" s="35"/>
      <c r="E1153" s="35"/>
      <c r="F1153" s="35"/>
      <c r="G1153" s="35"/>
      <c r="H1153" s="35"/>
      <c r="I1153" s="35"/>
      <c r="J1153" s="35"/>
      <c r="K1153" s="35"/>
      <c r="L1153" s="35"/>
      <c r="M1153" s="35"/>
      <c r="N1153" s="35"/>
      <c r="O1153" s="35"/>
      <c r="P1153" s="35"/>
      <c r="Q1153" s="35"/>
      <c r="R1153" s="35"/>
      <c r="S1153" s="35"/>
      <c r="T1153" s="35"/>
      <c r="U1153" s="35"/>
      <c r="V1153" s="35"/>
      <c r="W1153" s="35"/>
      <c r="X1153" s="35"/>
      <c r="Y1153" s="35"/>
      <c r="Z1153" s="35"/>
      <c r="AA1153" s="35"/>
      <c r="AB1153" s="35"/>
      <c r="AC1153" s="35"/>
      <c r="AD1153" s="35"/>
      <c r="AE1153" s="35"/>
      <c r="AF1153" s="35"/>
      <c r="AG1153" s="35"/>
      <c r="AH1153" s="35"/>
      <c r="AI1153" s="35"/>
      <c r="AJ1153" s="35"/>
      <c r="AK1153" s="35"/>
      <c r="AL1153" s="35"/>
      <c r="AM1153" s="35"/>
      <c r="AN1153" s="35"/>
      <c r="AO1153" s="35"/>
      <c r="AP1153" s="35"/>
      <c r="AQ1153" s="35"/>
      <c r="AR1153" s="35"/>
      <c r="AS1153" s="35"/>
      <c r="AT1153" s="35"/>
      <c r="AU1153" s="35"/>
      <c r="AV1153" s="35"/>
      <c r="AW1153" s="35"/>
      <c r="AX1153" s="35"/>
      <c r="AY1153" s="35"/>
      <c r="AZ1153" s="35"/>
      <c r="BA1153" s="35"/>
      <c r="BB1153" s="35"/>
      <c r="BC1153" s="35"/>
      <c r="BD1153" s="35"/>
      <c r="BE1153" s="35"/>
      <c r="BF1153" s="35"/>
      <c r="BG1153" s="35"/>
    </row>
    <row r="1154" ht="15.75" customHeight="1">
      <c r="A1154" s="35"/>
      <c r="B1154" s="35"/>
      <c r="C1154" s="35"/>
      <c r="D1154" s="35"/>
      <c r="E1154" s="35"/>
      <c r="F1154" s="35"/>
      <c r="G1154" s="35"/>
      <c r="H1154" s="35"/>
      <c r="I1154" s="35"/>
      <c r="J1154" s="35"/>
      <c r="K1154" s="35"/>
      <c r="L1154" s="35"/>
      <c r="M1154" s="35"/>
      <c r="N1154" s="35"/>
      <c r="O1154" s="35"/>
      <c r="P1154" s="35"/>
      <c r="Q1154" s="35"/>
      <c r="R1154" s="35"/>
      <c r="S1154" s="35"/>
      <c r="T1154" s="35"/>
      <c r="U1154" s="35"/>
      <c r="V1154" s="35"/>
      <c r="W1154" s="35"/>
      <c r="X1154" s="35"/>
      <c r="Y1154" s="35"/>
      <c r="Z1154" s="35"/>
      <c r="AA1154" s="35"/>
      <c r="AB1154" s="35"/>
      <c r="AC1154" s="35"/>
      <c r="AD1154" s="35"/>
      <c r="AE1154" s="35"/>
      <c r="AF1154" s="35"/>
      <c r="AG1154" s="35"/>
      <c r="AH1154" s="35"/>
      <c r="AI1154" s="35"/>
      <c r="AJ1154" s="35"/>
      <c r="AK1154" s="35"/>
      <c r="AL1154" s="35"/>
      <c r="AM1154" s="35"/>
      <c r="AN1154" s="35"/>
      <c r="AO1154" s="35"/>
      <c r="AP1154" s="35"/>
      <c r="AQ1154" s="35"/>
      <c r="AR1154" s="35"/>
      <c r="AS1154" s="35"/>
      <c r="AT1154" s="35"/>
      <c r="AU1154" s="35"/>
      <c r="AV1154" s="35"/>
      <c r="AW1154" s="35"/>
      <c r="AX1154" s="35"/>
      <c r="AY1154" s="35"/>
      <c r="AZ1154" s="35"/>
      <c r="BA1154" s="35"/>
      <c r="BB1154" s="35"/>
      <c r="BC1154" s="35"/>
      <c r="BD1154" s="35"/>
      <c r="BE1154" s="35"/>
      <c r="BF1154" s="35"/>
      <c r="BG1154" s="35"/>
    </row>
    <row r="1155" ht="15.75" customHeight="1">
      <c r="A1155" s="35"/>
      <c r="B1155" s="35"/>
      <c r="C1155" s="35"/>
      <c r="D1155" s="35"/>
      <c r="E1155" s="35"/>
      <c r="F1155" s="35"/>
      <c r="G1155" s="35"/>
      <c r="H1155" s="35"/>
      <c r="I1155" s="35"/>
      <c r="J1155" s="35"/>
      <c r="K1155" s="35"/>
      <c r="L1155" s="35"/>
      <c r="M1155" s="35"/>
      <c r="N1155" s="35"/>
      <c r="O1155" s="35"/>
      <c r="P1155" s="35"/>
      <c r="Q1155" s="35"/>
      <c r="R1155" s="35"/>
      <c r="S1155" s="35"/>
      <c r="T1155" s="35"/>
      <c r="U1155" s="35"/>
      <c r="V1155" s="35"/>
      <c r="W1155" s="35"/>
      <c r="X1155" s="35"/>
      <c r="Y1155" s="35"/>
      <c r="Z1155" s="35"/>
      <c r="AA1155" s="35"/>
      <c r="AB1155" s="35"/>
      <c r="AC1155" s="35"/>
      <c r="AD1155" s="35"/>
      <c r="AE1155" s="35"/>
      <c r="AF1155" s="35"/>
      <c r="AG1155" s="35"/>
      <c r="AH1155" s="35"/>
      <c r="AI1155" s="35"/>
      <c r="AJ1155" s="35"/>
      <c r="AK1155" s="35"/>
      <c r="AL1155" s="35"/>
      <c r="AM1155" s="35"/>
      <c r="AN1155" s="35"/>
      <c r="AO1155" s="35"/>
      <c r="AP1155" s="35"/>
      <c r="AQ1155" s="35"/>
      <c r="AR1155" s="35"/>
      <c r="AS1155" s="35"/>
      <c r="AT1155" s="35"/>
      <c r="AU1155" s="35"/>
      <c r="AV1155" s="35"/>
      <c r="AW1155" s="35"/>
      <c r="AX1155" s="35"/>
      <c r="AY1155" s="35"/>
      <c r="AZ1155" s="35"/>
      <c r="BA1155" s="35"/>
      <c r="BB1155" s="35"/>
      <c r="BC1155" s="35"/>
      <c r="BD1155" s="35"/>
      <c r="BE1155" s="35"/>
      <c r="BF1155" s="35"/>
      <c r="BG1155" s="35"/>
    </row>
    <row r="1156" ht="15.75" customHeight="1">
      <c r="A1156" s="35"/>
      <c r="B1156" s="35"/>
      <c r="C1156" s="35"/>
      <c r="D1156" s="35"/>
      <c r="E1156" s="35"/>
      <c r="F1156" s="35"/>
      <c r="G1156" s="35"/>
      <c r="H1156" s="35"/>
      <c r="I1156" s="35"/>
      <c r="J1156" s="35"/>
      <c r="K1156" s="35"/>
      <c r="L1156" s="35"/>
      <c r="M1156" s="35"/>
      <c r="N1156" s="35"/>
      <c r="O1156" s="35"/>
      <c r="P1156" s="35"/>
      <c r="Q1156" s="35"/>
      <c r="R1156" s="35"/>
      <c r="S1156" s="35"/>
      <c r="T1156" s="35"/>
      <c r="U1156" s="35"/>
      <c r="V1156" s="35"/>
      <c r="W1156" s="35"/>
      <c r="X1156" s="35"/>
      <c r="Y1156" s="35"/>
      <c r="Z1156" s="35"/>
      <c r="AA1156" s="35"/>
      <c r="AB1156" s="35"/>
      <c r="AC1156" s="35"/>
      <c r="AD1156" s="35"/>
      <c r="AE1156" s="35"/>
      <c r="AF1156" s="35"/>
      <c r="AG1156" s="35"/>
      <c r="AH1156" s="35"/>
      <c r="AI1156" s="35"/>
      <c r="AJ1156" s="35"/>
      <c r="AK1156" s="35"/>
      <c r="AL1156" s="35"/>
      <c r="AM1156" s="35"/>
      <c r="AN1156" s="35"/>
      <c r="AO1156" s="35"/>
      <c r="AP1156" s="35"/>
      <c r="AQ1156" s="35"/>
      <c r="AR1156" s="35"/>
      <c r="AS1156" s="35"/>
      <c r="AT1156" s="35"/>
      <c r="AU1156" s="35"/>
      <c r="AV1156" s="35"/>
      <c r="AW1156" s="35"/>
      <c r="AX1156" s="35"/>
      <c r="AY1156" s="35"/>
      <c r="AZ1156" s="35"/>
      <c r="BA1156" s="35"/>
      <c r="BB1156" s="35"/>
      <c r="BC1156" s="35"/>
      <c r="BD1156" s="35"/>
      <c r="BE1156" s="35"/>
      <c r="BF1156" s="35"/>
      <c r="BG1156" s="35"/>
    </row>
    <row r="1157" ht="15.75" customHeight="1">
      <c r="A1157" s="35"/>
      <c r="B1157" s="35"/>
      <c r="C1157" s="35"/>
      <c r="D1157" s="35"/>
      <c r="E1157" s="35"/>
      <c r="F1157" s="35"/>
      <c r="G1157" s="35"/>
      <c r="H1157" s="35"/>
      <c r="I1157" s="35"/>
      <c r="J1157" s="35"/>
      <c r="K1157" s="35"/>
      <c r="L1157" s="35"/>
      <c r="M1157" s="35"/>
      <c r="N1157" s="35"/>
      <c r="O1157" s="35"/>
      <c r="P1157" s="35"/>
      <c r="Q1157" s="35"/>
      <c r="R1157" s="35"/>
      <c r="S1157" s="35"/>
      <c r="T1157" s="35"/>
      <c r="U1157" s="35"/>
      <c r="V1157" s="35"/>
      <c r="W1157" s="35"/>
      <c r="X1157" s="35"/>
      <c r="Y1157" s="35"/>
      <c r="Z1157" s="35"/>
      <c r="AA1157" s="35"/>
      <c r="AB1157" s="35"/>
      <c r="AC1157" s="35"/>
      <c r="AD1157" s="35"/>
      <c r="AE1157" s="35"/>
      <c r="AF1157" s="35"/>
      <c r="AG1157" s="35"/>
      <c r="AH1157" s="35"/>
      <c r="AI1157" s="35"/>
      <c r="AJ1157" s="35"/>
      <c r="AK1157" s="35"/>
      <c r="AL1157" s="35"/>
      <c r="AM1157" s="35"/>
      <c r="AN1157" s="35"/>
      <c r="AO1157" s="35"/>
      <c r="AP1157" s="35"/>
      <c r="AQ1157" s="35"/>
      <c r="AR1157" s="35"/>
      <c r="AS1157" s="35"/>
      <c r="AT1157" s="35"/>
      <c r="AU1157" s="35"/>
      <c r="AV1157" s="35"/>
      <c r="AW1157" s="35"/>
      <c r="AX1157" s="35"/>
      <c r="AY1157" s="35"/>
      <c r="AZ1157" s="35"/>
      <c r="BA1157" s="35"/>
      <c r="BB1157" s="35"/>
      <c r="BC1157" s="35"/>
      <c r="BD1157" s="35"/>
      <c r="BE1157" s="35"/>
      <c r="BF1157" s="35"/>
      <c r="BG1157" s="35"/>
    </row>
    <row r="1158" ht="15.75" customHeight="1">
      <c r="A1158" s="35"/>
      <c r="B1158" s="35"/>
      <c r="C1158" s="35"/>
      <c r="D1158" s="35"/>
      <c r="E1158" s="35"/>
      <c r="F1158" s="35"/>
      <c r="G1158" s="35"/>
      <c r="H1158" s="35"/>
      <c r="I1158" s="35"/>
      <c r="J1158" s="35"/>
      <c r="K1158" s="35"/>
      <c r="L1158" s="35"/>
      <c r="M1158" s="35"/>
      <c r="N1158" s="35"/>
      <c r="O1158" s="35"/>
      <c r="P1158" s="35"/>
      <c r="Q1158" s="35"/>
      <c r="R1158" s="35"/>
      <c r="S1158" s="35"/>
      <c r="T1158" s="35"/>
      <c r="U1158" s="35"/>
      <c r="V1158" s="35"/>
      <c r="W1158" s="35"/>
      <c r="X1158" s="35"/>
      <c r="Y1158" s="35"/>
      <c r="Z1158" s="35"/>
      <c r="AA1158" s="35"/>
      <c r="AB1158" s="35"/>
      <c r="AC1158" s="35"/>
      <c r="AD1158" s="35"/>
      <c r="AE1158" s="35"/>
      <c r="AF1158" s="35"/>
      <c r="AG1158" s="35"/>
      <c r="AH1158" s="35"/>
      <c r="AI1158" s="35"/>
      <c r="AJ1158" s="35"/>
      <c r="AK1158" s="35"/>
      <c r="AL1158" s="35"/>
      <c r="AM1158" s="35"/>
      <c r="AN1158" s="35"/>
      <c r="AO1158" s="35"/>
      <c r="AP1158" s="35"/>
      <c r="AQ1158" s="35"/>
      <c r="AR1158" s="35"/>
      <c r="AS1158" s="35"/>
      <c r="AT1158" s="35"/>
      <c r="AU1158" s="35"/>
      <c r="AV1158" s="35"/>
      <c r="AW1158" s="35"/>
      <c r="AX1158" s="35"/>
      <c r="AY1158" s="35"/>
      <c r="AZ1158" s="35"/>
      <c r="BA1158" s="35"/>
      <c r="BB1158" s="35"/>
      <c r="BC1158" s="35"/>
      <c r="BD1158" s="35"/>
      <c r="BE1158" s="35"/>
      <c r="BF1158" s="35"/>
      <c r="BG1158" s="35"/>
    </row>
    <row r="1159" ht="15.75" customHeight="1">
      <c r="A1159" s="35"/>
      <c r="B1159" s="35"/>
      <c r="C1159" s="35"/>
      <c r="D1159" s="35"/>
      <c r="E1159" s="35"/>
      <c r="F1159" s="35"/>
      <c r="G1159" s="35"/>
      <c r="H1159" s="35"/>
      <c r="I1159" s="35"/>
      <c r="J1159" s="35"/>
      <c r="K1159" s="35"/>
      <c r="L1159" s="35"/>
      <c r="M1159" s="35"/>
      <c r="N1159" s="35"/>
      <c r="O1159" s="35"/>
      <c r="P1159" s="35"/>
      <c r="Q1159" s="35"/>
      <c r="R1159" s="35"/>
      <c r="S1159" s="35"/>
      <c r="T1159" s="35"/>
      <c r="U1159" s="35"/>
      <c r="V1159" s="35"/>
      <c r="W1159" s="35"/>
      <c r="X1159" s="35"/>
      <c r="Y1159" s="35"/>
      <c r="Z1159" s="35"/>
      <c r="AA1159" s="35"/>
      <c r="AB1159" s="35"/>
      <c r="AC1159" s="35"/>
      <c r="AD1159" s="35"/>
      <c r="AE1159" s="35"/>
      <c r="AF1159" s="35"/>
      <c r="AG1159" s="35"/>
      <c r="AH1159" s="35"/>
      <c r="AI1159" s="35"/>
      <c r="AJ1159" s="35"/>
      <c r="AK1159" s="35"/>
      <c r="AL1159" s="35"/>
      <c r="AM1159" s="35"/>
      <c r="AN1159" s="35"/>
      <c r="AO1159" s="35"/>
      <c r="AP1159" s="35"/>
      <c r="AQ1159" s="35"/>
      <c r="AR1159" s="35"/>
      <c r="AS1159" s="35"/>
      <c r="AT1159" s="35"/>
      <c r="AU1159" s="35"/>
      <c r="AV1159" s="35"/>
      <c r="AW1159" s="35"/>
      <c r="AX1159" s="35"/>
      <c r="AY1159" s="35"/>
      <c r="AZ1159" s="35"/>
      <c r="BA1159" s="35"/>
      <c r="BB1159" s="35"/>
      <c r="BC1159" s="35"/>
      <c r="BD1159" s="35"/>
      <c r="BE1159" s="35"/>
      <c r="BF1159" s="35"/>
      <c r="BG1159" s="35"/>
    </row>
    <row r="1160" ht="15.75" customHeight="1">
      <c r="A1160" s="35"/>
      <c r="B1160" s="35"/>
      <c r="C1160" s="35"/>
      <c r="D1160" s="35"/>
      <c r="E1160" s="35"/>
      <c r="F1160" s="35"/>
      <c r="G1160" s="35"/>
      <c r="H1160" s="35"/>
      <c r="I1160" s="35"/>
      <c r="J1160" s="35"/>
      <c r="K1160" s="35"/>
      <c r="L1160" s="35"/>
      <c r="M1160" s="35"/>
      <c r="N1160" s="35"/>
      <c r="O1160" s="35"/>
      <c r="P1160" s="35"/>
      <c r="Q1160" s="35"/>
      <c r="R1160" s="35"/>
      <c r="S1160" s="35"/>
      <c r="T1160" s="35"/>
      <c r="U1160" s="35"/>
      <c r="V1160" s="35"/>
      <c r="W1160" s="35"/>
      <c r="X1160" s="35"/>
      <c r="Y1160" s="35"/>
      <c r="Z1160" s="35"/>
      <c r="AA1160" s="35"/>
      <c r="AB1160" s="35"/>
      <c r="AC1160" s="35"/>
      <c r="AD1160" s="35"/>
      <c r="AE1160" s="35"/>
      <c r="AF1160" s="35"/>
      <c r="AG1160" s="35"/>
      <c r="AH1160" s="35"/>
      <c r="AI1160" s="35"/>
      <c r="AJ1160" s="35"/>
      <c r="AK1160" s="35"/>
      <c r="AL1160" s="35"/>
      <c r="AM1160" s="35"/>
      <c r="AN1160" s="35"/>
      <c r="AO1160" s="35"/>
      <c r="AP1160" s="35"/>
      <c r="AQ1160" s="35"/>
      <c r="AR1160" s="35"/>
      <c r="AS1160" s="35"/>
      <c r="AT1160" s="35"/>
      <c r="AU1160" s="35"/>
      <c r="AV1160" s="35"/>
      <c r="AW1160" s="35"/>
      <c r="AX1160" s="35"/>
      <c r="AY1160" s="35"/>
      <c r="AZ1160" s="35"/>
      <c r="BA1160" s="35"/>
      <c r="BB1160" s="35"/>
      <c r="BC1160" s="35"/>
      <c r="BD1160" s="35"/>
      <c r="BE1160" s="35"/>
      <c r="BF1160" s="35"/>
      <c r="BG1160" s="35"/>
    </row>
    <row r="1161" ht="15.75" customHeight="1">
      <c r="A1161" s="35"/>
      <c r="B1161" s="35"/>
      <c r="C1161" s="35"/>
      <c r="D1161" s="35"/>
      <c r="E1161" s="35"/>
      <c r="F1161" s="35"/>
      <c r="G1161" s="35"/>
      <c r="H1161" s="35"/>
      <c r="I1161" s="35"/>
      <c r="J1161" s="35"/>
      <c r="K1161" s="35"/>
      <c r="L1161" s="35"/>
      <c r="M1161" s="35"/>
      <c r="N1161" s="35"/>
      <c r="O1161" s="35"/>
      <c r="P1161" s="35"/>
      <c r="Q1161" s="35"/>
      <c r="R1161" s="35"/>
      <c r="S1161" s="35"/>
      <c r="T1161" s="35"/>
      <c r="U1161" s="35"/>
      <c r="V1161" s="35"/>
      <c r="W1161" s="35"/>
      <c r="X1161" s="35"/>
      <c r="Y1161" s="35"/>
      <c r="Z1161" s="35"/>
      <c r="AA1161" s="35"/>
      <c r="AB1161" s="35"/>
      <c r="AC1161" s="35"/>
      <c r="AD1161" s="35"/>
      <c r="AE1161" s="35"/>
      <c r="AF1161" s="35"/>
      <c r="AG1161" s="35"/>
      <c r="AH1161" s="35"/>
      <c r="AI1161" s="35"/>
      <c r="AJ1161" s="35"/>
      <c r="AK1161" s="35"/>
      <c r="AL1161" s="35"/>
      <c r="AM1161" s="35"/>
      <c r="AN1161" s="35"/>
      <c r="AO1161" s="35"/>
      <c r="AP1161" s="35"/>
      <c r="AQ1161" s="35"/>
      <c r="AR1161" s="35"/>
      <c r="AS1161" s="35"/>
      <c r="AT1161" s="35"/>
      <c r="AU1161" s="35"/>
      <c r="AV1161" s="35"/>
      <c r="AW1161" s="35"/>
      <c r="AX1161" s="35"/>
      <c r="AY1161" s="35"/>
      <c r="AZ1161" s="35"/>
      <c r="BA1161" s="35"/>
      <c r="BB1161" s="35"/>
      <c r="BC1161" s="35"/>
      <c r="BD1161" s="35"/>
      <c r="BE1161" s="35"/>
      <c r="BF1161" s="35"/>
      <c r="BG1161" s="35"/>
    </row>
    <row r="1162" ht="15.75" customHeight="1">
      <c r="A1162" s="35"/>
      <c r="B1162" s="35"/>
      <c r="C1162" s="35"/>
      <c r="D1162" s="35"/>
      <c r="E1162" s="35"/>
      <c r="F1162" s="35"/>
      <c r="G1162" s="35"/>
      <c r="H1162" s="35"/>
      <c r="I1162" s="35"/>
      <c r="J1162" s="35"/>
      <c r="K1162" s="35"/>
      <c r="L1162" s="35"/>
      <c r="M1162" s="35"/>
      <c r="N1162" s="35"/>
      <c r="O1162" s="35"/>
      <c r="P1162" s="35"/>
      <c r="Q1162" s="35"/>
      <c r="R1162" s="35"/>
      <c r="S1162" s="35"/>
      <c r="T1162" s="35"/>
      <c r="U1162" s="35"/>
      <c r="V1162" s="35"/>
      <c r="W1162" s="35"/>
      <c r="X1162" s="35"/>
      <c r="Y1162" s="35"/>
      <c r="Z1162" s="35"/>
      <c r="AA1162" s="35"/>
      <c r="AB1162" s="35"/>
      <c r="AC1162" s="35"/>
      <c r="AD1162" s="35"/>
      <c r="AE1162" s="35"/>
      <c r="AF1162" s="35"/>
      <c r="AG1162" s="35"/>
      <c r="AH1162" s="35"/>
      <c r="AI1162" s="35"/>
      <c r="AJ1162" s="35"/>
      <c r="AK1162" s="35"/>
      <c r="AL1162" s="35"/>
      <c r="AM1162" s="35"/>
      <c r="AN1162" s="35"/>
      <c r="AO1162" s="35"/>
      <c r="AP1162" s="35"/>
      <c r="AQ1162" s="35"/>
      <c r="AR1162" s="35"/>
      <c r="AS1162" s="35"/>
      <c r="AT1162" s="35"/>
      <c r="AU1162" s="35"/>
      <c r="AV1162" s="35"/>
      <c r="AW1162" s="35"/>
      <c r="AX1162" s="35"/>
      <c r="AY1162" s="35"/>
      <c r="AZ1162" s="35"/>
      <c r="BA1162" s="35"/>
      <c r="BB1162" s="35"/>
      <c r="BC1162" s="35"/>
      <c r="BD1162" s="35"/>
      <c r="BE1162" s="35"/>
      <c r="BF1162" s="35"/>
      <c r="BG1162" s="35"/>
    </row>
    <row r="1163" ht="15.75" customHeight="1">
      <c r="A1163" s="35"/>
      <c r="B1163" s="35"/>
      <c r="C1163" s="35"/>
      <c r="D1163" s="35"/>
      <c r="E1163" s="35"/>
      <c r="F1163" s="35"/>
      <c r="G1163" s="35"/>
      <c r="H1163" s="35"/>
      <c r="I1163" s="35"/>
      <c r="J1163" s="35"/>
      <c r="K1163" s="35"/>
      <c r="L1163" s="35"/>
      <c r="M1163" s="35"/>
      <c r="N1163" s="35"/>
      <c r="O1163" s="35"/>
      <c r="P1163" s="35"/>
      <c r="Q1163" s="35"/>
      <c r="R1163" s="35"/>
      <c r="S1163" s="35"/>
      <c r="T1163" s="35"/>
      <c r="U1163" s="35"/>
      <c r="V1163" s="35"/>
      <c r="W1163" s="35"/>
      <c r="X1163" s="35"/>
      <c r="Y1163" s="35"/>
      <c r="Z1163" s="35"/>
      <c r="AA1163" s="35"/>
      <c r="AB1163" s="35"/>
      <c r="AC1163" s="35"/>
      <c r="AD1163" s="35"/>
      <c r="AE1163" s="35"/>
      <c r="AF1163" s="35"/>
      <c r="AG1163" s="35"/>
      <c r="AH1163" s="35"/>
      <c r="AI1163" s="35"/>
      <c r="AJ1163" s="35"/>
      <c r="AK1163" s="35"/>
      <c r="AL1163" s="35"/>
      <c r="AM1163" s="35"/>
      <c r="AN1163" s="35"/>
      <c r="AO1163" s="35"/>
      <c r="AP1163" s="35"/>
      <c r="AQ1163" s="35"/>
      <c r="AR1163" s="35"/>
      <c r="AS1163" s="35"/>
      <c r="AT1163" s="35"/>
      <c r="AU1163" s="35"/>
      <c r="AV1163" s="35"/>
      <c r="AW1163" s="35"/>
      <c r="AX1163" s="35"/>
      <c r="AY1163" s="35"/>
      <c r="AZ1163" s="35"/>
      <c r="BA1163" s="35"/>
      <c r="BB1163" s="35"/>
      <c r="BC1163" s="35"/>
      <c r="BD1163" s="35"/>
      <c r="BE1163" s="35"/>
      <c r="BF1163" s="35"/>
      <c r="BG1163" s="35"/>
    </row>
    <row r="1164" ht="15.75" customHeight="1">
      <c r="A1164" s="35"/>
      <c r="B1164" s="35"/>
      <c r="C1164" s="35"/>
      <c r="D1164" s="35"/>
      <c r="E1164" s="35"/>
      <c r="F1164" s="35"/>
      <c r="G1164" s="35"/>
      <c r="H1164" s="35"/>
      <c r="I1164" s="35"/>
      <c r="J1164" s="35"/>
      <c r="K1164" s="35"/>
      <c r="L1164" s="35"/>
      <c r="M1164" s="35"/>
      <c r="N1164" s="35"/>
      <c r="O1164" s="35"/>
      <c r="P1164" s="35"/>
      <c r="Q1164" s="35"/>
      <c r="R1164" s="35"/>
      <c r="S1164" s="35"/>
      <c r="T1164" s="35"/>
      <c r="U1164" s="35"/>
      <c r="V1164" s="35"/>
      <c r="W1164" s="35"/>
      <c r="X1164" s="35"/>
      <c r="Y1164" s="35"/>
      <c r="Z1164" s="35"/>
      <c r="AA1164" s="35"/>
      <c r="AB1164" s="35"/>
      <c r="AC1164" s="35"/>
      <c r="AD1164" s="35"/>
      <c r="AE1164" s="35"/>
      <c r="AF1164" s="35"/>
      <c r="AG1164" s="35"/>
      <c r="AH1164" s="35"/>
      <c r="AI1164" s="35"/>
      <c r="AJ1164" s="35"/>
      <c r="AK1164" s="35"/>
      <c r="AL1164" s="35"/>
      <c r="AM1164" s="35"/>
      <c r="AN1164" s="35"/>
      <c r="AO1164" s="35"/>
      <c r="AP1164" s="35"/>
      <c r="AQ1164" s="35"/>
      <c r="AR1164" s="35"/>
      <c r="AS1164" s="35"/>
      <c r="AT1164" s="35"/>
      <c r="AU1164" s="35"/>
      <c r="AV1164" s="35"/>
      <c r="AW1164" s="35"/>
      <c r="AX1164" s="35"/>
      <c r="AY1164" s="35"/>
      <c r="AZ1164" s="35"/>
      <c r="BA1164" s="35"/>
      <c r="BB1164" s="35"/>
      <c r="BC1164" s="35"/>
      <c r="BD1164" s="35"/>
      <c r="BE1164" s="35"/>
      <c r="BF1164" s="35"/>
      <c r="BG1164" s="35"/>
    </row>
    <row r="1165" ht="15.75" customHeight="1">
      <c r="A1165" s="35"/>
      <c r="B1165" s="35"/>
      <c r="C1165" s="35"/>
      <c r="D1165" s="35"/>
      <c r="E1165" s="35"/>
      <c r="F1165" s="35"/>
      <c r="G1165" s="35"/>
      <c r="H1165" s="35"/>
      <c r="I1165" s="35"/>
      <c r="J1165" s="35"/>
      <c r="K1165" s="35"/>
      <c r="L1165" s="35"/>
      <c r="M1165" s="35"/>
      <c r="N1165" s="35"/>
      <c r="O1165" s="35"/>
      <c r="P1165" s="35"/>
      <c r="Q1165" s="35"/>
      <c r="R1165" s="35"/>
      <c r="S1165" s="35"/>
      <c r="T1165" s="35"/>
      <c r="U1165" s="35"/>
      <c r="V1165" s="35"/>
      <c r="W1165" s="35"/>
      <c r="X1165" s="35"/>
      <c r="Y1165" s="35"/>
      <c r="Z1165" s="35"/>
      <c r="AA1165" s="35"/>
      <c r="AB1165" s="35"/>
      <c r="AC1165" s="35"/>
      <c r="AD1165" s="35"/>
      <c r="AE1165" s="35"/>
      <c r="AF1165" s="35"/>
      <c r="AG1165" s="35"/>
      <c r="AH1165" s="35"/>
      <c r="AI1165" s="35"/>
      <c r="AJ1165" s="35"/>
      <c r="AK1165" s="35"/>
      <c r="AL1165" s="35"/>
      <c r="AM1165" s="35"/>
      <c r="AN1165" s="35"/>
      <c r="AO1165" s="35"/>
      <c r="AP1165" s="35"/>
      <c r="AQ1165" s="35"/>
      <c r="AR1165" s="35"/>
      <c r="AS1165" s="35"/>
      <c r="AT1165" s="35"/>
      <c r="AU1165" s="35"/>
      <c r="AV1165" s="35"/>
      <c r="AW1165" s="35"/>
      <c r="AX1165" s="35"/>
      <c r="AY1165" s="35"/>
      <c r="AZ1165" s="35"/>
      <c r="BA1165" s="35"/>
      <c r="BB1165" s="35"/>
      <c r="BC1165" s="35"/>
      <c r="BD1165" s="35"/>
      <c r="BE1165" s="35"/>
      <c r="BF1165" s="35"/>
      <c r="BG1165" s="35"/>
    </row>
    <row r="1166" ht="15.75" customHeight="1">
      <c r="A1166" s="35"/>
      <c r="B1166" s="35"/>
      <c r="C1166" s="35"/>
      <c r="D1166" s="35"/>
      <c r="E1166" s="35"/>
      <c r="F1166" s="35"/>
      <c r="G1166" s="35"/>
      <c r="H1166" s="35"/>
      <c r="I1166" s="35"/>
      <c r="J1166" s="35"/>
      <c r="K1166" s="35"/>
      <c r="L1166" s="35"/>
      <c r="M1166" s="35"/>
      <c r="N1166" s="35"/>
      <c r="O1166" s="35"/>
      <c r="P1166" s="35"/>
      <c r="Q1166" s="35"/>
      <c r="R1166" s="35"/>
      <c r="S1166" s="35"/>
      <c r="T1166" s="35"/>
      <c r="U1166" s="35"/>
      <c r="V1166" s="35"/>
      <c r="W1166" s="35"/>
      <c r="X1166" s="35"/>
      <c r="Y1166" s="35"/>
      <c r="Z1166" s="35"/>
      <c r="AA1166" s="35"/>
      <c r="AB1166" s="35"/>
      <c r="AC1166" s="35"/>
      <c r="AD1166" s="35"/>
      <c r="AE1166" s="35"/>
      <c r="AF1166" s="35"/>
      <c r="AG1166" s="35"/>
      <c r="AH1166" s="35"/>
      <c r="AI1166" s="35"/>
      <c r="AJ1166" s="35"/>
      <c r="AK1166" s="35"/>
      <c r="AL1166" s="35"/>
      <c r="AM1166" s="35"/>
      <c r="AN1166" s="35"/>
      <c r="AO1166" s="35"/>
      <c r="AP1166" s="35"/>
      <c r="AQ1166" s="35"/>
      <c r="AR1166" s="35"/>
      <c r="AS1166" s="35"/>
      <c r="AT1166" s="35"/>
      <c r="AU1166" s="35"/>
      <c r="AV1166" s="35"/>
      <c r="AW1166" s="35"/>
      <c r="AX1166" s="35"/>
      <c r="AY1166" s="35"/>
      <c r="AZ1166" s="35"/>
      <c r="BA1166" s="35"/>
      <c r="BB1166" s="35"/>
      <c r="BC1166" s="35"/>
      <c r="BD1166" s="35"/>
      <c r="BE1166" s="35"/>
      <c r="BF1166" s="35"/>
      <c r="BG1166" s="35"/>
    </row>
    <row r="1167" ht="15.75" customHeight="1">
      <c r="A1167" s="35"/>
      <c r="B1167" s="35"/>
      <c r="C1167" s="35"/>
      <c r="D1167" s="35"/>
      <c r="E1167" s="35"/>
      <c r="F1167" s="35"/>
      <c r="G1167" s="35"/>
      <c r="H1167" s="35"/>
      <c r="I1167" s="35"/>
      <c r="J1167" s="35"/>
      <c r="K1167" s="35"/>
      <c r="L1167" s="35"/>
      <c r="M1167" s="35"/>
      <c r="N1167" s="35"/>
      <c r="O1167" s="35"/>
      <c r="P1167" s="35"/>
      <c r="Q1167" s="35"/>
      <c r="R1167" s="35"/>
      <c r="S1167" s="35"/>
      <c r="T1167" s="35"/>
      <c r="U1167" s="35"/>
      <c r="V1167" s="35"/>
      <c r="W1167" s="35"/>
      <c r="X1167" s="35"/>
      <c r="Y1167" s="35"/>
      <c r="Z1167" s="35"/>
      <c r="AA1167" s="35"/>
      <c r="AB1167" s="35"/>
      <c r="AC1167" s="35"/>
      <c r="AD1167" s="35"/>
      <c r="AE1167" s="35"/>
      <c r="AF1167" s="35"/>
      <c r="AG1167" s="35"/>
      <c r="AH1167" s="35"/>
      <c r="AI1167" s="35"/>
      <c r="AJ1167" s="35"/>
      <c r="AK1167" s="35"/>
      <c r="AL1167" s="35"/>
      <c r="AM1167" s="35"/>
      <c r="AN1167" s="35"/>
      <c r="AO1167" s="35"/>
      <c r="AP1167" s="35"/>
      <c r="AQ1167" s="35"/>
      <c r="AR1167" s="35"/>
      <c r="AS1167" s="35"/>
      <c r="AT1167" s="35"/>
      <c r="AU1167" s="35"/>
      <c r="AV1167" s="35"/>
      <c r="AW1167" s="35"/>
      <c r="AX1167" s="35"/>
      <c r="AY1167" s="35"/>
      <c r="AZ1167" s="35"/>
      <c r="BA1167" s="35"/>
      <c r="BB1167" s="35"/>
      <c r="BC1167" s="35"/>
      <c r="BD1167" s="35"/>
      <c r="BE1167" s="35"/>
      <c r="BF1167" s="35"/>
      <c r="BG1167" s="35"/>
    </row>
    <row r="1168" ht="15.75" customHeight="1">
      <c r="A1168" s="35"/>
      <c r="B1168" s="35"/>
      <c r="C1168" s="35"/>
      <c r="D1168" s="35"/>
      <c r="E1168" s="35"/>
      <c r="F1168" s="35"/>
      <c r="G1168" s="35"/>
      <c r="H1168" s="35"/>
      <c r="I1168" s="35"/>
      <c r="J1168" s="35"/>
      <c r="K1168" s="35"/>
      <c r="L1168" s="35"/>
      <c r="M1168" s="35"/>
      <c r="N1168" s="35"/>
      <c r="O1168" s="35"/>
      <c r="P1168" s="35"/>
      <c r="Q1168" s="35"/>
      <c r="R1168" s="35"/>
      <c r="S1168" s="35"/>
      <c r="T1168" s="35"/>
      <c r="U1168" s="35"/>
      <c r="V1168" s="35"/>
      <c r="W1168" s="35"/>
      <c r="X1168" s="35"/>
      <c r="Y1168" s="35"/>
      <c r="Z1168" s="35"/>
      <c r="AA1168" s="35"/>
      <c r="AB1168" s="35"/>
      <c r="AC1168" s="35"/>
      <c r="AD1168" s="35"/>
      <c r="AE1168" s="35"/>
      <c r="AF1168" s="35"/>
      <c r="AG1168" s="35"/>
      <c r="AH1168" s="35"/>
      <c r="AI1168" s="35"/>
      <c r="AJ1168" s="35"/>
      <c r="AK1168" s="35"/>
      <c r="AL1168" s="35"/>
      <c r="AM1168" s="35"/>
      <c r="AN1168" s="35"/>
      <c r="AO1168" s="35"/>
      <c r="AP1168" s="35"/>
      <c r="AQ1168" s="35"/>
      <c r="AR1168" s="35"/>
      <c r="AS1168" s="35"/>
      <c r="AT1168" s="35"/>
      <c r="AU1168" s="35"/>
      <c r="AV1168" s="35"/>
      <c r="AW1168" s="35"/>
      <c r="AX1168" s="35"/>
      <c r="AY1168" s="35"/>
      <c r="AZ1168" s="35"/>
      <c r="BA1168" s="35"/>
      <c r="BB1168" s="35"/>
      <c r="BC1168" s="35"/>
      <c r="BD1168" s="35"/>
      <c r="BE1168" s="35"/>
      <c r="BF1168" s="35"/>
      <c r="BG1168" s="35"/>
    </row>
    <row r="1169" ht="15.75" customHeight="1">
      <c r="A1169" s="35"/>
      <c r="B1169" s="35"/>
      <c r="C1169" s="35"/>
      <c r="D1169" s="35"/>
      <c r="E1169" s="35"/>
      <c r="F1169" s="35"/>
      <c r="G1169" s="35"/>
      <c r="H1169" s="35"/>
      <c r="I1169" s="35"/>
      <c r="J1169" s="35"/>
      <c r="K1169" s="35"/>
      <c r="L1169" s="35"/>
      <c r="M1169" s="35"/>
      <c r="N1169" s="35"/>
      <c r="O1169" s="35"/>
      <c r="P1169" s="35"/>
      <c r="Q1169" s="35"/>
      <c r="R1169" s="35"/>
      <c r="S1169" s="35"/>
      <c r="T1169" s="35"/>
      <c r="U1169" s="35"/>
      <c r="V1169" s="35"/>
      <c r="W1169" s="35"/>
      <c r="X1169" s="35"/>
      <c r="Y1169" s="35"/>
      <c r="Z1169" s="35"/>
      <c r="AA1169" s="35"/>
      <c r="AB1169" s="35"/>
      <c r="AC1169" s="35"/>
      <c r="AD1169" s="35"/>
      <c r="AE1169" s="35"/>
      <c r="AF1169" s="35"/>
      <c r="AG1169" s="35"/>
      <c r="AH1169" s="35"/>
      <c r="AI1169" s="35"/>
      <c r="AJ1169" s="35"/>
      <c r="AK1169" s="35"/>
      <c r="AL1169" s="35"/>
      <c r="AM1169" s="35"/>
      <c r="AN1169" s="35"/>
      <c r="AO1169" s="35"/>
      <c r="AP1169" s="35"/>
      <c r="AQ1169" s="35"/>
      <c r="AR1169" s="35"/>
      <c r="AS1169" s="35"/>
      <c r="AT1169" s="35"/>
      <c r="AU1169" s="35"/>
      <c r="AV1169" s="35"/>
      <c r="AW1169" s="35"/>
      <c r="AX1169" s="35"/>
      <c r="AY1169" s="35"/>
      <c r="AZ1169" s="35"/>
      <c r="BA1169" s="35"/>
      <c r="BB1169" s="35"/>
      <c r="BC1169" s="35"/>
      <c r="BD1169" s="35"/>
      <c r="BE1169" s="35"/>
      <c r="BF1169" s="35"/>
      <c r="BG1169" s="35"/>
    </row>
    <row r="1170" ht="15.75" customHeight="1">
      <c r="A1170" s="35"/>
      <c r="B1170" s="35"/>
      <c r="C1170" s="35"/>
      <c r="D1170" s="35"/>
      <c r="E1170" s="35"/>
      <c r="F1170" s="35"/>
      <c r="G1170" s="35"/>
      <c r="H1170" s="35"/>
      <c r="I1170" s="35"/>
      <c r="J1170" s="35"/>
      <c r="K1170" s="35"/>
      <c r="L1170" s="35"/>
      <c r="M1170" s="35"/>
      <c r="N1170" s="35"/>
      <c r="O1170" s="35"/>
      <c r="P1170" s="35"/>
      <c r="Q1170" s="35"/>
      <c r="R1170" s="35"/>
      <c r="S1170" s="35"/>
      <c r="T1170" s="35"/>
      <c r="U1170" s="35"/>
      <c r="V1170" s="35"/>
      <c r="W1170" s="35"/>
      <c r="X1170" s="35"/>
      <c r="Y1170" s="35"/>
      <c r="Z1170" s="35"/>
      <c r="AA1170" s="35"/>
      <c r="AB1170" s="35"/>
      <c r="AC1170" s="35"/>
      <c r="AD1170" s="35"/>
      <c r="AE1170" s="35"/>
      <c r="AF1170" s="35"/>
      <c r="AG1170" s="35"/>
      <c r="AH1170" s="35"/>
      <c r="AI1170" s="35"/>
      <c r="AJ1170" s="35"/>
      <c r="AK1170" s="35"/>
      <c r="AL1170" s="35"/>
      <c r="AM1170" s="35"/>
      <c r="AN1170" s="35"/>
      <c r="AO1170" s="35"/>
      <c r="AP1170" s="35"/>
      <c r="AQ1170" s="35"/>
      <c r="AR1170" s="35"/>
      <c r="AS1170" s="35"/>
      <c r="AT1170" s="35"/>
      <c r="AU1170" s="35"/>
      <c r="AV1170" s="35"/>
      <c r="AW1170" s="35"/>
      <c r="AX1170" s="35"/>
      <c r="AY1170" s="35"/>
      <c r="AZ1170" s="35"/>
      <c r="BA1170" s="35"/>
      <c r="BB1170" s="35"/>
      <c r="BC1170" s="35"/>
      <c r="BD1170" s="35"/>
      <c r="BE1170" s="35"/>
      <c r="BF1170" s="35"/>
      <c r="BG1170" s="35"/>
    </row>
    <row r="1171" ht="15.75" customHeight="1">
      <c r="A1171" s="35"/>
      <c r="B1171" s="35"/>
      <c r="C1171" s="35"/>
      <c r="D1171" s="35"/>
      <c r="E1171" s="35"/>
      <c r="F1171" s="35"/>
      <c r="G1171" s="35"/>
      <c r="H1171" s="35"/>
      <c r="I1171" s="35"/>
      <c r="J1171" s="35"/>
      <c r="K1171" s="35"/>
      <c r="L1171" s="35"/>
      <c r="M1171" s="35"/>
      <c r="N1171" s="35"/>
      <c r="O1171" s="35"/>
      <c r="P1171" s="35"/>
      <c r="Q1171" s="35"/>
      <c r="R1171" s="35"/>
      <c r="S1171" s="35"/>
      <c r="T1171" s="35"/>
      <c r="U1171" s="35"/>
      <c r="V1171" s="35"/>
      <c r="W1171" s="35"/>
      <c r="X1171" s="35"/>
      <c r="Y1171" s="35"/>
      <c r="Z1171" s="35"/>
      <c r="AA1171" s="35"/>
      <c r="AB1171" s="35"/>
      <c r="AC1171" s="35"/>
      <c r="AD1171" s="35"/>
      <c r="AE1171" s="35"/>
      <c r="AF1171" s="35"/>
      <c r="AG1171" s="35"/>
      <c r="AH1171" s="35"/>
      <c r="AI1171" s="35"/>
      <c r="AJ1171" s="35"/>
      <c r="AK1171" s="35"/>
      <c r="AL1171" s="35"/>
      <c r="AM1171" s="35"/>
      <c r="AN1171" s="35"/>
      <c r="AO1171" s="35"/>
      <c r="AP1171" s="35"/>
      <c r="AQ1171" s="35"/>
      <c r="AR1171" s="35"/>
      <c r="AS1171" s="35"/>
      <c r="AT1171" s="35"/>
      <c r="AU1171" s="35"/>
      <c r="AV1171" s="35"/>
      <c r="AW1171" s="35"/>
      <c r="AX1171" s="35"/>
      <c r="AY1171" s="35"/>
      <c r="AZ1171" s="35"/>
      <c r="BA1171" s="35"/>
      <c r="BB1171" s="35"/>
      <c r="BC1171" s="35"/>
      <c r="BD1171" s="35"/>
      <c r="BE1171" s="35"/>
      <c r="BF1171" s="35"/>
      <c r="BG1171" s="35"/>
    </row>
    <row r="1172" ht="15.75" customHeight="1">
      <c r="A1172" s="35"/>
      <c r="B1172" s="35"/>
      <c r="C1172" s="35"/>
      <c r="D1172" s="35"/>
      <c r="E1172" s="35"/>
      <c r="F1172" s="35"/>
      <c r="G1172" s="35"/>
      <c r="H1172" s="35"/>
      <c r="I1172" s="35"/>
      <c r="J1172" s="35"/>
      <c r="K1172" s="35"/>
      <c r="L1172" s="35"/>
      <c r="M1172" s="35"/>
      <c r="N1172" s="35"/>
      <c r="O1172" s="35"/>
      <c r="P1172" s="35"/>
      <c r="Q1172" s="35"/>
      <c r="R1172" s="35"/>
      <c r="S1172" s="35"/>
      <c r="T1172" s="35"/>
      <c r="U1172" s="35"/>
      <c r="V1172" s="35"/>
      <c r="W1172" s="35"/>
      <c r="X1172" s="35"/>
      <c r="Y1172" s="35"/>
      <c r="Z1172" s="35"/>
      <c r="AA1172" s="35"/>
      <c r="AB1172" s="35"/>
      <c r="AC1172" s="35"/>
      <c r="AD1172" s="35"/>
      <c r="AE1172" s="35"/>
      <c r="AF1172" s="35"/>
      <c r="AG1172" s="35"/>
      <c r="AH1172" s="35"/>
      <c r="AI1172" s="35"/>
      <c r="AJ1172" s="35"/>
      <c r="AK1172" s="35"/>
      <c r="AL1172" s="35"/>
      <c r="AM1172" s="35"/>
      <c r="AN1172" s="35"/>
      <c r="AO1172" s="35"/>
      <c r="AP1172" s="35"/>
      <c r="AQ1172" s="35"/>
      <c r="AR1172" s="35"/>
      <c r="AS1172" s="35"/>
      <c r="AT1172" s="35"/>
      <c r="AU1172" s="35"/>
      <c r="AV1172" s="35"/>
      <c r="AW1172" s="35"/>
      <c r="AX1172" s="35"/>
      <c r="AY1172" s="35"/>
      <c r="AZ1172" s="35"/>
      <c r="BA1172" s="35"/>
      <c r="BB1172" s="35"/>
      <c r="BC1172" s="35"/>
      <c r="BD1172" s="35"/>
      <c r="BE1172" s="35"/>
      <c r="BF1172" s="35"/>
      <c r="BG1172" s="35"/>
    </row>
    <row r="1173" ht="15.75" customHeight="1">
      <c r="A1173" s="35"/>
      <c r="B1173" s="35"/>
      <c r="C1173" s="35"/>
      <c r="D1173" s="35"/>
      <c r="E1173" s="35"/>
      <c r="F1173" s="35"/>
      <c r="G1173" s="35"/>
      <c r="H1173" s="35"/>
      <c r="I1173" s="35"/>
      <c r="J1173" s="35"/>
      <c r="K1173" s="35"/>
      <c r="L1173" s="35"/>
      <c r="M1173" s="35"/>
      <c r="N1173" s="35"/>
      <c r="O1173" s="35"/>
      <c r="P1173" s="35"/>
      <c r="Q1173" s="35"/>
      <c r="R1173" s="35"/>
      <c r="S1173" s="35"/>
      <c r="T1173" s="35"/>
      <c r="U1173" s="35"/>
      <c r="V1173" s="35"/>
      <c r="W1173" s="35"/>
      <c r="X1173" s="35"/>
      <c r="Y1173" s="35"/>
      <c r="Z1173" s="35"/>
      <c r="AA1173" s="35"/>
      <c r="AB1173" s="35"/>
      <c r="AC1173" s="35"/>
      <c r="AD1173" s="35"/>
      <c r="AE1173" s="35"/>
      <c r="AF1173" s="35"/>
      <c r="AG1173" s="35"/>
      <c r="AH1173" s="35"/>
      <c r="AI1173" s="35"/>
      <c r="AJ1173" s="35"/>
      <c r="AK1173" s="35"/>
      <c r="AL1173" s="35"/>
      <c r="AM1173" s="35"/>
      <c r="AN1173" s="35"/>
      <c r="AO1173" s="35"/>
      <c r="AP1173" s="35"/>
      <c r="AQ1173" s="35"/>
      <c r="AR1173" s="35"/>
      <c r="AS1173" s="35"/>
      <c r="AT1173" s="35"/>
      <c r="AU1173" s="35"/>
      <c r="AV1173" s="35"/>
      <c r="AW1173" s="35"/>
      <c r="AX1173" s="35"/>
      <c r="AY1173" s="35"/>
      <c r="AZ1173" s="35"/>
      <c r="BA1173" s="35"/>
      <c r="BB1173" s="35"/>
      <c r="BC1173" s="35"/>
      <c r="BD1173" s="35"/>
      <c r="BE1173" s="35"/>
      <c r="BF1173" s="35"/>
      <c r="BG1173" s="35"/>
    </row>
    <row r="1174" ht="15.75" customHeight="1">
      <c r="A1174" s="35"/>
      <c r="B1174" s="35"/>
      <c r="C1174" s="35"/>
      <c r="D1174" s="35"/>
      <c r="E1174" s="35"/>
      <c r="F1174" s="35"/>
      <c r="G1174" s="35"/>
      <c r="H1174" s="35"/>
      <c r="I1174" s="35"/>
      <c r="J1174" s="35"/>
      <c r="K1174" s="35"/>
      <c r="L1174" s="35"/>
      <c r="M1174" s="35"/>
      <c r="N1174" s="35"/>
      <c r="O1174" s="35"/>
      <c r="P1174" s="35"/>
      <c r="Q1174" s="35"/>
      <c r="R1174" s="35"/>
      <c r="S1174" s="35"/>
      <c r="T1174" s="35"/>
      <c r="U1174" s="35"/>
      <c r="V1174" s="35"/>
      <c r="W1174" s="35"/>
      <c r="X1174" s="35"/>
      <c r="Y1174" s="35"/>
      <c r="Z1174" s="35"/>
      <c r="AA1174" s="35"/>
      <c r="AB1174" s="35"/>
      <c r="AC1174" s="35"/>
      <c r="AD1174" s="35"/>
      <c r="AE1174" s="35"/>
      <c r="AF1174" s="35"/>
      <c r="AG1174" s="35"/>
      <c r="AH1174" s="35"/>
      <c r="AI1174" s="35"/>
      <c r="AJ1174" s="35"/>
      <c r="AK1174" s="35"/>
      <c r="AL1174" s="35"/>
      <c r="AM1174" s="35"/>
      <c r="AN1174" s="35"/>
      <c r="AO1174" s="35"/>
      <c r="AP1174" s="35"/>
      <c r="AQ1174" s="35"/>
      <c r="AR1174" s="35"/>
      <c r="AS1174" s="35"/>
      <c r="AT1174" s="35"/>
      <c r="AU1174" s="35"/>
      <c r="AV1174" s="35"/>
      <c r="AW1174" s="35"/>
      <c r="AX1174" s="35"/>
      <c r="AY1174" s="35"/>
      <c r="AZ1174" s="35"/>
      <c r="BA1174" s="35"/>
      <c r="BB1174" s="35"/>
      <c r="BC1174" s="35"/>
      <c r="BD1174" s="35"/>
      <c r="BE1174" s="35"/>
      <c r="BF1174" s="35"/>
      <c r="BG1174" s="35"/>
    </row>
    <row r="1175" ht="15.75" customHeight="1">
      <c r="A1175" s="35"/>
      <c r="B1175" s="35"/>
      <c r="C1175" s="35"/>
      <c r="D1175" s="35"/>
      <c r="E1175" s="35"/>
      <c r="F1175" s="35"/>
      <c r="G1175" s="35"/>
      <c r="H1175" s="35"/>
      <c r="I1175" s="35"/>
      <c r="J1175" s="35"/>
      <c r="K1175" s="35"/>
      <c r="L1175" s="35"/>
      <c r="M1175" s="35"/>
      <c r="N1175" s="35"/>
      <c r="O1175" s="35"/>
      <c r="P1175" s="35"/>
      <c r="Q1175" s="35"/>
      <c r="R1175" s="35"/>
      <c r="S1175" s="35"/>
      <c r="T1175" s="35"/>
      <c r="U1175" s="35"/>
      <c r="V1175" s="35"/>
      <c r="W1175" s="35"/>
      <c r="X1175" s="35"/>
      <c r="Y1175" s="35"/>
      <c r="Z1175" s="35"/>
      <c r="AA1175" s="35"/>
      <c r="AB1175" s="35"/>
      <c r="AC1175" s="35"/>
      <c r="AD1175" s="35"/>
      <c r="AE1175" s="35"/>
      <c r="AF1175" s="35"/>
      <c r="AG1175" s="35"/>
      <c r="AH1175" s="35"/>
      <c r="AI1175" s="35"/>
      <c r="AJ1175" s="35"/>
      <c r="AK1175" s="35"/>
      <c r="AL1175" s="35"/>
      <c r="AM1175" s="35"/>
      <c r="AN1175" s="35"/>
      <c r="AO1175" s="35"/>
      <c r="AP1175" s="35"/>
      <c r="AQ1175" s="35"/>
      <c r="AR1175" s="35"/>
      <c r="AS1175" s="35"/>
      <c r="AT1175" s="35"/>
      <c r="AU1175" s="35"/>
      <c r="AV1175" s="35"/>
      <c r="AW1175" s="35"/>
      <c r="AX1175" s="35"/>
      <c r="AY1175" s="35"/>
      <c r="AZ1175" s="35"/>
      <c r="BA1175" s="35"/>
      <c r="BB1175" s="35"/>
      <c r="BC1175" s="35"/>
      <c r="BD1175" s="35"/>
      <c r="BE1175" s="35"/>
      <c r="BF1175" s="35"/>
      <c r="BG1175" s="35"/>
    </row>
    <row r="1176" ht="15.75" customHeight="1">
      <c r="A1176" s="35"/>
      <c r="B1176" s="35"/>
      <c r="C1176" s="35"/>
      <c r="D1176" s="35"/>
      <c r="E1176" s="35"/>
      <c r="F1176" s="35"/>
      <c r="G1176" s="35"/>
      <c r="H1176" s="35"/>
      <c r="I1176" s="35"/>
      <c r="J1176" s="35"/>
      <c r="K1176" s="35"/>
      <c r="L1176" s="35"/>
      <c r="M1176" s="35"/>
      <c r="N1176" s="35"/>
      <c r="O1176" s="35"/>
      <c r="P1176" s="35"/>
      <c r="Q1176" s="35"/>
      <c r="R1176" s="35"/>
      <c r="S1176" s="35"/>
      <c r="T1176" s="35"/>
      <c r="U1176" s="35"/>
      <c r="V1176" s="35"/>
      <c r="W1176" s="35"/>
      <c r="X1176" s="35"/>
      <c r="Y1176" s="35"/>
      <c r="Z1176" s="35"/>
      <c r="AA1176" s="35"/>
      <c r="AB1176" s="35"/>
      <c r="AC1176" s="35"/>
      <c r="AD1176" s="35"/>
      <c r="AE1176" s="35"/>
      <c r="AF1176" s="35"/>
      <c r="AG1176" s="35"/>
      <c r="AH1176" s="35"/>
      <c r="AI1176" s="35"/>
      <c r="AJ1176" s="35"/>
      <c r="AK1176" s="35"/>
      <c r="AL1176" s="35"/>
      <c r="AM1176" s="35"/>
      <c r="AN1176" s="35"/>
      <c r="AO1176" s="35"/>
      <c r="AP1176" s="35"/>
      <c r="AQ1176" s="35"/>
      <c r="AR1176" s="35"/>
      <c r="AS1176" s="35"/>
      <c r="AT1176" s="35"/>
      <c r="AU1176" s="35"/>
      <c r="AV1176" s="35"/>
      <c r="AW1176" s="35"/>
      <c r="AX1176" s="35"/>
      <c r="AY1176" s="35"/>
      <c r="AZ1176" s="35"/>
      <c r="BA1176" s="35"/>
      <c r="BB1176" s="35"/>
      <c r="BC1176" s="35"/>
      <c r="BD1176" s="35"/>
      <c r="BE1176" s="35"/>
      <c r="BF1176" s="35"/>
      <c r="BG1176" s="35"/>
    </row>
    <row r="1177" ht="15.75" customHeight="1">
      <c r="A1177" s="35"/>
      <c r="B1177" s="35"/>
      <c r="C1177" s="35"/>
      <c r="D1177" s="35"/>
      <c r="E1177" s="35"/>
      <c r="F1177" s="35"/>
      <c r="G1177" s="35"/>
      <c r="H1177" s="35"/>
      <c r="I1177" s="35"/>
      <c r="J1177" s="35"/>
      <c r="K1177" s="35"/>
      <c r="L1177" s="35"/>
      <c r="M1177" s="35"/>
      <c r="N1177" s="35"/>
      <c r="O1177" s="35"/>
      <c r="P1177" s="35"/>
      <c r="Q1177" s="35"/>
      <c r="R1177" s="35"/>
      <c r="S1177" s="35"/>
      <c r="T1177" s="35"/>
      <c r="U1177" s="35"/>
      <c r="V1177" s="35"/>
      <c r="W1177" s="35"/>
      <c r="X1177" s="35"/>
      <c r="Y1177" s="35"/>
      <c r="Z1177" s="35"/>
      <c r="AA1177" s="35"/>
      <c r="AB1177" s="35"/>
      <c r="AC1177" s="35"/>
      <c r="AD1177" s="35"/>
      <c r="AE1177" s="35"/>
      <c r="AF1177" s="35"/>
      <c r="AG1177" s="35"/>
      <c r="AH1177" s="35"/>
      <c r="AI1177" s="35"/>
      <c r="AJ1177" s="35"/>
      <c r="AK1177" s="35"/>
      <c r="AL1177" s="35"/>
      <c r="AM1177" s="35"/>
      <c r="AN1177" s="35"/>
      <c r="AO1177" s="35"/>
      <c r="AP1177" s="35"/>
      <c r="AQ1177" s="35"/>
      <c r="AR1177" s="35"/>
      <c r="AS1177" s="35"/>
      <c r="AT1177" s="35"/>
      <c r="AU1177" s="35"/>
      <c r="AV1177" s="35"/>
      <c r="AW1177" s="35"/>
      <c r="AX1177" s="35"/>
      <c r="AY1177" s="35"/>
      <c r="AZ1177" s="35"/>
      <c r="BA1177" s="35"/>
      <c r="BB1177" s="35"/>
      <c r="BC1177" s="35"/>
      <c r="BD1177" s="35"/>
      <c r="BE1177" s="35"/>
      <c r="BF1177" s="35"/>
      <c r="BG1177" s="35"/>
    </row>
    <row r="1178" ht="15.75" customHeight="1">
      <c r="A1178" s="35"/>
      <c r="B1178" s="35"/>
      <c r="C1178" s="35"/>
      <c r="D1178" s="35"/>
      <c r="E1178" s="35"/>
      <c r="F1178" s="35"/>
      <c r="G1178" s="35"/>
      <c r="H1178" s="35"/>
      <c r="I1178" s="35"/>
      <c r="J1178" s="35"/>
      <c r="K1178" s="35"/>
      <c r="L1178" s="35"/>
      <c r="M1178" s="35"/>
      <c r="N1178" s="35"/>
      <c r="O1178" s="35"/>
      <c r="P1178" s="35"/>
      <c r="Q1178" s="35"/>
      <c r="R1178" s="35"/>
      <c r="S1178" s="35"/>
      <c r="T1178" s="35"/>
      <c r="U1178" s="35"/>
      <c r="V1178" s="35"/>
      <c r="W1178" s="35"/>
      <c r="X1178" s="35"/>
      <c r="Y1178" s="35"/>
      <c r="Z1178" s="35"/>
      <c r="AA1178" s="35"/>
      <c r="AB1178" s="35"/>
      <c r="AC1178" s="35"/>
      <c r="AD1178" s="35"/>
      <c r="AE1178" s="35"/>
      <c r="AF1178" s="35"/>
      <c r="AG1178" s="35"/>
      <c r="AH1178" s="35"/>
      <c r="AI1178" s="35"/>
      <c r="AJ1178" s="35"/>
      <c r="AK1178" s="35"/>
      <c r="AL1178" s="35"/>
      <c r="AM1178" s="35"/>
      <c r="AN1178" s="35"/>
      <c r="AO1178" s="35"/>
      <c r="AP1178" s="35"/>
      <c r="AQ1178" s="35"/>
      <c r="AR1178" s="35"/>
      <c r="AS1178" s="35"/>
      <c r="AT1178" s="35"/>
      <c r="AU1178" s="35"/>
      <c r="AV1178" s="35"/>
      <c r="AW1178" s="35"/>
      <c r="AX1178" s="35"/>
      <c r="AY1178" s="35"/>
      <c r="AZ1178" s="35"/>
      <c r="BA1178" s="35"/>
      <c r="BB1178" s="35"/>
      <c r="BC1178" s="35"/>
      <c r="BD1178" s="35"/>
      <c r="BE1178" s="35"/>
      <c r="BF1178" s="35"/>
      <c r="BG1178" s="35"/>
    </row>
    <row r="1179" ht="15.75" customHeight="1">
      <c r="A1179" s="35"/>
      <c r="B1179" s="35"/>
      <c r="C1179" s="35"/>
      <c r="D1179" s="35"/>
      <c r="E1179" s="35"/>
      <c r="F1179" s="35"/>
      <c r="G1179" s="35"/>
      <c r="H1179" s="35"/>
      <c r="I1179" s="35"/>
      <c r="J1179" s="35"/>
      <c r="K1179" s="35"/>
      <c r="L1179" s="35"/>
      <c r="M1179" s="35"/>
      <c r="N1179" s="35"/>
      <c r="O1179" s="35"/>
      <c r="P1179" s="35"/>
      <c r="Q1179" s="35"/>
      <c r="R1179" s="35"/>
      <c r="S1179" s="35"/>
      <c r="T1179" s="35"/>
      <c r="U1179" s="35"/>
      <c r="V1179" s="35"/>
      <c r="W1179" s="35"/>
      <c r="X1179" s="35"/>
      <c r="Y1179" s="35"/>
      <c r="Z1179" s="35"/>
      <c r="AA1179" s="35"/>
      <c r="AB1179" s="35"/>
      <c r="AC1179" s="35"/>
      <c r="AD1179" s="35"/>
      <c r="AE1179" s="35"/>
      <c r="AF1179" s="35"/>
      <c r="AG1179" s="35"/>
      <c r="AH1179" s="35"/>
      <c r="AI1179" s="35"/>
      <c r="AJ1179" s="35"/>
      <c r="AK1179" s="35"/>
      <c r="AL1179" s="35"/>
      <c r="AM1179" s="35"/>
      <c r="AN1179" s="35"/>
      <c r="AO1179" s="35"/>
      <c r="AP1179" s="35"/>
      <c r="AQ1179" s="35"/>
      <c r="AR1179" s="35"/>
      <c r="AS1179" s="35"/>
      <c r="AT1179" s="35"/>
      <c r="AU1179" s="35"/>
      <c r="AV1179" s="35"/>
      <c r="AW1179" s="35"/>
      <c r="AX1179" s="35"/>
      <c r="AY1179" s="35"/>
      <c r="AZ1179" s="35"/>
      <c r="BA1179" s="35"/>
      <c r="BB1179" s="35"/>
      <c r="BC1179" s="35"/>
      <c r="BD1179" s="35"/>
      <c r="BE1179" s="35"/>
      <c r="BF1179" s="35"/>
      <c r="BG1179" s="35"/>
    </row>
    <row r="1180" ht="15.75" customHeight="1">
      <c r="A1180" s="35"/>
      <c r="B1180" s="35"/>
      <c r="C1180" s="35"/>
      <c r="D1180" s="35"/>
      <c r="E1180" s="35"/>
      <c r="F1180" s="35"/>
      <c r="G1180" s="35"/>
      <c r="H1180" s="35"/>
      <c r="I1180" s="35"/>
      <c r="J1180" s="35"/>
      <c r="K1180" s="35"/>
      <c r="L1180" s="35"/>
      <c r="M1180" s="35"/>
      <c r="N1180" s="35"/>
      <c r="O1180" s="35"/>
      <c r="P1180" s="35"/>
      <c r="Q1180" s="35"/>
      <c r="R1180" s="35"/>
      <c r="S1180" s="35"/>
      <c r="T1180" s="35"/>
      <c r="U1180" s="35"/>
      <c r="V1180" s="35"/>
      <c r="W1180" s="35"/>
      <c r="X1180" s="35"/>
      <c r="Y1180" s="35"/>
      <c r="Z1180" s="35"/>
      <c r="AA1180" s="35"/>
      <c r="AB1180" s="35"/>
      <c r="AC1180" s="35"/>
      <c r="AD1180" s="35"/>
      <c r="AE1180" s="35"/>
      <c r="AF1180" s="35"/>
      <c r="AG1180" s="35"/>
      <c r="AH1180" s="35"/>
      <c r="AI1180" s="35"/>
      <c r="AJ1180" s="35"/>
      <c r="AK1180" s="35"/>
      <c r="AL1180" s="35"/>
      <c r="AM1180" s="35"/>
      <c r="AN1180" s="35"/>
      <c r="AO1180" s="35"/>
      <c r="AP1180" s="35"/>
      <c r="AQ1180" s="35"/>
      <c r="AR1180" s="35"/>
      <c r="AS1180" s="35"/>
      <c r="AT1180" s="35"/>
      <c r="AU1180" s="35"/>
      <c r="AV1180" s="35"/>
      <c r="AW1180" s="35"/>
      <c r="AX1180" s="35"/>
      <c r="AY1180" s="35"/>
      <c r="AZ1180" s="35"/>
      <c r="BA1180" s="35"/>
      <c r="BB1180" s="35"/>
      <c r="BC1180" s="35"/>
      <c r="BD1180" s="35"/>
      <c r="BE1180" s="35"/>
      <c r="BF1180" s="35"/>
      <c r="BG1180" s="35"/>
    </row>
    <row r="1181" ht="15.75" customHeight="1">
      <c r="A1181" s="35"/>
      <c r="B1181" s="35"/>
      <c r="C1181" s="35"/>
      <c r="D1181" s="35"/>
      <c r="E1181" s="35"/>
      <c r="F1181" s="35"/>
      <c r="G1181" s="35"/>
      <c r="H1181" s="35"/>
      <c r="I1181" s="35"/>
      <c r="J1181" s="35"/>
      <c r="K1181" s="35"/>
      <c r="L1181" s="35"/>
      <c r="M1181" s="35"/>
      <c r="N1181" s="35"/>
      <c r="O1181" s="35"/>
      <c r="P1181" s="35"/>
      <c r="Q1181" s="35"/>
      <c r="R1181" s="35"/>
      <c r="S1181" s="35"/>
      <c r="T1181" s="35"/>
      <c r="U1181" s="35"/>
      <c r="V1181" s="35"/>
      <c r="W1181" s="35"/>
      <c r="X1181" s="35"/>
      <c r="Y1181" s="35"/>
      <c r="Z1181" s="35"/>
      <c r="AA1181" s="35"/>
      <c r="AB1181" s="35"/>
      <c r="AC1181" s="35"/>
      <c r="AD1181" s="35"/>
      <c r="AE1181" s="35"/>
      <c r="AF1181" s="35"/>
      <c r="AG1181" s="35"/>
      <c r="AH1181" s="35"/>
      <c r="AI1181" s="35"/>
      <c r="AJ1181" s="35"/>
      <c r="AK1181" s="35"/>
      <c r="AL1181" s="35"/>
      <c r="AM1181" s="35"/>
      <c r="AN1181" s="35"/>
      <c r="AO1181" s="35"/>
      <c r="AP1181" s="35"/>
      <c r="AQ1181" s="35"/>
      <c r="AR1181" s="35"/>
      <c r="AS1181" s="35"/>
      <c r="AT1181" s="35"/>
      <c r="AU1181" s="35"/>
      <c r="AV1181" s="35"/>
      <c r="AW1181" s="35"/>
      <c r="AX1181" s="35"/>
      <c r="AY1181" s="35"/>
      <c r="AZ1181" s="35"/>
      <c r="BA1181" s="35"/>
      <c r="BB1181" s="35"/>
      <c r="BC1181" s="35"/>
      <c r="BD1181" s="35"/>
      <c r="BE1181" s="35"/>
      <c r="BF1181" s="35"/>
      <c r="BG1181" s="35"/>
    </row>
    <row r="1182" ht="15.75" customHeight="1">
      <c r="A1182" s="35"/>
      <c r="B1182" s="35"/>
      <c r="C1182" s="35"/>
      <c r="D1182" s="35"/>
      <c r="E1182" s="35"/>
      <c r="F1182" s="35"/>
      <c r="G1182" s="35"/>
      <c r="H1182" s="35"/>
      <c r="I1182" s="35"/>
      <c r="J1182" s="35"/>
      <c r="K1182" s="35"/>
      <c r="L1182" s="35"/>
      <c r="M1182" s="35"/>
      <c r="N1182" s="35"/>
      <c r="O1182" s="35"/>
      <c r="P1182" s="35"/>
      <c r="Q1182" s="35"/>
      <c r="R1182" s="35"/>
      <c r="S1182" s="35"/>
      <c r="T1182" s="35"/>
      <c r="U1182" s="35"/>
      <c r="V1182" s="35"/>
      <c r="W1182" s="35"/>
      <c r="X1182" s="35"/>
      <c r="Y1182" s="35"/>
      <c r="Z1182" s="35"/>
      <c r="AA1182" s="35"/>
      <c r="AB1182" s="35"/>
      <c r="AC1182" s="35"/>
      <c r="AD1182" s="35"/>
      <c r="AE1182" s="35"/>
      <c r="AF1182" s="35"/>
      <c r="AG1182" s="35"/>
      <c r="AH1182" s="35"/>
      <c r="AI1182" s="35"/>
      <c r="AJ1182" s="35"/>
      <c r="AK1182" s="35"/>
      <c r="AL1182" s="35"/>
      <c r="AM1182" s="35"/>
      <c r="AN1182" s="35"/>
      <c r="AO1182" s="35"/>
      <c r="AP1182" s="35"/>
      <c r="AQ1182" s="35"/>
      <c r="AR1182" s="35"/>
      <c r="AS1182" s="35"/>
      <c r="AT1182" s="35"/>
      <c r="AU1182" s="35"/>
      <c r="AV1182" s="35"/>
      <c r="AW1182" s="35"/>
      <c r="AX1182" s="35"/>
      <c r="AY1182" s="35"/>
      <c r="AZ1182" s="35"/>
      <c r="BA1182" s="35"/>
      <c r="BB1182" s="35"/>
      <c r="BC1182" s="35"/>
      <c r="BD1182" s="35"/>
      <c r="BE1182" s="35"/>
      <c r="BF1182" s="35"/>
      <c r="BG1182" s="35"/>
    </row>
    <row r="1183" ht="15.75" customHeight="1">
      <c r="A1183" s="35"/>
      <c r="B1183" s="35"/>
      <c r="C1183" s="35"/>
      <c r="D1183" s="35"/>
      <c r="E1183" s="35"/>
      <c r="F1183" s="35"/>
      <c r="G1183" s="35"/>
      <c r="H1183" s="35"/>
      <c r="I1183" s="35"/>
      <c r="J1183" s="35"/>
      <c r="K1183" s="35"/>
      <c r="L1183" s="35"/>
      <c r="M1183" s="35"/>
      <c r="N1183" s="35"/>
      <c r="O1183" s="35"/>
      <c r="P1183" s="35"/>
      <c r="Q1183" s="35"/>
      <c r="R1183" s="35"/>
      <c r="S1183" s="35"/>
      <c r="T1183" s="35"/>
      <c r="U1183" s="35"/>
      <c r="V1183" s="35"/>
      <c r="W1183" s="35"/>
      <c r="X1183" s="35"/>
      <c r="Y1183" s="35"/>
      <c r="Z1183" s="35"/>
      <c r="AA1183" s="35"/>
      <c r="AB1183" s="35"/>
      <c r="AC1183" s="35"/>
      <c r="AD1183" s="35"/>
      <c r="AE1183" s="35"/>
      <c r="AF1183" s="35"/>
      <c r="AG1183" s="35"/>
      <c r="AH1183" s="35"/>
      <c r="AI1183" s="35"/>
      <c r="AJ1183" s="35"/>
      <c r="AK1183" s="35"/>
      <c r="AL1183" s="35"/>
      <c r="AM1183" s="35"/>
      <c r="AN1183" s="35"/>
      <c r="AO1183" s="35"/>
      <c r="AP1183" s="35"/>
      <c r="AQ1183" s="35"/>
      <c r="AR1183" s="35"/>
      <c r="AS1183" s="35"/>
      <c r="AT1183" s="35"/>
      <c r="AU1183" s="35"/>
      <c r="AV1183" s="35"/>
      <c r="AW1183" s="35"/>
      <c r="AX1183" s="35"/>
      <c r="AY1183" s="35"/>
      <c r="AZ1183" s="35"/>
      <c r="BA1183" s="35"/>
      <c r="BB1183" s="35"/>
      <c r="BC1183" s="35"/>
      <c r="BD1183" s="35"/>
      <c r="BE1183" s="35"/>
      <c r="BF1183" s="35"/>
      <c r="BG1183" s="35"/>
    </row>
    <row r="1184" ht="15.75" customHeight="1">
      <c r="A1184" s="35"/>
      <c r="B1184" s="35"/>
      <c r="C1184" s="35"/>
      <c r="D1184" s="35"/>
      <c r="E1184" s="35"/>
      <c r="F1184" s="35"/>
      <c r="G1184" s="35"/>
      <c r="H1184" s="35"/>
      <c r="I1184" s="35"/>
      <c r="J1184" s="35"/>
      <c r="K1184" s="35"/>
      <c r="L1184" s="35"/>
      <c r="M1184" s="35"/>
      <c r="N1184" s="35"/>
      <c r="O1184" s="35"/>
      <c r="P1184" s="35"/>
      <c r="Q1184" s="35"/>
      <c r="R1184" s="35"/>
      <c r="S1184" s="35"/>
      <c r="T1184" s="35"/>
      <c r="U1184" s="35"/>
      <c r="V1184" s="35"/>
      <c r="W1184" s="35"/>
      <c r="X1184" s="35"/>
      <c r="Y1184" s="35"/>
      <c r="Z1184" s="35"/>
      <c r="AA1184" s="35"/>
      <c r="AB1184" s="35"/>
      <c r="AC1184" s="35"/>
      <c r="AD1184" s="35"/>
      <c r="AE1184" s="35"/>
      <c r="AF1184" s="35"/>
      <c r="AG1184" s="35"/>
      <c r="AH1184" s="35"/>
      <c r="AI1184" s="35"/>
      <c r="AJ1184" s="35"/>
      <c r="AK1184" s="35"/>
      <c r="AL1184" s="35"/>
      <c r="AM1184" s="35"/>
      <c r="AN1184" s="35"/>
      <c r="AO1184" s="35"/>
      <c r="AP1184" s="35"/>
      <c r="AQ1184" s="35"/>
      <c r="AR1184" s="35"/>
      <c r="AS1184" s="35"/>
      <c r="AT1184" s="35"/>
      <c r="AU1184" s="35"/>
      <c r="AV1184" s="35"/>
      <c r="AW1184" s="35"/>
      <c r="AX1184" s="35"/>
      <c r="AY1184" s="35"/>
      <c r="AZ1184" s="35"/>
      <c r="BA1184" s="35"/>
      <c r="BB1184" s="35"/>
      <c r="BC1184" s="35"/>
      <c r="BD1184" s="35"/>
      <c r="BE1184" s="35"/>
      <c r="BF1184" s="35"/>
      <c r="BG1184" s="35"/>
    </row>
    <row r="1185" ht="15.75" customHeight="1">
      <c r="A1185" s="35"/>
      <c r="B1185" s="35"/>
      <c r="C1185" s="35"/>
      <c r="D1185" s="35"/>
      <c r="E1185" s="35"/>
      <c r="F1185" s="35"/>
      <c r="G1185" s="35"/>
      <c r="H1185" s="35"/>
      <c r="I1185" s="35"/>
      <c r="J1185" s="35"/>
      <c r="K1185" s="35"/>
      <c r="L1185" s="35"/>
      <c r="M1185" s="35"/>
      <c r="N1185" s="35"/>
      <c r="O1185" s="35"/>
      <c r="P1185" s="35"/>
      <c r="Q1185" s="35"/>
      <c r="R1185" s="35"/>
      <c r="S1185" s="35"/>
      <c r="T1185" s="35"/>
      <c r="U1185" s="35"/>
      <c r="V1185" s="35"/>
      <c r="W1185" s="35"/>
      <c r="X1185" s="35"/>
      <c r="Y1185" s="35"/>
      <c r="Z1185" s="35"/>
      <c r="AA1185" s="35"/>
      <c r="AB1185" s="35"/>
      <c r="AC1185" s="35"/>
      <c r="AD1185" s="35"/>
      <c r="AE1185" s="35"/>
      <c r="AF1185" s="35"/>
      <c r="AG1185" s="35"/>
      <c r="AH1185" s="35"/>
      <c r="AI1185" s="35"/>
      <c r="AJ1185" s="35"/>
      <c r="AK1185" s="35"/>
      <c r="AL1185" s="35"/>
      <c r="AM1185" s="35"/>
      <c r="AN1185" s="35"/>
      <c r="AO1185" s="35"/>
      <c r="AP1185" s="35"/>
      <c r="AQ1185" s="35"/>
      <c r="AR1185" s="35"/>
      <c r="AS1185" s="35"/>
      <c r="AT1185" s="35"/>
      <c r="AU1185" s="35"/>
      <c r="AV1185" s="35"/>
      <c r="AW1185" s="35"/>
      <c r="AX1185" s="35"/>
      <c r="AY1185" s="35"/>
      <c r="AZ1185" s="35"/>
      <c r="BA1185" s="35"/>
      <c r="BB1185" s="35"/>
      <c r="BC1185" s="35"/>
      <c r="BD1185" s="35"/>
      <c r="BE1185" s="35"/>
      <c r="BF1185" s="35"/>
      <c r="BG1185" s="35"/>
    </row>
    <row r="1186" ht="15.75" customHeight="1">
      <c r="A1186" s="35"/>
      <c r="B1186" s="35"/>
      <c r="C1186" s="35"/>
      <c r="D1186" s="35"/>
      <c r="E1186" s="35"/>
      <c r="F1186" s="35"/>
      <c r="G1186" s="35"/>
      <c r="H1186" s="35"/>
      <c r="I1186" s="35"/>
      <c r="J1186" s="35"/>
      <c r="K1186" s="35"/>
      <c r="L1186" s="35"/>
      <c r="M1186" s="35"/>
      <c r="N1186" s="35"/>
      <c r="O1186" s="35"/>
      <c r="P1186" s="35"/>
      <c r="Q1186" s="35"/>
      <c r="R1186" s="35"/>
      <c r="S1186" s="35"/>
      <c r="T1186" s="35"/>
      <c r="U1186" s="35"/>
      <c r="V1186" s="35"/>
      <c r="W1186" s="35"/>
      <c r="X1186" s="35"/>
      <c r="Y1186" s="35"/>
      <c r="Z1186" s="35"/>
      <c r="AA1186" s="35"/>
      <c r="AB1186" s="35"/>
      <c r="AC1186" s="35"/>
      <c r="AD1186" s="35"/>
      <c r="AE1186" s="35"/>
      <c r="AF1186" s="35"/>
      <c r="AG1186" s="35"/>
      <c r="AH1186" s="35"/>
      <c r="AI1186" s="35"/>
      <c r="AJ1186" s="35"/>
      <c r="AK1186" s="35"/>
      <c r="AL1186" s="35"/>
      <c r="AM1186" s="35"/>
      <c r="AN1186" s="35"/>
      <c r="AO1186" s="35"/>
      <c r="AP1186" s="35"/>
      <c r="AQ1186" s="35"/>
      <c r="AR1186" s="35"/>
      <c r="AS1186" s="35"/>
      <c r="AT1186" s="35"/>
      <c r="AU1186" s="35"/>
      <c r="AV1186" s="35"/>
      <c r="AW1186" s="35"/>
      <c r="AX1186" s="35"/>
      <c r="AY1186" s="35"/>
      <c r="AZ1186" s="35"/>
      <c r="BA1186" s="35"/>
      <c r="BB1186" s="35"/>
      <c r="BC1186" s="35"/>
      <c r="BD1186" s="35"/>
      <c r="BE1186" s="35"/>
      <c r="BF1186" s="35"/>
      <c r="BG1186" s="35"/>
    </row>
    <row r="1187" ht="15.75" customHeight="1">
      <c r="A1187" s="35"/>
      <c r="B1187" s="35"/>
      <c r="C1187" s="35"/>
      <c r="D1187" s="35"/>
      <c r="E1187" s="35"/>
      <c r="F1187" s="35"/>
      <c r="G1187" s="35"/>
      <c r="H1187" s="35"/>
      <c r="I1187" s="35"/>
      <c r="J1187" s="35"/>
      <c r="K1187" s="35"/>
      <c r="L1187" s="35"/>
      <c r="M1187" s="35"/>
      <c r="N1187" s="35"/>
      <c r="O1187" s="35"/>
      <c r="P1187" s="35"/>
      <c r="Q1187" s="35"/>
      <c r="R1187" s="35"/>
      <c r="S1187" s="35"/>
      <c r="T1187" s="35"/>
      <c r="U1187" s="35"/>
      <c r="V1187" s="35"/>
      <c r="W1187" s="35"/>
      <c r="X1187" s="35"/>
      <c r="Y1187" s="35"/>
      <c r="Z1187" s="35"/>
      <c r="AA1187" s="35"/>
      <c r="AB1187" s="35"/>
      <c r="AC1187" s="35"/>
      <c r="AD1187" s="35"/>
      <c r="AE1187" s="35"/>
      <c r="AF1187" s="35"/>
      <c r="AG1187" s="35"/>
      <c r="AH1187" s="35"/>
      <c r="AI1187" s="35"/>
      <c r="AJ1187" s="35"/>
      <c r="AK1187" s="35"/>
      <c r="AL1187" s="35"/>
      <c r="AM1187" s="35"/>
      <c r="AN1187" s="35"/>
      <c r="AO1187" s="35"/>
      <c r="AP1187" s="35"/>
      <c r="AQ1187" s="35"/>
      <c r="AR1187" s="35"/>
      <c r="AS1187" s="35"/>
      <c r="AT1187" s="35"/>
      <c r="AU1187" s="35"/>
      <c r="AV1187" s="35"/>
      <c r="AW1187" s="35"/>
      <c r="AX1187" s="35"/>
      <c r="AY1187" s="35"/>
      <c r="AZ1187" s="35"/>
      <c r="BA1187" s="35"/>
      <c r="BB1187" s="35"/>
      <c r="BC1187" s="35"/>
      <c r="BD1187" s="35"/>
      <c r="BE1187" s="35"/>
      <c r="BF1187" s="35"/>
      <c r="BG1187" s="35"/>
    </row>
    <row r="1188" ht="15.75" customHeight="1">
      <c r="A1188" s="35"/>
      <c r="B1188" s="35"/>
      <c r="C1188" s="35"/>
      <c r="D1188" s="35"/>
      <c r="E1188" s="35"/>
      <c r="F1188" s="35"/>
      <c r="G1188" s="35"/>
      <c r="H1188" s="35"/>
      <c r="I1188" s="35"/>
      <c r="J1188" s="35"/>
      <c r="K1188" s="35"/>
      <c r="L1188" s="35"/>
      <c r="M1188" s="35"/>
      <c r="N1188" s="35"/>
      <c r="O1188" s="35"/>
      <c r="P1188" s="35"/>
      <c r="Q1188" s="35"/>
      <c r="R1188" s="35"/>
      <c r="S1188" s="35"/>
      <c r="T1188" s="35"/>
      <c r="U1188" s="35"/>
      <c r="V1188" s="35"/>
      <c r="W1188" s="35"/>
      <c r="X1188" s="35"/>
      <c r="Y1188" s="35"/>
      <c r="Z1188" s="35"/>
      <c r="AA1188" s="35"/>
      <c r="AB1188" s="35"/>
      <c r="AC1188" s="35"/>
      <c r="AD1188" s="35"/>
      <c r="AE1188" s="35"/>
      <c r="AF1188" s="35"/>
      <c r="AG1188" s="35"/>
      <c r="AH1188" s="35"/>
      <c r="AI1188" s="35"/>
      <c r="AJ1188" s="35"/>
      <c r="AK1188" s="35"/>
      <c r="AL1188" s="35"/>
      <c r="AM1188" s="35"/>
      <c r="AN1188" s="35"/>
      <c r="AO1188" s="35"/>
      <c r="AP1188" s="35"/>
      <c r="AQ1188" s="35"/>
      <c r="AR1188" s="35"/>
      <c r="AS1188" s="35"/>
      <c r="AT1188" s="35"/>
      <c r="AU1188" s="35"/>
      <c r="AV1188" s="35"/>
      <c r="AW1188" s="35"/>
      <c r="AX1188" s="35"/>
      <c r="AY1188" s="35"/>
      <c r="AZ1188" s="35"/>
      <c r="BA1188" s="35"/>
      <c r="BB1188" s="35"/>
      <c r="BC1188" s="35"/>
      <c r="BD1188" s="35"/>
      <c r="BE1188" s="35"/>
      <c r="BF1188" s="35"/>
      <c r="BG1188" s="35"/>
    </row>
    <row r="1189" ht="15.75" customHeight="1">
      <c r="A1189" s="35"/>
      <c r="B1189" s="35"/>
      <c r="C1189" s="35"/>
      <c r="D1189" s="35"/>
      <c r="E1189" s="35"/>
      <c r="F1189" s="35"/>
      <c r="G1189" s="35"/>
      <c r="H1189" s="35"/>
      <c r="I1189" s="35"/>
      <c r="J1189" s="35"/>
      <c r="K1189" s="35"/>
      <c r="L1189" s="35"/>
      <c r="M1189" s="35"/>
      <c r="N1189" s="35"/>
      <c r="O1189" s="35"/>
      <c r="P1189" s="35"/>
      <c r="Q1189" s="35"/>
      <c r="R1189" s="35"/>
      <c r="S1189" s="35"/>
      <c r="T1189" s="35"/>
      <c r="U1189" s="35"/>
      <c r="V1189" s="35"/>
      <c r="W1189" s="35"/>
      <c r="X1189" s="35"/>
      <c r="Y1189" s="35"/>
      <c r="Z1189" s="35"/>
      <c r="AA1189" s="35"/>
      <c r="AB1189" s="35"/>
      <c r="AC1189" s="35"/>
      <c r="AD1189" s="35"/>
      <c r="AE1189" s="35"/>
      <c r="AF1189" s="35"/>
      <c r="AG1189" s="35"/>
      <c r="AH1189" s="35"/>
      <c r="AI1189" s="35"/>
      <c r="AJ1189" s="35"/>
      <c r="AK1189" s="35"/>
      <c r="AL1189" s="35"/>
      <c r="AM1189" s="35"/>
      <c r="AN1189" s="35"/>
      <c r="AO1189" s="35"/>
      <c r="AP1189" s="35"/>
      <c r="AQ1189" s="35"/>
      <c r="AR1189" s="35"/>
      <c r="AS1189" s="35"/>
      <c r="AT1189" s="35"/>
      <c r="AU1189" s="35"/>
      <c r="AV1189" s="35"/>
      <c r="AW1189" s="35"/>
      <c r="AX1189" s="35"/>
      <c r="AY1189" s="35"/>
      <c r="AZ1189" s="35"/>
      <c r="BA1189" s="35"/>
      <c r="BB1189" s="35"/>
      <c r="BC1189" s="35"/>
      <c r="BD1189" s="35"/>
      <c r="BE1189" s="35"/>
      <c r="BF1189" s="35"/>
      <c r="BG1189" s="35"/>
    </row>
    <row r="1190" ht="15.75" customHeight="1">
      <c r="A1190" s="35"/>
      <c r="B1190" s="35"/>
      <c r="C1190" s="35"/>
      <c r="D1190" s="35"/>
      <c r="E1190" s="35"/>
      <c r="F1190" s="35"/>
      <c r="G1190" s="35"/>
      <c r="H1190" s="35"/>
      <c r="I1190" s="35"/>
      <c r="J1190" s="35"/>
      <c r="K1190" s="35"/>
      <c r="L1190" s="35"/>
      <c r="M1190" s="35"/>
      <c r="N1190" s="35"/>
      <c r="O1190" s="35"/>
      <c r="P1190" s="35"/>
      <c r="Q1190" s="35"/>
      <c r="R1190" s="35"/>
      <c r="S1190" s="35"/>
      <c r="T1190" s="35"/>
      <c r="U1190" s="35"/>
      <c r="V1190" s="35"/>
      <c r="W1190" s="35"/>
      <c r="X1190" s="35"/>
      <c r="Y1190" s="35"/>
      <c r="Z1190" s="35"/>
      <c r="AA1190" s="35"/>
      <c r="AB1190" s="35"/>
      <c r="AC1190" s="35"/>
      <c r="AD1190" s="35"/>
      <c r="AE1190" s="35"/>
      <c r="AF1190" s="35"/>
      <c r="AG1190" s="35"/>
      <c r="AH1190" s="35"/>
      <c r="AI1190" s="35"/>
      <c r="AJ1190" s="35"/>
      <c r="AK1190" s="35"/>
      <c r="AL1190" s="35"/>
      <c r="AM1190" s="35"/>
      <c r="AN1190" s="35"/>
      <c r="AO1190" s="35"/>
      <c r="AP1190" s="35"/>
      <c r="AQ1190" s="35"/>
      <c r="AR1190" s="35"/>
      <c r="AS1190" s="35"/>
      <c r="AT1190" s="35"/>
      <c r="AU1190" s="35"/>
      <c r="AV1190" s="35"/>
      <c r="AW1190" s="35"/>
      <c r="AX1190" s="35"/>
      <c r="AY1190" s="35"/>
      <c r="AZ1190" s="35"/>
      <c r="BA1190" s="35"/>
      <c r="BB1190" s="35"/>
      <c r="BC1190" s="35"/>
      <c r="BD1190" s="35"/>
      <c r="BE1190" s="35"/>
      <c r="BF1190" s="35"/>
      <c r="BG1190" s="35"/>
    </row>
    <row r="1191" ht="15.75" customHeight="1">
      <c r="A1191" s="35"/>
      <c r="B1191" s="35"/>
      <c r="C1191" s="35"/>
      <c r="D1191" s="35"/>
      <c r="E1191" s="35"/>
      <c r="F1191" s="35"/>
      <c r="G1191" s="35"/>
      <c r="H1191" s="35"/>
      <c r="I1191" s="35"/>
      <c r="J1191" s="35"/>
      <c r="K1191" s="35"/>
      <c r="L1191" s="35"/>
      <c r="M1191" s="35"/>
      <c r="N1191" s="35"/>
      <c r="O1191" s="35"/>
      <c r="P1191" s="35"/>
      <c r="Q1191" s="35"/>
      <c r="R1191" s="35"/>
      <c r="S1191" s="35"/>
      <c r="T1191" s="35"/>
      <c r="U1191" s="35"/>
      <c r="V1191" s="35"/>
      <c r="W1191" s="35"/>
      <c r="X1191" s="35"/>
      <c r="Y1191" s="35"/>
      <c r="Z1191" s="35"/>
      <c r="AA1191" s="35"/>
      <c r="AB1191" s="35"/>
      <c r="AC1191" s="35"/>
      <c r="AD1191" s="35"/>
      <c r="AE1191" s="35"/>
      <c r="AF1191" s="35"/>
      <c r="AG1191" s="35"/>
      <c r="AH1191" s="35"/>
      <c r="AI1191" s="35"/>
      <c r="AJ1191" s="35"/>
      <c r="AK1191" s="35"/>
      <c r="AL1191" s="35"/>
      <c r="AM1191" s="35"/>
      <c r="AN1191" s="35"/>
      <c r="AO1191" s="35"/>
      <c r="AP1191" s="35"/>
      <c r="AQ1191" s="35"/>
      <c r="AR1191" s="35"/>
      <c r="AS1191" s="35"/>
      <c r="AT1191" s="35"/>
      <c r="AU1191" s="35"/>
      <c r="AV1191" s="35"/>
      <c r="AW1191" s="35"/>
      <c r="AX1191" s="35"/>
      <c r="AY1191" s="35"/>
      <c r="AZ1191" s="35"/>
      <c r="BA1191" s="35"/>
      <c r="BB1191" s="35"/>
      <c r="BC1191" s="35"/>
      <c r="BD1191" s="35"/>
      <c r="BE1191" s="35"/>
      <c r="BF1191" s="35"/>
      <c r="BG1191" s="35"/>
    </row>
    <row r="1192" ht="15.75" customHeight="1">
      <c r="A1192" s="35"/>
      <c r="B1192" s="35"/>
      <c r="C1192" s="35"/>
      <c r="D1192" s="35"/>
      <c r="E1192" s="35"/>
      <c r="F1192" s="35"/>
      <c r="G1192" s="35"/>
      <c r="H1192" s="35"/>
      <c r="I1192" s="35"/>
      <c r="J1192" s="35"/>
      <c r="K1192" s="35"/>
      <c r="L1192" s="35"/>
      <c r="M1192" s="35"/>
      <c r="N1192" s="35"/>
      <c r="O1192" s="35"/>
      <c r="P1192" s="35"/>
      <c r="Q1192" s="35"/>
      <c r="R1192" s="35"/>
      <c r="S1192" s="35"/>
      <c r="T1192" s="35"/>
      <c r="U1192" s="35"/>
      <c r="V1192" s="35"/>
      <c r="W1192" s="35"/>
      <c r="X1192" s="35"/>
      <c r="Y1192" s="35"/>
      <c r="Z1192" s="35"/>
      <c r="AA1192" s="35"/>
      <c r="AB1192" s="35"/>
      <c r="AC1192" s="35"/>
      <c r="AD1192" s="35"/>
      <c r="AE1192" s="35"/>
      <c r="AF1192" s="35"/>
      <c r="AG1192" s="35"/>
      <c r="AH1192" s="35"/>
      <c r="AI1192" s="35"/>
      <c r="AJ1192" s="35"/>
      <c r="AK1192" s="35"/>
      <c r="AL1192" s="35"/>
      <c r="AM1192" s="35"/>
      <c r="AN1192" s="35"/>
      <c r="AO1192" s="35"/>
      <c r="AP1192" s="35"/>
      <c r="AQ1192" s="35"/>
      <c r="AR1192" s="35"/>
      <c r="AS1192" s="35"/>
      <c r="AT1192" s="35"/>
      <c r="AU1192" s="35"/>
      <c r="AV1192" s="35"/>
      <c r="AW1192" s="35"/>
      <c r="AX1192" s="35"/>
      <c r="AY1192" s="35"/>
      <c r="AZ1192" s="35"/>
      <c r="BA1192" s="35"/>
      <c r="BB1192" s="35"/>
      <c r="BC1192" s="35"/>
      <c r="BD1192" s="35"/>
      <c r="BE1192" s="35"/>
      <c r="BF1192" s="35"/>
      <c r="BG1192" s="35"/>
    </row>
    <row r="1193" ht="15.75" customHeight="1">
      <c r="A1193" s="35"/>
      <c r="B1193" s="35"/>
      <c r="C1193" s="35"/>
      <c r="D1193" s="35"/>
      <c r="E1193" s="35"/>
      <c r="F1193" s="35"/>
      <c r="G1193" s="35"/>
      <c r="H1193" s="35"/>
      <c r="I1193" s="35"/>
      <c r="J1193" s="35"/>
      <c r="K1193" s="35"/>
      <c r="L1193" s="35"/>
      <c r="M1193" s="35"/>
      <c r="N1193" s="35"/>
      <c r="O1193" s="35"/>
      <c r="P1193" s="35"/>
      <c r="Q1193" s="35"/>
      <c r="R1193" s="35"/>
      <c r="S1193" s="35"/>
      <c r="T1193" s="35"/>
      <c r="U1193" s="35"/>
      <c r="V1193" s="35"/>
      <c r="W1193" s="35"/>
      <c r="X1193" s="35"/>
      <c r="Y1193" s="35"/>
      <c r="Z1193" s="35"/>
      <c r="AA1193" s="35"/>
      <c r="AB1193" s="35"/>
      <c r="AC1193" s="35"/>
      <c r="AD1193" s="35"/>
      <c r="AE1193" s="35"/>
      <c r="AF1193" s="35"/>
      <c r="AG1193" s="35"/>
      <c r="AH1193" s="35"/>
      <c r="AI1193" s="35"/>
      <c r="AJ1193" s="35"/>
      <c r="AK1193" s="35"/>
      <c r="AL1193" s="35"/>
      <c r="AM1193" s="35"/>
      <c r="AN1193" s="35"/>
      <c r="AO1193" s="35"/>
      <c r="AP1193" s="35"/>
      <c r="AQ1193" s="35"/>
      <c r="AR1193" s="35"/>
      <c r="AS1193" s="35"/>
      <c r="AT1193" s="35"/>
      <c r="AU1193" s="35"/>
      <c r="AV1193" s="35"/>
      <c r="AW1193" s="35"/>
      <c r="AX1193" s="35"/>
      <c r="AY1193" s="35"/>
      <c r="AZ1193" s="35"/>
      <c r="BA1193" s="35"/>
      <c r="BB1193" s="35"/>
      <c r="BC1193" s="35"/>
      <c r="BD1193" s="35"/>
      <c r="BE1193" s="35"/>
      <c r="BF1193" s="35"/>
      <c r="BG1193" s="35"/>
    </row>
    <row r="1194" ht="15.75" customHeight="1">
      <c r="A1194" s="35"/>
      <c r="B1194" s="35"/>
      <c r="C1194" s="35"/>
      <c r="D1194" s="35"/>
      <c r="E1194" s="35"/>
      <c r="F1194" s="35"/>
      <c r="G1194" s="35"/>
      <c r="H1194" s="35"/>
      <c r="I1194" s="35"/>
      <c r="J1194" s="35"/>
      <c r="K1194" s="35"/>
      <c r="L1194" s="35"/>
      <c r="M1194" s="35"/>
      <c r="N1194" s="35"/>
      <c r="O1194" s="35"/>
      <c r="P1194" s="35"/>
      <c r="Q1194" s="35"/>
      <c r="R1194" s="35"/>
      <c r="S1194" s="35"/>
      <c r="T1194" s="35"/>
      <c r="U1194" s="35"/>
      <c r="V1194" s="35"/>
      <c r="W1194" s="35"/>
      <c r="X1194" s="35"/>
      <c r="Y1194" s="35"/>
      <c r="Z1194" s="35"/>
      <c r="AA1194" s="35"/>
      <c r="AB1194" s="35"/>
      <c r="AC1194" s="35"/>
      <c r="AD1194" s="35"/>
      <c r="AE1194" s="35"/>
      <c r="AF1194" s="35"/>
      <c r="AG1194" s="35"/>
      <c r="AH1194" s="35"/>
      <c r="AI1194" s="35"/>
      <c r="AJ1194" s="35"/>
      <c r="AK1194" s="35"/>
      <c r="AL1194" s="35"/>
      <c r="AM1194" s="35"/>
      <c r="AN1194" s="35"/>
      <c r="AO1194" s="35"/>
      <c r="AP1194" s="35"/>
      <c r="AQ1194" s="35"/>
      <c r="AR1194" s="35"/>
      <c r="AS1194" s="35"/>
      <c r="AT1194" s="35"/>
      <c r="AU1194" s="35"/>
      <c r="AV1194" s="35"/>
      <c r="AW1194" s="35"/>
      <c r="AX1194" s="35"/>
      <c r="AY1194" s="35"/>
      <c r="AZ1194" s="35"/>
      <c r="BA1194" s="35"/>
      <c r="BB1194" s="35"/>
      <c r="BC1194" s="35"/>
      <c r="BD1194" s="35"/>
      <c r="BE1194" s="35"/>
      <c r="BF1194" s="35"/>
      <c r="BG1194" s="35"/>
    </row>
    <row r="1195" ht="15.75" customHeight="1">
      <c r="A1195" s="35"/>
      <c r="B1195" s="35"/>
      <c r="C1195" s="35"/>
      <c r="D1195" s="35"/>
      <c r="E1195" s="35"/>
      <c r="F1195" s="35"/>
      <c r="G1195" s="35"/>
      <c r="H1195" s="35"/>
      <c r="I1195" s="35"/>
      <c r="J1195" s="35"/>
      <c r="K1195" s="35"/>
      <c r="L1195" s="35"/>
      <c r="M1195" s="35"/>
      <c r="N1195" s="35"/>
      <c r="O1195" s="35"/>
      <c r="P1195" s="35"/>
      <c r="Q1195" s="35"/>
      <c r="R1195" s="35"/>
      <c r="S1195" s="35"/>
      <c r="T1195" s="35"/>
      <c r="U1195" s="35"/>
      <c r="V1195" s="35"/>
      <c r="W1195" s="35"/>
      <c r="X1195" s="35"/>
      <c r="Y1195" s="35"/>
      <c r="Z1195" s="35"/>
      <c r="AA1195" s="35"/>
      <c r="AB1195" s="35"/>
      <c r="AC1195" s="35"/>
      <c r="AD1195" s="35"/>
      <c r="AE1195" s="35"/>
      <c r="AF1195" s="35"/>
      <c r="AG1195" s="35"/>
      <c r="AH1195" s="35"/>
      <c r="AI1195" s="35"/>
      <c r="AJ1195" s="35"/>
      <c r="AK1195" s="35"/>
      <c r="AL1195" s="35"/>
      <c r="AM1195" s="35"/>
      <c r="AN1195" s="35"/>
      <c r="AO1195" s="35"/>
      <c r="AP1195" s="35"/>
      <c r="AQ1195" s="35"/>
      <c r="AR1195" s="35"/>
      <c r="AS1195" s="35"/>
      <c r="AT1195" s="35"/>
      <c r="AU1195" s="35"/>
      <c r="AV1195" s="35"/>
      <c r="AW1195" s="35"/>
      <c r="AX1195" s="35"/>
      <c r="AY1195" s="35"/>
      <c r="AZ1195" s="35"/>
      <c r="BA1195" s="35"/>
      <c r="BB1195" s="35"/>
      <c r="BC1195" s="35"/>
      <c r="BD1195" s="35"/>
      <c r="BE1195" s="35"/>
      <c r="BF1195" s="35"/>
      <c r="BG1195" s="35"/>
    </row>
    <row r="1196" ht="15.75" customHeight="1">
      <c r="A1196" s="35"/>
      <c r="B1196" s="35"/>
      <c r="C1196" s="35"/>
      <c r="D1196" s="35"/>
      <c r="E1196" s="35"/>
      <c r="F1196" s="35"/>
      <c r="G1196" s="35"/>
      <c r="H1196" s="35"/>
      <c r="I1196" s="35"/>
      <c r="J1196" s="35"/>
      <c r="K1196" s="35"/>
      <c r="L1196" s="35"/>
      <c r="M1196" s="35"/>
      <c r="N1196" s="35"/>
      <c r="O1196" s="35"/>
      <c r="P1196" s="35"/>
      <c r="Q1196" s="35"/>
      <c r="R1196" s="35"/>
      <c r="S1196" s="35"/>
      <c r="T1196" s="35"/>
      <c r="U1196" s="35"/>
      <c r="V1196" s="35"/>
      <c r="W1196" s="35"/>
      <c r="X1196" s="35"/>
      <c r="Y1196" s="35"/>
      <c r="Z1196" s="35"/>
      <c r="AA1196" s="35"/>
      <c r="AB1196" s="35"/>
      <c r="AC1196" s="35"/>
      <c r="AD1196" s="35"/>
      <c r="AE1196" s="35"/>
      <c r="AF1196" s="35"/>
      <c r="AG1196" s="35"/>
      <c r="AH1196" s="35"/>
      <c r="AI1196" s="35"/>
      <c r="AJ1196" s="35"/>
      <c r="AK1196" s="35"/>
      <c r="AL1196" s="35"/>
      <c r="AM1196" s="35"/>
      <c r="AN1196" s="35"/>
      <c r="AO1196" s="35"/>
      <c r="AP1196" s="35"/>
      <c r="AQ1196" s="35"/>
      <c r="AR1196" s="35"/>
      <c r="AS1196" s="35"/>
      <c r="AT1196" s="35"/>
      <c r="AU1196" s="35"/>
      <c r="AV1196" s="35"/>
      <c r="AW1196" s="35"/>
      <c r="AX1196" s="35"/>
      <c r="AY1196" s="35"/>
      <c r="AZ1196" s="35"/>
      <c r="BA1196" s="35"/>
      <c r="BB1196" s="35"/>
      <c r="BC1196" s="35"/>
      <c r="BD1196" s="35"/>
      <c r="BE1196" s="35"/>
      <c r="BF1196" s="35"/>
      <c r="BG1196" s="35"/>
    </row>
    <row r="1197" ht="15.75" customHeight="1">
      <c r="A1197" s="35"/>
      <c r="B1197" s="35"/>
      <c r="C1197" s="35"/>
      <c r="D1197" s="35"/>
      <c r="E1197" s="35"/>
      <c r="F1197" s="35"/>
      <c r="G1197" s="35"/>
      <c r="H1197" s="35"/>
      <c r="I1197" s="35"/>
      <c r="J1197" s="35"/>
      <c r="K1197" s="35"/>
      <c r="L1197" s="35"/>
      <c r="M1197" s="35"/>
      <c r="N1197" s="35"/>
      <c r="O1197" s="35"/>
      <c r="P1197" s="35"/>
      <c r="Q1197" s="35"/>
      <c r="R1197" s="35"/>
      <c r="S1197" s="35"/>
      <c r="T1197" s="35"/>
      <c r="U1197" s="35"/>
      <c r="V1197" s="35"/>
      <c r="W1197" s="35"/>
      <c r="X1197" s="35"/>
      <c r="Y1197" s="35"/>
      <c r="Z1197" s="35"/>
      <c r="AA1197" s="35"/>
      <c r="AB1197" s="35"/>
      <c r="AC1197" s="35"/>
      <c r="AD1197" s="35"/>
      <c r="AE1197" s="35"/>
      <c r="AF1197" s="35"/>
      <c r="AG1197" s="35"/>
      <c r="AH1197" s="35"/>
      <c r="AI1197" s="35"/>
      <c r="AJ1197" s="35"/>
      <c r="AK1197" s="35"/>
      <c r="AL1197" s="35"/>
      <c r="AM1197" s="35"/>
      <c r="AN1197" s="35"/>
      <c r="AO1197" s="35"/>
      <c r="AP1197" s="35"/>
      <c r="AQ1197" s="35"/>
      <c r="AR1197" s="35"/>
      <c r="AS1197" s="35"/>
      <c r="AT1197" s="35"/>
      <c r="AU1197" s="35"/>
      <c r="AV1197" s="35"/>
      <c r="AW1197" s="35"/>
      <c r="AX1197" s="35"/>
      <c r="AY1197" s="35"/>
      <c r="AZ1197" s="35"/>
      <c r="BA1197" s="35"/>
      <c r="BB1197" s="35"/>
      <c r="BC1197" s="35"/>
      <c r="BD1197" s="35"/>
      <c r="BE1197" s="35"/>
      <c r="BF1197" s="35"/>
      <c r="BG1197" s="35"/>
    </row>
    <row r="1198" ht="15.75" customHeight="1">
      <c r="A1198" s="35"/>
      <c r="B1198" s="35"/>
      <c r="C1198" s="35"/>
      <c r="D1198" s="35"/>
      <c r="E1198" s="35"/>
      <c r="F1198" s="35"/>
      <c r="G1198" s="35"/>
      <c r="H1198" s="35"/>
      <c r="I1198" s="35"/>
      <c r="J1198" s="35"/>
      <c r="K1198" s="35"/>
      <c r="L1198" s="35"/>
      <c r="M1198" s="35"/>
      <c r="N1198" s="35"/>
      <c r="O1198" s="35"/>
      <c r="P1198" s="35"/>
      <c r="Q1198" s="35"/>
      <c r="R1198" s="35"/>
      <c r="S1198" s="35"/>
      <c r="T1198" s="35"/>
      <c r="U1198" s="35"/>
      <c r="V1198" s="35"/>
      <c r="W1198" s="35"/>
      <c r="X1198" s="35"/>
      <c r="Y1198" s="35"/>
      <c r="Z1198" s="35"/>
      <c r="AA1198" s="35"/>
      <c r="AB1198" s="35"/>
      <c r="AC1198" s="35"/>
      <c r="AD1198" s="35"/>
      <c r="AE1198" s="35"/>
      <c r="AF1198" s="35"/>
      <c r="AG1198" s="35"/>
      <c r="AH1198" s="35"/>
      <c r="AI1198" s="35"/>
      <c r="AJ1198" s="35"/>
      <c r="AK1198" s="35"/>
      <c r="AL1198" s="35"/>
      <c r="AM1198" s="35"/>
      <c r="AN1198" s="35"/>
      <c r="AO1198" s="35"/>
      <c r="AP1198" s="35"/>
      <c r="AQ1198" s="35"/>
      <c r="AR1198" s="35"/>
      <c r="AS1198" s="35"/>
      <c r="AT1198" s="35"/>
      <c r="AU1198" s="35"/>
      <c r="AV1198" s="35"/>
      <c r="AW1198" s="35"/>
      <c r="AX1198" s="35"/>
      <c r="AY1198" s="35"/>
      <c r="AZ1198" s="35"/>
      <c r="BA1198" s="35"/>
      <c r="BB1198" s="35"/>
      <c r="BC1198" s="35"/>
      <c r="BD1198" s="35"/>
      <c r="BE1198" s="35"/>
      <c r="BF1198" s="35"/>
      <c r="BG1198" s="35"/>
    </row>
    <row r="1199" ht="15.75" customHeight="1">
      <c r="A1199" s="35"/>
      <c r="B1199" s="35"/>
      <c r="C1199" s="35"/>
      <c r="D1199" s="35"/>
      <c r="E1199" s="35"/>
      <c r="F1199" s="35"/>
      <c r="G1199" s="35"/>
      <c r="H1199" s="35"/>
      <c r="I1199" s="35"/>
      <c r="J1199" s="35"/>
      <c r="K1199" s="35"/>
      <c r="L1199" s="35"/>
      <c r="M1199" s="35"/>
      <c r="N1199" s="35"/>
      <c r="O1199" s="35"/>
      <c r="P1199" s="35"/>
      <c r="Q1199" s="35"/>
      <c r="R1199" s="35"/>
      <c r="S1199" s="35"/>
      <c r="T1199" s="35"/>
      <c r="U1199" s="35"/>
      <c r="V1199" s="35"/>
      <c r="W1199" s="35"/>
      <c r="X1199" s="35"/>
      <c r="Y1199" s="35"/>
      <c r="Z1199" s="35"/>
      <c r="AA1199" s="35"/>
      <c r="AB1199" s="35"/>
      <c r="AC1199" s="35"/>
      <c r="AD1199" s="35"/>
      <c r="AE1199" s="35"/>
      <c r="AF1199" s="35"/>
      <c r="AG1199" s="35"/>
      <c r="AH1199" s="35"/>
      <c r="AI1199" s="35"/>
      <c r="AJ1199" s="35"/>
      <c r="AK1199" s="35"/>
      <c r="AL1199" s="35"/>
      <c r="AM1199" s="35"/>
      <c r="AN1199" s="35"/>
      <c r="AO1199" s="35"/>
      <c r="AP1199" s="35"/>
      <c r="AQ1199" s="35"/>
      <c r="AR1199" s="35"/>
      <c r="AS1199" s="35"/>
      <c r="AT1199" s="35"/>
      <c r="AU1199" s="35"/>
      <c r="AV1199" s="35"/>
      <c r="AW1199" s="35"/>
      <c r="AX1199" s="35"/>
      <c r="AY1199" s="35"/>
      <c r="AZ1199" s="35"/>
      <c r="BA1199" s="35"/>
      <c r="BB1199" s="35"/>
      <c r="BC1199" s="35"/>
      <c r="BD1199" s="35"/>
      <c r="BE1199" s="35"/>
      <c r="BF1199" s="35"/>
      <c r="BG1199" s="35"/>
    </row>
    <row r="1200" ht="15.75" customHeight="1">
      <c r="A1200" s="35"/>
      <c r="B1200" s="35"/>
      <c r="C1200" s="35"/>
      <c r="D1200" s="35"/>
      <c r="E1200" s="35"/>
      <c r="F1200" s="35"/>
      <c r="G1200" s="35"/>
      <c r="H1200" s="35"/>
      <c r="I1200" s="35"/>
      <c r="J1200" s="35"/>
      <c r="K1200" s="35"/>
      <c r="L1200" s="35"/>
      <c r="M1200" s="35"/>
      <c r="N1200" s="35"/>
      <c r="O1200" s="35"/>
      <c r="P1200" s="35"/>
      <c r="Q1200" s="35"/>
      <c r="R1200" s="35"/>
      <c r="S1200" s="35"/>
      <c r="T1200" s="35"/>
      <c r="U1200" s="35"/>
      <c r="V1200" s="35"/>
      <c r="W1200" s="35"/>
      <c r="X1200" s="35"/>
      <c r="Y1200" s="35"/>
      <c r="Z1200" s="35"/>
      <c r="AA1200" s="35"/>
      <c r="AB1200" s="35"/>
      <c r="AC1200" s="35"/>
      <c r="AD1200" s="35"/>
      <c r="AE1200" s="35"/>
      <c r="AF1200" s="35"/>
      <c r="AG1200" s="35"/>
      <c r="AH1200" s="35"/>
      <c r="AI1200" s="35"/>
      <c r="AJ1200" s="35"/>
      <c r="AK1200" s="35"/>
      <c r="AL1200" s="35"/>
      <c r="AM1200" s="35"/>
      <c r="AN1200" s="35"/>
      <c r="AO1200" s="35"/>
      <c r="AP1200" s="35"/>
      <c r="AQ1200" s="35"/>
      <c r="AR1200" s="35"/>
      <c r="AS1200" s="35"/>
      <c r="AT1200" s="35"/>
      <c r="AU1200" s="35"/>
      <c r="AV1200" s="35"/>
      <c r="AW1200" s="35"/>
      <c r="AX1200" s="35"/>
      <c r="AY1200" s="35"/>
      <c r="AZ1200" s="35"/>
      <c r="BA1200" s="35"/>
      <c r="BB1200" s="35"/>
      <c r="BC1200" s="35"/>
      <c r="BD1200" s="35"/>
      <c r="BE1200" s="35"/>
      <c r="BF1200" s="35"/>
      <c r="BG1200" s="35"/>
    </row>
    <row r="1201" ht="15.75" customHeight="1">
      <c r="A1201" s="35"/>
      <c r="B1201" s="35"/>
      <c r="C1201" s="35"/>
      <c r="D1201" s="35"/>
      <c r="E1201" s="35"/>
      <c r="F1201" s="35"/>
      <c r="G1201" s="35"/>
      <c r="H1201" s="35"/>
      <c r="I1201" s="35"/>
      <c r="J1201" s="35"/>
      <c r="K1201" s="35"/>
      <c r="L1201" s="35"/>
      <c r="M1201" s="35"/>
      <c r="N1201" s="35"/>
      <c r="O1201" s="35"/>
      <c r="P1201" s="35"/>
      <c r="Q1201" s="35"/>
      <c r="R1201" s="35"/>
      <c r="S1201" s="35"/>
      <c r="T1201" s="35"/>
      <c r="U1201" s="35"/>
      <c r="V1201" s="35"/>
      <c r="W1201" s="35"/>
      <c r="X1201" s="35"/>
      <c r="Y1201" s="35"/>
      <c r="Z1201" s="35"/>
      <c r="AA1201" s="35"/>
      <c r="AB1201" s="35"/>
      <c r="AC1201" s="35"/>
      <c r="AD1201" s="35"/>
      <c r="AE1201" s="35"/>
      <c r="AF1201" s="35"/>
      <c r="AG1201" s="35"/>
      <c r="AH1201" s="35"/>
      <c r="AI1201" s="35"/>
      <c r="AJ1201" s="35"/>
      <c r="AK1201" s="35"/>
      <c r="AL1201" s="35"/>
      <c r="AM1201" s="35"/>
      <c r="AN1201" s="35"/>
      <c r="AO1201" s="35"/>
      <c r="AP1201" s="35"/>
      <c r="AQ1201" s="35"/>
      <c r="AR1201" s="35"/>
      <c r="AS1201" s="35"/>
      <c r="AT1201" s="35"/>
      <c r="AU1201" s="35"/>
      <c r="AV1201" s="35"/>
      <c r="AW1201" s="35"/>
      <c r="AX1201" s="35"/>
      <c r="AY1201" s="35"/>
      <c r="AZ1201" s="35"/>
      <c r="BA1201" s="35"/>
      <c r="BB1201" s="35"/>
      <c r="BC1201" s="35"/>
      <c r="BD1201" s="35"/>
      <c r="BE1201" s="35"/>
      <c r="BF1201" s="35"/>
      <c r="BG1201" s="35"/>
    </row>
    <row r="1202" ht="15.75" customHeight="1">
      <c r="A1202" s="35"/>
      <c r="B1202" s="35"/>
      <c r="C1202" s="35"/>
      <c r="D1202" s="35"/>
      <c r="E1202" s="35"/>
      <c r="F1202" s="35"/>
      <c r="G1202" s="35"/>
      <c r="H1202" s="35"/>
      <c r="I1202" s="35"/>
      <c r="J1202" s="35"/>
      <c r="K1202" s="35"/>
      <c r="L1202" s="35"/>
      <c r="M1202" s="35"/>
      <c r="N1202" s="35"/>
      <c r="O1202" s="35"/>
      <c r="P1202" s="35"/>
      <c r="Q1202" s="35"/>
      <c r="R1202" s="35"/>
      <c r="S1202" s="35"/>
      <c r="T1202" s="35"/>
      <c r="U1202" s="35"/>
      <c r="V1202" s="35"/>
      <c r="W1202" s="35"/>
      <c r="X1202" s="35"/>
      <c r="Y1202" s="35"/>
      <c r="Z1202" s="35"/>
      <c r="AA1202" s="35"/>
      <c r="AB1202" s="35"/>
      <c r="AC1202" s="35"/>
      <c r="AD1202" s="35"/>
      <c r="AE1202" s="35"/>
      <c r="AF1202" s="35"/>
      <c r="AG1202" s="35"/>
      <c r="AH1202" s="35"/>
      <c r="AI1202" s="35"/>
      <c r="AJ1202" s="35"/>
      <c r="AK1202" s="35"/>
      <c r="AL1202" s="35"/>
      <c r="AM1202" s="35"/>
      <c r="AN1202" s="35"/>
      <c r="AO1202" s="35"/>
      <c r="AP1202" s="35"/>
      <c r="AQ1202" s="35"/>
      <c r="AR1202" s="35"/>
      <c r="AS1202" s="35"/>
      <c r="AT1202" s="35"/>
      <c r="AU1202" s="35"/>
      <c r="AV1202" s="35"/>
      <c r="AW1202" s="35"/>
      <c r="AX1202" s="35"/>
      <c r="AY1202" s="35"/>
      <c r="AZ1202" s="35"/>
      <c r="BA1202" s="35"/>
      <c r="BB1202" s="35"/>
      <c r="BC1202" s="35"/>
      <c r="BD1202" s="35"/>
      <c r="BE1202" s="35"/>
      <c r="BF1202" s="35"/>
      <c r="BG1202" s="35"/>
    </row>
    <row r="1203" ht="15.75" customHeight="1">
      <c r="A1203" s="35"/>
      <c r="B1203" s="35"/>
      <c r="C1203" s="35"/>
      <c r="D1203" s="35"/>
      <c r="E1203" s="35"/>
      <c r="F1203" s="35"/>
      <c r="G1203" s="35"/>
      <c r="H1203" s="35"/>
      <c r="I1203" s="35"/>
      <c r="J1203" s="35"/>
      <c r="K1203" s="35"/>
      <c r="L1203" s="35"/>
      <c r="M1203" s="35"/>
      <c r="N1203" s="35"/>
      <c r="O1203" s="35"/>
      <c r="P1203" s="35"/>
      <c r="Q1203" s="35"/>
      <c r="R1203" s="35"/>
      <c r="S1203" s="35"/>
      <c r="T1203" s="35"/>
      <c r="U1203" s="35"/>
      <c r="V1203" s="35"/>
      <c r="W1203" s="35"/>
      <c r="X1203" s="35"/>
      <c r="Y1203" s="35"/>
      <c r="Z1203" s="35"/>
      <c r="AA1203" s="35"/>
      <c r="AB1203" s="35"/>
      <c r="AC1203" s="35"/>
      <c r="AD1203" s="35"/>
      <c r="AE1203" s="35"/>
      <c r="AF1203" s="35"/>
      <c r="AG1203" s="35"/>
      <c r="AH1203" s="35"/>
      <c r="AI1203" s="35"/>
      <c r="AJ1203" s="35"/>
      <c r="AK1203" s="35"/>
      <c r="AL1203" s="35"/>
      <c r="AM1203" s="35"/>
      <c r="AN1203" s="35"/>
      <c r="AO1203" s="35"/>
      <c r="AP1203" s="35"/>
      <c r="AQ1203" s="35"/>
      <c r="AR1203" s="35"/>
      <c r="AS1203" s="35"/>
      <c r="AT1203" s="35"/>
      <c r="AU1203" s="35"/>
      <c r="AV1203" s="35"/>
      <c r="AW1203" s="35"/>
      <c r="AX1203" s="35"/>
      <c r="AY1203" s="35"/>
      <c r="AZ1203" s="35"/>
      <c r="BA1203" s="35"/>
      <c r="BB1203" s="35"/>
      <c r="BC1203" s="35"/>
      <c r="BD1203" s="35"/>
      <c r="BE1203" s="35"/>
      <c r="BF1203" s="35"/>
      <c r="BG1203" s="35"/>
    </row>
    <row r="1204" ht="15.75" customHeight="1">
      <c r="A1204" s="35"/>
      <c r="B1204" s="35"/>
      <c r="C1204" s="35"/>
      <c r="D1204" s="35"/>
      <c r="E1204" s="35"/>
      <c r="F1204" s="35"/>
      <c r="G1204" s="35"/>
      <c r="H1204" s="35"/>
      <c r="I1204" s="35"/>
      <c r="J1204" s="35"/>
      <c r="K1204" s="35"/>
      <c r="L1204" s="35"/>
      <c r="M1204" s="35"/>
      <c r="N1204" s="35"/>
      <c r="O1204" s="35"/>
      <c r="P1204" s="35"/>
      <c r="Q1204" s="35"/>
      <c r="R1204" s="35"/>
      <c r="S1204" s="35"/>
      <c r="T1204" s="35"/>
      <c r="U1204" s="35"/>
      <c r="V1204" s="35"/>
      <c r="W1204" s="35"/>
      <c r="X1204" s="35"/>
      <c r="Y1204" s="35"/>
      <c r="Z1204" s="35"/>
      <c r="AA1204" s="35"/>
      <c r="AB1204" s="35"/>
      <c r="AC1204" s="35"/>
      <c r="AD1204" s="35"/>
      <c r="AE1204" s="35"/>
      <c r="AF1204" s="35"/>
      <c r="AG1204" s="35"/>
      <c r="AH1204" s="35"/>
      <c r="AI1204" s="35"/>
      <c r="AJ1204" s="35"/>
      <c r="AK1204" s="35"/>
      <c r="AL1204" s="35"/>
      <c r="AM1204" s="35"/>
      <c r="AN1204" s="35"/>
      <c r="AO1204" s="35"/>
      <c r="AP1204" s="35"/>
      <c r="AQ1204" s="35"/>
      <c r="AR1204" s="35"/>
      <c r="AS1204" s="35"/>
      <c r="AT1204" s="35"/>
      <c r="AU1204" s="35"/>
      <c r="AV1204" s="35"/>
      <c r="AW1204" s="35"/>
      <c r="AX1204" s="35"/>
      <c r="AY1204" s="35"/>
      <c r="AZ1204" s="35"/>
      <c r="BA1204" s="35"/>
      <c r="BB1204" s="35"/>
      <c r="BC1204" s="35"/>
      <c r="BD1204" s="35"/>
      <c r="BE1204" s="35"/>
      <c r="BF1204" s="35"/>
      <c r="BG1204" s="35"/>
    </row>
    <row r="1205" ht="15.75" customHeight="1">
      <c r="A1205" s="35"/>
      <c r="B1205" s="35"/>
      <c r="C1205" s="35"/>
      <c r="D1205" s="35"/>
      <c r="E1205" s="35"/>
      <c r="F1205" s="35"/>
      <c r="G1205" s="35"/>
      <c r="H1205" s="35"/>
      <c r="I1205" s="35"/>
      <c r="J1205" s="35"/>
      <c r="K1205" s="35"/>
      <c r="L1205" s="35"/>
      <c r="M1205" s="35"/>
      <c r="N1205" s="35"/>
      <c r="O1205" s="35"/>
      <c r="P1205" s="35"/>
      <c r="Q1205" s="35"/>
      <c r="R1205" s="35"/>
      <c r="S1205" s="35"/>
      <c r="T1205" s="35"/>
      <c r="U1205" s="35"/>
      <c r="V1205" s="35"/>
      <c r="W1205" s="35"/>
      <c r="X1205" s="35"/>
      <c r="Y1205" s="35"/>
      <c r="Z1205" s="35"/>
      <c r="AA1205" s="35"/>
      <c r="AB1205" s="35"/>
      <c r="AC1205" s="35"/>
      <c r="AD1205" s="35"/>
      <c r="AE1205" s="35"/>
      <c r="AF1205" s="35"/>
      <c r="AG1205" s="35"/>
      <c r="AH1205" s="35"/>
      <c r="AI1205" s="35"/>
      <c r="AJ1205" s="35"/>
      <c r="AK1205" s="35"/>
      <c r="AL1205" s="35"/>
      <c r="AM1205" s="35"/>
      <c r="AN1205" s="35"/>
      <c r="AO1205" s="35"/>
      <c r="AP1205" s="35"/>
      <c r="AQ1205" s="35"/>
      <c r="AR1205" s="35"/>
      <c r="AS1205" s="35"/>
      <c r="AT1205" s="35"/>
      <c r="AU1205" s="35"/>
      <c r="AV1205" s="35"/>
      <c r="AW1205" s="35"/>
      <c r="AX1205" s="35"/>
      <c r="AY1205" s="35"/>
      <c r="AZ1205" s="35"/>
      <c r="BA1205" s="35"/>
      <c r="BB1205" s="35"/>
      <c r="BC1205" s="35"/>
      <c r="BD1205" s="35"/>
      <c r="BE1205" s="35"/>
      <c r="BF1205" s="35"/>
      <c r="BG1205" s="35"/>
    </row>
    <row r="1206" ht="15.75" customHeight="1">
      <c r="A1206" s="35"/>
      <c r="B1206" s="35"/>
      <c r="C1206" s="35"/>
      <c r="D1206" s="35"/>
      <c r="E1206" s="35"/>
      <c r="F1206" s="35"/>
      <c r="G1206" s="35"/>
      <c r="H1206" s="35"/>
      <c r="I1206" s="35"/>
      <c r="J1206" s="35"/>
      <c r="K1206" s="35"/>
      <c r="L1206" s="35"/>
      <c r="M1206" s="35"/>
      <c r="N1206" s="35"/>
      <c r="O1206" s="35"/>
      <c r="P1206" s="35"/>
      <c r="Q1206" s="35"/>
      <c r="R1206" s="35"/>
      <c r="S1206" s="35"/>
      <c r="T1206" s="35"/>
      <c r="U1206" s="35"/>
      <c r="V1206" s="35"/>
      <c r="W1206" s="35"/>
      <c r="X1206" s="35"/>
      <c r="Y1206" s="35"/>
      <c r="Z1206" s="35"/>
      <c r="AA1206" s="35"/>
      <c r="AB1206" s="35"/>
      <c r="AC1206" s="35"/>
      <c r="AD1206" s="35"/>
      <c r="AE1206" s="35"/>
      <c r="AF1206" s="35"/>
      <c r="AG1206" s="35"/>
      <c r="AH1206" s="35"/>
      <c r="AI1206" s="35"/>
      <c r="AJ1206" s="35"/>
      <c r="AK1206" s="35"/>
      <c r="AL1206" s="35"/>
      <c r="AM1206" s="35"/>
      <c r="AN1206" s="35"/>
      <c r="AO1206" s="35"/>
      <c r="AP1206" s="35"/>
      <c r="AQ1206" s="35"/>
      <c r="AR1206" s="35"/>
      <c r="AS1206" s="35"/>
      <c r="AT1206" s="35"/>
      <c r="AU1206" s="35"/>
      <c r="AV1206" s="35"/>
      <c r="AW1206" s="35"/>
      <c r="AX1206" s="35"/>
      <c r="AY1206" s="35"/>
      <c r="AZ1206" s="35"/>
      <c r="BA1206" s="35"/>
      <c r="BB1206" s="35"/>
      <c r="BC1206" s="35"/>
      <c r="BD1206" s="35"/>
      <c r="BE1206" s="35"/>
      <c r="BF1206" s="35"/>
      <c r="BG1206" s="35"/>
    </row>
    <row r="1207" ht="15.75" customHeight="1">
      <c r="A1207" s="35"/>
      <c r="B1207" s="35"/>
      <c r="C1207" s="35"/>
      <c r="D1207" s="35"/>
      <c r="E1207" s="35"/>
      <c r="F1207" s="35"/>
      <c r="G1207" s="35"/>
      <c r="H1207" s="35"/>
      <c r="I1207" s="35"/>
      <c r="J1207" s="35"/>
      <c r="K1207" s="35"/>
      <c r="L1207" s="35"/>
      <c r="M1207" s="35"/>
      <c r="N1207" s="35"/>
      <c r="O1207" s="35"/>
      <c r="P1207" s="35"/>
      <c r="Q1207" s="35"/>
      <c r="R1207" s="35"/>
      <c r="S1207" s="35"/>
      <c r="T1207" s="35"/>
      <c r="U1207" s="35"/>
      <c r="V1207" s="35"/>
      <c r="W1207" s="35"/>
      <c r="X1207" s="35"/>
      <c r="Y1207" s="35"/>
      <c r="Z1207" s="35"/>
      <c r="AA1207" s="35"/>
      <c r="AB1207" s="35"/>
      <c r="AC1207" s="35"/>
      <c r="AD1207" s="35"/>
      <c r="AE1207" s="35"/>
      <c r="AF1207" s="35"/>
      <c r="AG1207" s="35"/>
      <c r="AH1207" s="35"/>
      <c r="AI1207" s="35"/>
      <c r="AJ1207" s="35"/>
      <c r="AK1207" s="35"/>
      <c r="AL1207" s="35"/>
      <c r="AM1207" s="35"/>
      <c r="AN1207" s="35"/>
      <c r="AO1207" s="35"/>
      <c r="AP1207" s="35"/>
      <c r="AQ1207" s="35"/>
      <c r="AR1207" s="35"/>
      <c r="AS1207" s="35"/>
      <c r="AT1207" s="35"/>
      <c r="AU1207" s="35"/>
      <c r="AV1207" s="35"/>
      <c r="AW1207" s="35"/>
      <c r="AX1207" s="35"/>
      <c r="AY1207" s="35"/>
      <c r="AZ1207" s="35"/>
      <c r="BA1207" s="35"/>
      <c r="BB1207" s="35"/>
      <c r="BC1207" s="35"/>
      <c r="BD1207" s="35"/>
      <c r="BE1207" s="35"/>
      <c r="BF1207" s="35"/>
      <c r="BG1207" s="35"/>
    </row>
    <row r="1208" ht="15.75" customHeight="1">
      <c r="A1208" s="35"/>
      <c r="B1208" s="35"/>
      <c r="C1208" s="35"/>
      <c r="D1208" s="35"/>
      <c r="E1208" s="35"/>
      <c r="F1208" s="35"/>
      <c r="G1208" s="35"/>
      <c r="H1208" s="35"/>
      <c r="I1208" s="35"/>
      <c r="J1208" s="35"/>
      <c r="K1208" s="35"/>
      <c r="L1208" s="35"/>
      <c r="M1208" s="35"/>
      <c r="N1208" s="35"/>
      <c r="O1208" s="35"/>
      <c r="P1208" s="35"/>
      <c r="Q1208" s="35"/>
      <c r="R1208" s="35"/>
      <c r="S1208" s="35"/>
      <c r="T1208" s="35"/>
      <c r="U1208" s="35"/>
      <c r="V1208" s="35"/>
      <c r="W1208" s="35"/>
      <c r="X1208" s="35"/>
      <c r="Y1208" s="35"/>
      <c r="Z1208" s="35"/>
      <c r="AA1208" s="35"/>
      <c r="AB1208" s="35"/>
      <c r="AC1208" s="35"/>
      <c r="AD1208" s="35"/>
      <c r="AE1208" s="35"/>
      <c r="AF1208" s="35"/>
      <c r="AG1208" s="35"/>
      <c r="AH1208" s="35"/>
      <c r="AI1208" s="35"/>
      <c r="AJ1208" s="35"/>
      <c r="AK1208" s="35"/>
      <c r="AL1208" s="35"/>
      <c r="AM1208" s="35"/>
      <c r="AN1208" s="35"/>
      <c r="AO1208" s="35"/>
      <c r="AP1208" s="35"/>
      <c r="AQ1208" s="35"/>
      <c r="AR1208" s="35"/>
      <c r="AS1208" s="35"/>
      <c r="AT1208" s="35"/>
      <c r="AU1208" s="35"/>
      <c r="AV1208" s="35"/>
      <c r="AW1208" s="35"/>
      <c r="AX1208" s="35"/>
      <c r="AY1208" s="35"/>
      <c r="AZ1208" s="35"/>
      <c r="BA1208" s="35"/>
      <c r="BB1208" s="35"/>
      <c r="BC1208" s="35"/>
      <c r="BD1208" s="35"/>
      <c r="BE1208" s="35"/>
      <c r="BF1208" s="35"/>
      <c r="BG1208" s="35"/>
    </row>
    <row r="1209" ht="15.75" customHeight="1">
      <c r="A1209" s="35"/>
      <c r="B1209" s="35"/>
      <c r="C1209" s="35"/>
      <c r="D1209" s="35"/>
      <c r="E1209" s="35"/>
      <c r="F1209" s="35"/>
      <c r="G1209" s="35"/>
      <c r="H1209" s="35"/>
      <c r="I1209" s="35"/>
      <c r="J1209" s="35"/>
      <c r="K1209" s="35"/>
      <c r="L1209" s="35"/>
      <c r="M1209" s="35"/>
      <c r="N1209" s="35"/>
      <c r="O1209" s="35"/>
      <c r="P1209" s="35"/>
      <c r="Q1209" s="35"/>
      <c r="R1209" s="35"/>
      <c r="S1209" s="35"/>
      <c r="T1209" s="35"/>
      <c r="U1209" s="35"/>
      <c r="V1209" s="35"/>
      <c r="W1209" s="35"/>
      <c r="X1209" s="35"/>
      <c r="Y1209" s="35"/>
      <c r="Z1209" s="35"/>
      <c r="AA1209" s="35"/>
      <c r="AB1209" s="35"/>
      <c r="AC1209" s="35"/>
      <c r="AD1209" s="35"/>
      <c r="AE1209" s="35"/>
      <c r="AF1209" s="35"/>
      <c r="AG1209" s="35"/>
      <c r="AH1209" s="35"/>
      <c r="AI1209" s="35"/>
      <c r="AJ1209" s="35"/>
      <c r="AK1209" s="35"/>
      <c r="AL1209" s="35"/>
      <c r="AM1209" s="35"/>
      <c r="AN1209" s="35"/>
      <c r="AO1209" s="35"/>
      <c r="AP1209" s="35"/>
      <c r="AQ1209" s="35"/>
      <c r="AR1209" s="35"/>
      <c r="AS1209" s="35"/>
      <c r="AT1209" s="35"/>
      <c r="AU1209" s="35"/>
      <c r="AV1209" s="35"/>
      <c r="AW1209" s="35"/>
      <c r="AX1209" s="35"/>
      <c r="AY1209" s="35"/>
      <c r="AZ1209" s="35"/>
      <c r="BA1209" s="35"/>
      <c r="BB1209" s="35"/>
      <c r="BC1209" s="35"/>
      <c r="BD1209" s="35"/>
      <c r="BE1209" s="35"/>
      <c r="BF1209" s="35"/>
      <c r="BG1209" s="35"/>
    </row>
    <row r="1210" ht="15.75" customHeight="1">
      <c r="A1210" s="35"/>
      <c r="B1210" s="35"/>
      <c r="C1210" s="35"/>
      <c r="D1210" s="35"/>
      <c r="E1210" s="35"/>
      <c r="F1210" s="35"/>
      <c r="G1210" s="35"/>
      <c r="H1210" s="35"/>
      <c r="I1210" s="35"/>
      <c r="J1210" s="35"/>
      <c r="K1210" s="35"/>
      <c r="L1210" s="35"/>
      <c r="M1210" s="35"/>
      <c r="N1210" s="35"/>
      <c r="O1210" s="35"/>
      <c r="P1210" s="35"/>
      <c r="Q1210" s="35"/>
      <c r="R1210" s="35"/>
      <c r="S1210" s="35"/>
      <c r="T1210" s="35"/>
      <c r="U1210" s="35"/>
      <c r="V1210" s="35"/>
      <c r="W1210" s="35"/>
      <c r="X1210" s="35"/>
      <c r="Y1210" s="35"/>
      <c r="Z1210" s="35"/>
      <c r="AA1210" s="35"/>
      <c r="AB1210" s="35"/>
      <c r="AC1210" s="35"/>
      <c r="AD1210" s="35"/>
      <c r="AE1210" s="35"/>
      <c r="AF1210" s="35"/>
      <c r="AG1210" s="35"/>
      <c r="AH1210" s="35"/>
      <c r="AI1210" s="35"/>
      <c r="AJ1210" s="35"/>
      <c r="AK1210" s="35"/>
      <c r="AL1210" s="35"/>
      <c r="AM1210" s="35"/>
      <c r="AN1210" s="35"/>
      <c r="AO1210" s="35"/>
      <c r="AP1210" s="35"/>
      <c r="AQ1210" s="35"/>
      <c r="AR1210" s="35"/>
      <c r="AS1210" s="35"/>
      <c r="AT1210" s="35"/>
      <c r="AU1210" s="35"/>
      <c r="AV1210" s="35"/>
      <c r="AW1210" s="35"/>
      <c r="AX1210" s="35"/>
      <c r="AY1210" s="35"/>
      <c r="AZ1210" s="35"/>
      <c r="BA1210" s="35"/>
      <c r="BB1210" s="35"/>
      <c r="BC1210" s="35"/>
      <c r="BD1210" s="35"/>
      <c r="BE1210" s="35"/>
      <c r="BF1210" s="35"/>
      <c r="BG1210" s="35"/>
    </row>
    <row r="1211" ht="15.75" customHeight="1">
      <c r="A1211" s="35"/>
      <c r="B1211" s="35"/>
      <c r="C1211" s="35"/>
      <c r="D1211" s="35"/>
      <c r="E1211" s="35"/>
      <c r="F1211" s="35"/>
      <c r="G1211" s="35"/>
      <c r="H1211" s="35"/>
      <c r="I1211" s="35"/>
      <c r="J1211" s="35"/>
      <c r="K1211" s="35"/>
      <c r="L1211" s="35"/>
      <c r="M1211" s="35"/>
      <c r="N1211" s="35"/>
      <c r="O1211" s="35"/>
      <c r="P1211" s="35"/>
      <c r="Q1211" s="35"/>
      <c r="R1211" s="35"/>
      <c r="S1211" s="35"/>
      <c r="T1211" s="35"/>
      <c r="U1211" s="35"/>
      <c r="V1211" s="35"/>
      <c r="W1211" s="35"/>
      <c r="X1211" s="35"/>
      <c r="Y1211" s="35"/>
      <c r="Z1211" s="35"/>
      <c r="AA1211" s="35"/>
      <c r="AB1211" s="35"/>
      <c r="AC1211" s="35"/>
      <c r="AD1211" s="35"/>
      <c r="AE1211" s="35"/>
      <c r="AF1211" s="35"/>
      <c r="AG1211" s="35"/>
      <c r="AH1211" s="35"/>
      <c r="AI1211" s="35"/>
      <c r="AJ1211" s="35"/>
      <c r="AK1211" s="35"/>
      <c r="AL1211" s="35"/>
      <c r="AM1211" s="35"/>
      <c r="AN1211" s="35"/>
      <c r="AO1211" s="35"/>
      <c r="AP1211" s="35"/>
      <c r="AQ1211" s="35"/>
      <c r="AR1211" s="35"/>
      <c r="AS1211" s="35"/>
      <c r="AT1211" s="35"/>
      <c r="AU1211" s="35"/>
      <c r="AV1211" s="35"/>
      <c r="AW1211" s="35"/>
      <c r="AX1211" s="35"/>
      <c r="AY1211" s="35"/>
      <c r="AZ1211" s="35"/>
      <c r="BA1211" s="35"/>
      <c r="BB1211" s="35"/>
      <c r="BC1211" s="35"/>
      <c r="BD1211" s="35"/>
      <c r="BE1211" s="35"/>
      <c r="BF1211" s="35"/>
      <c r="BG1211" s="35"/>
    </row>
    <row r="1212" ht="15.75" customHeight="1">
      <c r="A1212" s="35"/>
      <c r="B1212" s="35"/>
      <c r="C1212" s="35"/>
      <c r="D1212" s="35"/>
      <c r="E1212" s="35"/>
      <c r="F1212" s="35"/>
      <c r="G1212" s="35"/>
      <c r="H1212" s="35"/>
      <c r="I1212" s="35"/>
      <c r="J1212" s="35"/>
      <c r="K1212" s="35"/>
      <c r="L1212" s="35"/>
      <c r="M1212" s="35"/>
      <c r="N1212" s="35"/>
      <c r="O1212" s="35"/>
      <c r="P1212" s="35"/>
      <c r="Q1212" s="35"/>
      <c r="R1212" s="35"/>
      <c r="S1212" s="35"/>
      <c r="T1212" s="35"/>
      <c r="U1212" s="35"/>
      <c r="V1212" s="35"/>
      <c r="W1212" s="35"/>
      <c r="X1212" s="35"/>
      <c r="Y1212" s="35"/>
      <c r="Z1212" s="35"/>
      <c r="AA1212" s="35"/>
      <c r="AB1212" s="35"/>
      <c r="AC1212" s="35"/>
      <c r="AD1212" s="35"/>
      <c r="AE1212" s="35"/>
      <c r="AF1212" s="35"/>
      <c r="AG1212" s="35"/>
      <c r="AH1212" s="35"/>
      <c r="AI1212" s="35"/>
      <c r="AJ1212" s="35"/>
      <c r="AK1212" s="35"/>
      <c r="AL1212" s="35"/>
      <c r="AM1212" s="35"/>
      <c r="AN1212" s="35"/>
      <c r="AO1212" s="35"/>
      <c r="AP1212" s="35"/>
      <c r="AQ1212" s="35"/>
      <c r="AR1212" s="35"/>
      <c r="AS1212" s="35"/>
      <c r="AT1212" s="35"/>
      <c r="AU1212" s="35"/>
      <c r="AV1212" s="35"/>
      <c r="AW1212" s="35"/>
      <c r="AX1212" s="35"/>
      <c r="AY1212" s="35"/>
      <c r="AZ1212" s="35"/>
      <c r="BA1212" s="35"/>
      <c r="BB1212" s="35"/>
      <c r="BC1212" s="35"/>
      <c r="BD1212" s="35"/>
      <c r="BE1212" s="35"/>
      <c r="BF1212" s="35"/>
      <c r="BG1212" s="35"/>
    </row>
    <row r="1213" ht="15.75" customHeight="1">
      <c r="A1213" s="35"/>
      <c r="B1213" s="35"/>
      <c r="C1213" s="35"/>
      <c r="D1213" s="35"/>
      <c r="E1213" s="35"/>
      <c r="F1213" s="35"/>
      <c r="G1213" s="35"/>
      <c r="H1213" s="35"/>
      <c r="I1213" s="35"/>
      <c r="J1213" s="35"/>
      <c r="K1213" s="35"/>
      <c r="L1213" s="35"/>
      <c r="M1213" s="35"/>
      <c r="N1213" s="35"/>
      <c r="O1213" s="35"/>
      <c r="P1213" s="35"/>
      <c r="Q1213" s="35"/>
      <c r="R1213" s="35"/>
      <c r="S1213" s="35"/>
      <c r="T1213" s="35"/>
      <c r="U1213" s="35"/>
      <c r="V1213" s="35"/>
      <c r="W1213" s="35"/>
      <c r="X1213" s="35"/>
      <c r="Y1213" s="35"/>
      <c r="Z1213" s="35"/>
      <c r="AA1213" s="35"/>
      <c r="AB1213" s="35"/>
      <c r="AC1213" s="35"/>
      <c r="AD1213" s="35"/>
      <c r="AE1213" s="35"/>
      <c r="AF1213" s="35"/>
      <c r="AG1213" s="35"/>
      <c r="AH1213" s="35"/>
      <c r="AI1213" s="35"/>
      <c r="AJ1213" s="35"/>
      <c r="AK1213" s="35"/>
      <c r="AL1213" s="35"/>
      <c r="AM1213" s="35"/>
      <c r="AN1213" s="35"/>
      <c r="AO1213" s="35"/>
      <c r="AP1213" s="35"/>
      <c r="AQ1213" s="35"/>
      <c r="AR1213" s="35"/>
      <c r="AS1213" s="35"/>
      <c r="AT1213" s="35"/>
      <c r="AU1213" s="35"/>
      <c r="AV1213" s="35"/>
      <c r="AW1213" s="35"/>
      <c r="AX1213" s="35"/>
      <c r="AY1213" s="35"/>
      <c r="AZ1213" s="35"/>
      <c r="BA1213" s="35"/>
      <c r="BB1213" s="35"/>
      <c r="BC1213" s="35"/>
      <c r="BD1213" s="35"/>
      <c r="BE1213" s="35"/>
      <c r="BF1213" s="35"/>
      <c r="BG1213" s="35"/>
    </row>
    <row r="1214" ht="15.75" customHeight="1">
      <c r="A1214" s="35"/>
      <c r="B1214" s="35"/>
      <c r="C1214" s="35"/>
      <c r="D1214" s="35"/>
      <c r="E1214" s="35"/>
      <c r="F1214" s="35"/>
      <c r="G1214" s="35"/>
      <c r="H1214" s="35"/>
      <c r="I1214" s="35"/>
      <c r="J1214" s="35"/>
      <c r="K1214" s="35"/>
      <c r="L1214" s="35"/>
      <c r="M1214" s="35"/>
      <c r="N1214" s="35"/>
      <c r="O1214" s="35"/>
      <c r="P1214" s="35"/>
      <c r="Q1214" s="35"/>
      <c r="R1214" s="35"/>
      <c r="S1214" s="35"/>
      <c r="T1214" s="35"/>
      <c r="U1214" s="35"/>
      <c r="V1214" s="35"/>
      <c r="W1214" s="35"/>
      <c r="X1214" s="35"/>
      <c r="Y1214" s="35"/>
      <c r="Z1214" s="35"/>
      <c r="AA1214" s="35"/>
      <c r="AB1214" s="35"/>
      <c r="AC1214" s="35"/>
      <c r="AD1214" s="35"/>
      <c r="AE1214" s="35"/>
      <c r="AF1214" s="35"/>
      <c r="AG1214" s="35"/>
      <c r="AH1214" s="35"/>
      <c r="AI1214" s="35"/>
      <c r="AJ1214" s="35"/>
      <c r="AK1214" s="35"/>
      <c r="AL1214" s="35"/>
      <c r="AM1214" s="35"/>
      <c r="AN1214" s="35"/>
      <c r="AO1214" s="35"/>
      <c r="AP1214" s="35"/>
      <c r="AQ1214" s="35"/>
      <c r="AR1214" s="35"/>
      <c r="AS1214" s="35"/>
      <c r="AT1214" s="35"/>
      <c r="AU1214" s="35"/>
      <c r="AV1214" s="35"/>
      <c r="AW1214" s="35"/>
      <c r="AX1214" s="35"/>
      <c r="AY1214" s="35"/>
      <c r="AZ1214" s="35"/>
      <c r="BA1214" s="35"/>
      <c r="BB1214" s="35"/>
      <c r="BC1214" s="35"/>
      <c r="BD1214" s="35"/>
      <c r="BE1214" s="35"/>
      <c r="BF1214" s="35"/>
      <c r="BG1214" s="35"/>
    </row>
    <row r="1215" ht="15.75" customHeight="1">
      <c r="A1215" s="35"/>
      <c r="B1215" s="35"/>
      <c r="C1215" s="35"/>
      <c r="D1215" s="35"/>
      <c r="E1215" s="35"/>
      <c r="F1215" s="35"/>
      <c r="G1215" s="35"/>
      <c r="H1215" s="35"/>
      <c r="I1215" s="35"/>
      <c r="J1215" s="35"/>
      <c r="K1215" s="35"/>
      <c r="L1215" s="35"/>
      <c r="M1215" s="35"/>
      <c r="N1215" s="35"/>
      <c r="O1215" s="35"/>
      <c r="P1215" s="35"/>
      <c r="Q1215" s="35"/>
      <c r="R1215" s="35"/>
      <c r="S1215" s="35"/>
      <c r="T1215" s="35"/>
      <c r="U1215" s="35"/>
      <c r="V1215" s="35"/>
      <c r="W1215" s="35"/>
      <c r="X1215" s="35"/>
      <c r="Y1215" s="35"/>
      <c r="Z1215" s="35"/>
      <c r="AA1215" s="35"/>
      <c r="AB1215" s="35"/>
      <c r="AC1215" s="35"/>
      <c r="AD1215" s="35"/>
      <c r="AE1215" s="35"/>
      <c r="AF1215" s="35"/>
      <c r="AG1215" s="35"/>
      <c r="AH1215" s="35"/>
      <c r="AI1215" s="35"/>
      <c r="AJ1215" s="35"/>
      <c r="AK1215" s="35"/>
      <c r="AL1215" s="35"/>
      <c r="AM1215" s="35"/>
      <c r="AN1215" s="35"/>
      <c r="AO1215" s="35"/>
      <c r="AP1215" s="35"/>
      <c r="AQ1215" s="35"/>
      <c r="AR1215" s="35"/>
      <c r="AS1215" s="35"/>
      <c r="AT1215" s="35"/>
      <c r="AU1215" s="35"/>
      <c r="AV1215" s="35"/>
      <c r="AW1215" s="35"/>
      <c r="AX1215" s="35"/>
      <c r="AY1215" s="35"/>
      <c r="AZ1215" s="35"/>
      <c r="BA1215" s="35"/>
      <c r="BB1215" s="35"/>
      <c r="BC1215" s="35"/>
      <c r="BD1215" s="35"/>
      <c r="BE1215" s="35"/>
      <c r="BF1215" s="35"/>
      <c r="BG1215" s="35"/>
    </row>
    <row r="1216" ht="15.75" customHeight="1">
      <c r="A1216" s="35"/>
      <c r="B1216" s="35"/>
      <c r="C1216" s="35"/>
      <c r="D1216" s="35"/>
      <c r="E1216" s="35"/>
      <c r="F1216" s="35"/>
      <c r="G1216" s="35"/>
      <c r="H1216" s="35"/>
      <c r="I1216" s="35"/>
      <c r="J1216" s="35"/>
      <c r="K1216" s="35"/>
      <c r="L1216" s="35"/>
      <c r="M1216" s="35"/>
      <c r="N1216" s="35"/>
      <c r="O1216" s="35"/>
      <c r="P1216" s="35"/>
      <c r="Q1216" s="35"/>
      <c r="R1216" s="35"/>
      <c r="S1216" s="35"/>
      <c r="T1216" s="35"/>
      <c r="U1216" s="35"/>
      <c r="V1216" s="35"/>
      <c r="W1216" s="35"/>
      <c r="X1216" s="35"/>
      <c r="Y1216" s="35"/>
      <c r="Z1216" s="35"/>
      <c r="AA1216" s="35"/>
      <c r="AB1216" s="35"/>
      <c r="AC1216" s="35"/>
      <c r="AD1216" s="35"/>
      <c r="AE1216" s="35"/>
      <c r="AF1216" s="35"/>
      <c r="AG1216" s="35"/>
      <c r="AH1216" s="35"/>
      <c r="AI1216" s="35"/>
      <c r="AJ1216" s="35"/>
      <c r="AK1216" s="35"/>
      <c r="AL1216" s="35"/>
      <c r="AM1216" s="35"/>
      <c r="AN1216" s="35"/>
      <c r="AO1216" s="35"/>
      <c r="AP1216" s="35"/>
      <c r="AQ1216" s="35"/>
      <c r="AR1216" s="35"/>
      <c r="AS1216" s="35"/>
      <c r="AT1216" s="35"/>
      <c r="AU1216" s="35"/>
      <c r="AV1216" s="35"/>
      <c r="AW1216" s="35"/>
      <c r="AX1216" s="35"/>
      <c r="AY1216" s="35"/>
      <c r="AZ1216" s="35"/>
      <c r="BA1216" s="35"/>
      <c r="BB1216" s="35"/>
      <c r="BC1216" s="35"/>
      <c r="BD1216" s="35"/>
      <c r="BE1216" s="35"/>
      <c r="BF1216" s="35"/>
      <c r="BG1216" s="35"/>
    </row>
    <row r="1217" ht="15.75" customHeight="1">
      <c r="A1217" s="35"/>
      <c r="B1217" s="35"/>
      <c r="C1217" s="35"/>
      <c r="D1217" s="35"/>
      <c r="E1217" s="35"/>
      <c r="F1217" s="35"/>
      <c r="G1217" s="35"/>
      <c r="H1217" s="35"/>
      <c r="I1217" s="35"/>
      <c r="J1217" s="35"/>
      <c r="K1217" s="35"/>
      <c r="L1217" s="35"/>
      <c r="M1217" s="35"/>
      <c r="N1217" s="35"/>
      <c r="O1217" s="35"/>
      <c r="P1217" s="35"/>
      <c r="Q1217" s="35"/>
      <c r="R1217" s="35"/>
      <c r="S1217" s="35"/>
      <c r="T1217" s="35"/>
      <c r="U1217" s="35"/>
      <c r="V1217" s="35"/>
      <c r="W1217" s="35"/>
      <c r="X1217" s="35"/>
      <c r="Y1217" s="35"/>
      <c r="Z1217" s="35"/>
      <c r="AA1217" s="35"/>
      <c r="AB1217" s="35"/>
      <c r="AC1217" s="35"/>
      <c r="AD1217" s="35"/>
      <c r="AE1217" s="35"/>
      <c r="AF1217" s="35"/>
      <c r="AG1217" s="35"/>
      <c r="AH1217" s="35"/>
      <c r="AI1217" s="35"/>
      <c r="AJ1217" s="35"/>
      <c r="AK1217" s="35"/>
      <c r="AL1217" s="35"/>
      <c r="AM1217" s="35"/>
      <c r="AN1217" s="35"/>
      <c r="AO1217" s="35"/>
      <c r="AP1217" s="35"/>
      <c r="AQ1217" s="35"/>
      <c r="AR1217" s="35"/>
      <c r="AS1217" s="35"/>
      <c r="AT1217" s="35"/>
      <c r="AU1217" s="35"/>
      <c r="AV1217" s="35"/>
      <c r="AW1217" s="35"/>
      <c r="AX1217" s="35"/>
      <c r="AY1217" s="35"/>
      <c r="AZ1217" s="35"/>
      <c r="BA1217" s="35"/>
      <c r="BB1217" s="35"/>
      <c r="BC1217" s="35"/>
      <c r="BD1217" s="35"/>
      <c r="BE1217" s="35"/>
      <c r="BF1217" s="35"/>
      <c r="BG1217" s="35"/>
    </row>
    <row r="1218" ht="15.75" customHeight="1">
      <c r="A1218" s="35"/>
      <c r="B1218" s="35"/>
      <c r="C1218" s="35"/>
      <c r="D1218" s="35"/>
      <c r="E1218" s="35"/>
      <c r="F1218" s="35"/>
      <c r="G1218" s="35"/>
      <c r="H1218" s="35"/>
      <c r="I1218" s="35"/>
      <c r="J1218" s="35"/>
      <c r="K1218" s="35"/>
      <c r="L1218" s="35"/>
      <c r="M1218" s="35"/>
      <c r="N1218" s="35"/>
      <c r="O1218" s="35"/>
      <c r="P1218" s="35"/>
      <c r="Q1218" s="35"/>
      <c r="R1218" s="35"/>
      <c r="S1218" s="35"/>
      <c r="T1218" s="35"/>
      <c r="U1218" s="35"/>
      <c r="V1218" s="35"/>
      <c r="W1218" s="35"/>
      <c r="X1218" s="35"/>
      <c r="Y1218" s="35"/>
      <c r="Z1218" s="35"/>
      <c r="AA1218" s="35"/>
      <c r="AB1218" s="35"/>
      <c r="AC1218" s="35"/>
      <c r="AD1218" s="35"/>
      <c r="AE1218" s="35"/>
      <c r="AF1218" s="35"/>
      <c r="AG1218" s="35"/>
      <c r="AH1218" s="35"/>
      <c r="AI1218" s="35"/>
      <c r="AJ1218" s="35"/>
      <c r="AK1218" s="35"/>
      <c r="AL1218" s="35"/>
      <c r="AM1218" s="35"/>
      <c r="AN1218" s="35"/>
      <c r="AO1218" s="35"/>
      <c r="AP1218" s="35"/>
      <c r="AQ1218" s="35"/>
      <c r="AR1218" s="35"/>
      <c r="AS1218" s="35"/>
      <c r="AT1218" s="35"/>
      <c r="AU1218" s="35"/>
      <c r="AV1218" s="35"/>
      <c r="AW1218" s="35"/>
      <c r="AX1218" s="35"/>
      <c r="AY1218" s="35"/>
      <c r="AZ1218" s="35"/>
      <c r="BA1218" s="35"/>
      <c r="BB1218" s="35"/>
      <c r="BC1218" s="35"/>
      <c r="BD1218" s="35"/>
      <c r="BE1218" s="35"/>
      <c r="BF1218" s="35"/>
      <c r="BG1218" s="35"/>
    </row>
    <row r="1219" ht="15.75" customHeight="1">
      <c r="A1219" s="35"/>
      <c r="B1219" s="35"/>
      <c r="C1219" s="35"/>
      <c r="D1219" s="35"/>
      <c r="E1219" s="35"/>
      <c r="F1219" s="35"/>
      <c r="G1219" s="35"/>
      <c r="H1219" s="35"/>
      <c r="I1219" s="35"/>
      <c r="J1219" s="35"/>
      <c r="K1219" s="35"/>
      <c r="L1219" s="35"/>
      <c r="M1219" s="35"/>
      <c r="N1219" s="35"/>
      <c r="O1219" s="35"/>
      <c r="P1219" s="35"/>
      <c r="Q1219" s="35"/>
      <c r="R1219" s="35"/>
      <c r="S1219" s="35"/>
      <c r="T1219" s="35"/>
      <c r="U1219" s="35"/>
      <c r="V1219" s="35"/>
      <c r="W1219" s="35"/>
      <c r="X1219" s="35"/>
      <c r="Y1219" s="35"/>
      <c r="Z1219" s="35"/>
      <c r="AA1219" s="35"/>
      <c r="AB1219" s="35"/>
      <c r="AC1219" s="35"/>
      <c r="AD1219" s="35"/>
      <c r="AE1219" s="35"/>
      <c r="AF1219" s="35"/>
      <c r="AG1219" s="35"/>
      <c r="AH1219" s="35"/>
      <c r="AI1219" s="35"/>
      <c r="AJ1219" s="35"/>
      <c r="AK1219" s="35"/>
      <c r="AL1219" s="35"/>
      <c r="AM1219" s="35"/>
      <c r="AN1219" s="35"/>
      <c r="AO1219" s="35"/>
      <c r="AP1219" s="35"/>
      <c r="AQ1219" s="35"/>
      <c r="AR1219" s="35"/>
      <c r="AS1219" s="35"/>
      <c r="AT1219" s="35"/>
      <c r="AU1219" s="35"/>
      <c r="AV1219" s="35"/>
      <c r="AW1219" s="35"/>
      <c r="AX1219" s="35"/>
      <c r="AY1219" s="35"/>
      <c r="AZ1219" s="35"/>
      <c r="BA1219" s="35"/>
      <c r="BB1219" s="35"/>
      <c r="BC1219" s="35"/>
      <c r="BD1219" s="35"/>
      <c r="BE1219" s="35"/>
      <c r="BF1219" s="35"/>
      <c r="BG1219" s="35"/>
    </row>
    <row r="1220" ht="15.75" customHeight="1">
      <c r="A1220" s="35"/>
      <c r="B1220" s="35"/>
      <c r="C1220" s="35"/>
      <c r="D1220" s="35"/>
      <c r="E1220" s="35"/>
      <c r="F1220" s="35"/>
      <c r="G1220" s="35"/>
      <c r="H1220" s="35"/>
      <c r="I1220" s="35"/>
      <c r="J1220" s="35"/>
      <c r="K1220" s="35"/>
      <c r="L1220" s="35"/>
      <c r="M1220" s="35"/>
      <c r="N1220" s="35"/>
      <c r="O1220" s="35"/>
      <c r="P1220" s="35"/>
      <c r="Q1220" s="35"/>
      <c r="R1220" s="35"/>
      <c r="S1220" s="35"/>
      <c r="T1220" s="35"/>
      <c r="U1220" s="35"/>
      <c r="V1220" s="35"/>
      <c r="W1220" s="35"/>
      <c r="X1220" s="35"/>
      <c r="Y1220" s="35"/>
      <c r="Z1220" s="35"/>
      <c r="AA1220" s="35"/>
      <c r="AB1220" s="35"/>
      <c r="AC1220" s="35"/>
      <c r="AD1220" s="35"/>
      <c r="AE1220" s="35"/>
      <c r="AF1220" s="35"/>
      <c r="AG1220" s="35"/>
      <c r="AH1220" s="35"/>
      <c r="AI1220" s="35"/>
      <c r="AJ1220" s="35"/>
      <c r="AK1220" s="35"/>
      <c r="AL1220" s="35"/>
      <c r="AM1220" s="35"/>
      <c r="AN1220" s="35"/>
      <c r="AO1220" s="35"/>
      <c r="AP1220" s="35"/>
      <c r="AQ1220" s="35"/>
      <c r="AR1220" s="35"/>
      <c r="AS1220" s="35"/>
      <c r="AT1220" s="35"/>
      <c r="AU1220" s="35"/>
      <c r="AV1220" s="35"/>
      <c r="AW1220" s="35"/>
      <c r="AX1220" s="35"/>
      <c r="AY1220" s="35"/>
      <c r="AZ1220" s="35"/>
      <c r="BA1220" s="35"/>
      <c r="BB1220" s="35"/>
      <c r="BC1220" s="35"/>
      <c r="BD1220" s="35"/>
      <c r="BE1220" s="35"/>
      <c r="BF1220" s="35"/>
      <c r="BG1220" s="35"/>
    </row>
    <row r="1221" ht="15.75" customHeight="1">
      <c r="A1221" s="35"/>
      <c r="B1221" s="35"/>
      <c r="C1221" s="35"/>
      <c r="D1221" s="35"/>
      <c r="E1221" s="35"/>
      <c r="F1221" s="35"/>
      <c r="G1221" s="35"/>
      <c r="H1221" s="35"/>
      <c r="I1221" s="35"/>
      <c r="J1221" s="35"/>
      <c r="K1221" s="35"/>
      <c r="L1221" s="35"/>
      <c r="M1221" s="35"/>
      <c r="N1221" s="35"/>
      <c r="O1221" s="35"/>
      <c r="P1221" s="35"/>
      <c r="Q1221" s="35"/>
      <c r="R1221" s="35"/>
      <c r="S1221" s="35"/>
      <c r="T1221" s="35"/>
      <c r="U1221" s="35"/>
      <c r="V1221" s="35"/>
      <c r="W1221" s="35"/>
      <c r="X1221" s="35"/>
      <c r="Y1221" s="35"/>
      <c r="Z1221" s="35"/>
      <c r="AA1221" s="35"/>
      <c r="AB1221" s="35"/>
      <c r="AC1221" s="35"/>
      <c r="AD1221" s="35"/>
      <c r="AE1221" s="35"/>
      <c r="AF1221" s="35"/>
      <c r="AG1221" s="35"/>
      <c r="AH1221" s="35"/>
      <c r="AI1221" s="35"/>
      <c r="AJ1221" s="35"/>
      <c r="AK1221" s="35"/>
      <c r="AL1221" s="35"/>
      <c r="AM1221" s="35"/>
      <c r="AN1221" s="35"/>
      <c r="AO1221" s="35"/>
      <c r="AP1221" s="35"/>
      <c r="AQ1221" s="35"/>
      <c r="AR1221" s="35"/>
      <c r="AS1221" s="35"/>
      <c r="AT1221" s="35"/>
      <c r="AU1221" s="35"/>
      <c r="AV1221" s="35"/>
      <c r="AW1221" s="35"/>
      <c r="AX1221" s="35"/>
      <c r="AY1221" s="35"/>
      <c r="AZ1221" s="35"/>
      <c r="BA1221" s="35"/>
      <c r="BB1221" s="35"/>
      <c r="BC1221" s="35"/>
      <c r="BD1221" s="35"/>
      <c r="BE1221" s="35"/>
      <c r="BF1221" s="35"/>
      <c r="BG1221" s="35"/>
    </row>
    <row r="1222" ht="15.75" customHeight="1">
      <c r="A1222" s="35"/>
      <c r="B1222" s="35"/>
      <c r="C1222" s="35"/>
      <c r="D1222" s="35"/>
      <c r="E1222" s="35"/>
      <c r="F1222" s="35"/>
      <c r="G1222" s="35"/>
      <c r="H1222" s="35"/>
      <c r="I1222" s="35"/>
      <c r="J1222" s="35"/>
      <c r="K1222" s="35"/>
      <c r="L1222" s="35"/>
      <c r="M1222" s="35"/>
      <c r="N1222" s="35"/>
      <c r="O1222" s="35"/>
      <c r="P1222" s="35"/>
      <c r="Q1222" s="35"/>
      <c r="R1222" s="35"/>
      <c r="S1222" s="35"/>
      <c r="T1222" s="35"/>
      <c r="U1222" s="35"/>
      <c r="V1222" s="35"/>
      <c r="W1222" s="35"/>
      <c r="X1222" s="35"/>
      <c r="Y1222" s="35"/>
      <c r="Z1222" s="35"/>
      <c r="AA1222" s="35"/>
      <c r="AB1222" s="35"/>
      <c r="AC1222" s="35"/>
      <c r="AD1222" s="35"/>
      <c r="AE1222" s="35"/>
      <c r="AF1222" s="35"/>
      <c r="AG1222" s="35"/>
      <c r="AH1222" s="35"/>
      <c r="AI1222" s="35"/>
      <c r="AJ1222" s="35"/>
      <c r="AK1222" s="35"/>
      <c r="AL1222" s="35"/>
      <c r="AM1222" s="35"/>
      <c r="AN1222" s="35"/>
      <c r="AO1222" s="35"/>
      <c r="AP1222" s="35"/>
      <c r="AQ1222" s="35"/>
      <c r="AR1222" s="35"/>
      <c r="AS1222" s="35"/>
      <c r="AT1222" s="35"/>
      <c r="AU1222" s="35"/>
      <c r="AV1222" s="35"/>
      <c r="AW1222" s="35"/>
      <c r="AX1222" s="35"/>
      <c r="AY1222" s="35"/>
      <c r="AZ1222" s="35"/>
      <c r="BA1222" s="35"/>
      <c r="BB1222" s="35"/>
      <c r="BC1222" s="35"/>
      <c r="BD1222" s="35"/>
      <c r="BE1222" s="35"/>
      <c r="BF1222" s="35"/>
      <c r="BG1222" s="35"/>
    </row>
    <row r="1223" ht="15.75" customHeight="1">
      <c r="A1223" s="35"/>
      <c r="B1223" s="35"/>
      <c r="C1223" s="35"/>
      <c r="D1223" s="35"/>
      <c r="E1223" s="35"/>
      <c r="F1223" s="35"/>
      <c r="G1223" s="35"/>
      <c r="H1223" s="35"/>
      <c r="I1223" s="35"/>
      <c r="J1223" s="35"/>
      <c r="K1223" s="35"/>
      <c r="L1223" s="35"/>
      <c r="M1223" s="35"/>
      <c r="N1223" s="35"/>
      <c r="O1223" s="35"/>
      <c r="P1223" s="35"/>
      <c r="Q1223" s="35"/>
      <c r="R1223" s="35"/>
      <c r="S1223" s="35"/>
      <c r="T1223" s="35"/>
      <c r="U1223" s="35"/>
      <c r="V1223" s="35"/>
      <c r="W1223" s="35"/>
      <c r="X1223" s="35"/>
      <c r="Y1223" s="35"/>
      <c r="Z1223" s="35"/>
      <c r="AA1223" s="35"/>
      <c r="AB1223" s="35"/>
      <c r="AC1223" s="35"/>
      <c r="AD1223" s="35"/>
      <c r="AE1223" s="35"/>
      <c r="AF1223" s="35"/>
      <c r="AG1223" s="35"/>
      <c r="AH1223" s="35"/>
      <c r="AI1223" s="35"/>
      <c r="AJ1223" s="35"/>
      <c r="AK1223" s="35"/>
      <c r="AL1223" s="35"/>
      <c r="AM1223" s="35"/>
      <c r="AN1223" s="35"/>
      <c r="AO1223" s="35"/>
      <c r="AP1223" s="35"/>
      <c r="AQ1223" s="35"/>
      <c r="AR1223" s="35"/>
      <c r="AS1223" s="35"/>
      <c r="AT1223" s="35"/>
      <c r="AU1223" s="35"/>
      <c r="AV1223" s="35"/>
      <c r="AW1223" s="35"/>
      <c r="AX1223" s="35"/>
      <c r="AY1223" s="35"/>
      <c r="AZ1223" s="35"/>
      <c r="BA1223" s="35"/>
      <c r="BB1223" s="35"/>
      <c r="BC1223" s="35"/>
      <c r="BD1223" s="35"/>
      <c r="BE1223" s="35"/>
      <c r="BF1223" s="35"/>
      <c r="BG1223" s="35"/>
    </row>
    <row r="1224" ht="15.75" customHeight="1">
      <c r="A1224" s="35"/>
      <c r="B1224" s="35"/>
      <c r="C1224" s="35"/>
      <c r="D1224" s="35"/>
      <c r="E1224" s="35"/>
      <c r="F1224" s="35"/>
      <c r="G1224" s="35"/>
      <c r="H1224" s="35"/>
      <c r="I1224" s="35"/>
      <c r="J1224" s="35"/>
      <c r="K1224" s="35"/>
      <c r="L1224" s="35"/>
      <c r="M1224" s="35"/>
      <c r="N1224" s="35"/>
      <c r="O1224" s="35"/>
      <c r="P1224" s="35"/>
      <c r="Q1224" s="35"/>
      <c r="R1224" s="35"/>
      <c r="S1224" s="35"/>
      <c r="T1224" s="35"/>
      <c r="U1224" s="35"/>
      <c r="V1224" s="35"/>
      <c r="W1224" s="35"/>
      <c r="X1224" s="35"/>
      <c r="Y1224" s="35"/>
      <c r="Z1224" s="35"/>
      <c r="AA1224" s="35"/>
      <c r="AB1224" s="35"/>
      <c r="AC1224" s="35"/>
      <c r="AD1224" s="35"/>
      <c r="AE1224" s="35"/>
      <c r="AF1224" s="35"/>
      <c r="AG1224" s="35"/>
      <c r="AH1224" s="35"/>
      <c r="AI1224" s="35"/>
      <c r="AJ1224" s="35"/>
      <c r="AK1224" s="35"/>
      <c r="AL1224" s="35"/>
      <c r="AM1224" s="35"/>
      <c r="AN1224" s="35"/>
      <c r="AO1224" s="35"/>
      <c r="AP1224" s="35"/>
      <c r="AQ1224" s="35"/>
      <c r="AR1224" s="35"/>
      <c r="AS1224" s="35"/>
      <c r="AT1224" s="35"/>
      <c r="AU1224" s="35"/>
      <c r="AV1224" s="35"/>
      <c r="AW1224" s="35"/>
      <c r="AX1224" s="35"/>
      <c r="AY1224" s="35"/>
      <c r="AZ1224" s="35"/>
      <c r="BA1224" s="35"/>
      <c r="BB1224" s="35"/>
      <c r="BC1224" s="35"/>
      <c r="BD1224" s="35"/>
      <c r="BE1224" s="35"/>
      <c r="BF1224" s="35"/>
      <c r="BG1224" s="35"/>
    </row>
    <row r="1225" ht="15.75" customHeight="1">
      <c r="A1225" s="35"/>
      <c r="B1225" s="35"/>
      <c r="C1225" s="35"/>
      <c r="D1225" s="35"/>
      <c r="E1225" s="35"/>
      <c r="F1225" s="35"/>
      <c r="G1225" s="35"/>
      <c r="H1225" s="35"/>
      <c r="I1225" s="35"/>
      <c r="J1225" s="35"/>
      <c r="K1225" s="35"/>
      <c r="L1225" s="35"/>
      <c r="M1225" s="35"/>
      <c r="N1225" s="35"/>
      <c r="O1225" s="35"/>
      <c r="P1225" s="35"/>
      <c r="Q1225" s="35"/>
      <c r="R1225" s="35"/>
      <c r="S1225" s="35"/>
      <c r="T1225" s="35"/>
      <c r="U1225" s="35"/>
      <c r="V1225" s="35"/>
      <c r="W1225" s="35"/>
      <c r="X1225" s="35"/>
      <c r="Y1225" s="35"/>
      <c r="Z1225" s="35"/>
      <c r="AA1225" s="35"/>
      <c r="AB1225" s="35"/>
      <c r="AC1225" s="35"/>
      <c r="AD1225" s="35"/>
      <c r="AE1225" s="35"/>
      <c r="AF1225" s="35"/>
      <c r="AG1225" s="35"/>
      <c r="AH1225" s="35"/>
      <c r="AI1225" s="35"/>
      <c r="AJ1225" s="35"/>
      <c r="AK1225" s="35"/>
      <c r="AL1225" s="35"/>
      <c r="AM1225" s="35"/>
      <c r="AN1225" s="35"/>
      <c r="AO1225" s="35"/>
      <c r="AP1225" s="35"/>
      <c r="AQ1225" s="35"/>
      <c r="AR1225" s="35"/>
      <c r="AS1225" s="35"/>
      <c r="AT1225" s="35"/>
      <c r="AU1225" s="35"/>
      <c r="AV1225" s="35"/>
      <c r="AW1225" s="35"/>
      <c r="AX1225" s="35"/>
      <c r="AY1225" s="35"/>
      <c r="AZ1225" s="35"/>
      <c r="BA1225" s="35"/>
      <c r="BB1225" s="35"/>
      <c r="BC1225" s="35"/>
      <c r="BD1225" s="35"/>
      <c r="BE1225" s="35"/>
      <c r="BF1225" s="35"/>
      <c r="BG1225" s="35"/>
    </row>
    <row r="1226" ht="15.75" customHeight="1">
      <c r="A1226" s="35"/>
      <c r="B1226" s="35"/>
      <c r="C1226" s="35"/>
      <c r="D1226" s="35"/>
      <c r="E1226" s="35"/>
      <c r="F1226" s="35"/>
      <c r="G1226" s="35"/>
      <c r="H1226" s="35"/>
      <c r="I1226" s="35"/>
      <c r="J1226" s="35"/>
      <c r="K1226" s="35"/>
      <c r="L1226" s="35"/>
      <c r="M1226" s="35"/>
      <c r="N1226" s="35"/>
      <c r="O1226" s="35"/>
      <c r="P1226" s="35"/>
      <c r="Q1226" s="35"/>
      <c r="R1226" s="35"/>
      <c r="S1226" s="35"/>
      <c r="T1226" s="35"/>
      <c r="U1226" s="35"/>
      <c r="V1226" s="35"/>
      <c r="W1226" s="35"/>
      <c r="X1226" s="35"/>
      <c r="Y1226" s="35"/>
      <c r="Z1226" s="35"/>
      <c r="AA1226" s="35"/>
      <c r="AB1226" s="35"/>
      <c r="AC1226" s="35"/>
      <c r="AD1226" s="35"/>
      <c r="AE1226" s="35"/>
      <c r="AF1226" s="35"/>
      <c r="AG1226" s="35"/>
      <c r="AH1226" s="35"/>
      <c r="AI1226" s="35"/>
      <c r="AJ1226" s="35"/>
      <c r="AK1226" s="35"/>
      <c r="AL1226" s="35"/>
      <c r="AM1226" s="35"/>
      <c r="AN1226" s="35"/>
      <c r="AO1226" s="35"/>
      <c r="AP1226" s="35"/>
      <c r="AQ1226" s="35"/>
      <c r="AR1226" s="35"/>
      <c r="AS1226" s="35"/>
      <c r="AT1226" s="35"/>
      <c r="AU1226" s="35"/>
      <c r="AV1226" s="35"/>
      <c r="AW1226" s="35"/>
      <c r="AX1226" s="35"/>
      <c r="AY1226" s="35"/>
      <c r="AZ1226" s="35"/>
      <c r="BA1226" s="35"/>
      <c r="BB1226" s="35"/>
      <c r="BC1226" s="35"/>
      <c r="BD1226" s="35"/>
      <c r="BE1226" s="35"/>
      <c r="BF1226" s="35"/>
      <c r="BG1226" s="35"/>
    </row>
    <row r="1227" ht="15.75" customHeight="1">
      <c r="A1227" s="35"/>
      <c r="B1227" s="35"/>
      <c r="C1227" s="35"/>
      <c r="D1227" s="35"/>
      <c r="E1227" s="35"/>
      <c r="F1227" s="35"/>
      <c r="G1227" s="35"/>
      <c r="H1227" s="35"/>
      <c r="I1227" s="35"/>
      <c r="J1227" s="35"/>
      <c r="K1227" s="35"/>
      <c r="L1227" s="35"/>
      <c r="M1227" s="35"/>
      <c r="N1227" s="35"/>
      <c r="O1227" s="35"/>
      <c r="P1227" s="35"/>
      <c r="Q1227" s="35"/>
      <c r="R1227" s="35"/>
      <c r="S1227" s="35"/>
      <c r="T1227" s="35"/>
      <c r="U1227" s="35"/>
      <c r="V1227" s="35"/>
      <c r="W1227" s="35"/>
      <c r="X1227" s="35"/>
      <c r="Y1227" s="35"/>
      <c r="Z1227" s="35"/>
      <c r="AA1227" s="35"/>
      <c r="AB1227" s="35"/>
      <c r="AC1227" s="35"/>
      <c r="AD1227" s="35"/>
      <c r="AE1227" s="35"/>
      <c r="AF1227" s="35"/>
      <c r="AG1227" s="35"/>
      <c r="AH1227" s="35"/>
      <c r="AI1227" s="35"/>
      <c r="AJ1227" s="35"/>
      <c r="AK1227" s="35"/>
      <c r="AL1227" s="35"/>
      <c r="AM1227" s="35"/>
      <c r="AN1227" s="35"/>
      <c r="AO1227" s="35"/>
      <c r="AP1227" s="35"/>
      <c r="AQ1227" s="35"/>
      <c r="AR1227" s="35"/>
      <c r="AS1227" s="35"/>
      <c r="AT1227" s="35"/>
      <c r="AU1227" s="35"/>
      <c r="AV1227" s="35"/>
      <c r="AW1227" s="35"/>
      <c r="AX1227" s="35"/>
      <c r="AY1227" s="35"/>
      <c r="AZ1227" s="35"/>
      <c r="BA1227" s="35"/>
      <c r="BB1227" s="35"/>
      <c r="BC1227" s="35"/>
      <c r="BD1227" s="35"/>
      <c r="BE1227" s="35"/>
      <c r="BF1227" s="35"/>
      <c r="BG1227" s="35"/>
    </row>
    <row r="1228" ht="15.75" customHeight="1">
      <c r="A1228" s="35"/>
      <c r="B1228" s="35"/>
      <c r="C1228" s="35"/>
      <c r="D1228" s="35"/>
      <c r="E1228" s="35"/>
      <c r="F1228" s="35"/>
      <c r="G1228" s="35"/>
      <c r="H1228" s="35"/>
      <c r="I1228" s="35"/>
      <c r="J1228" s="35"/>
      <c r="K1228" s="35"/>
      <c r="L1228" s="35"/>
      <c r="M1228" s="35"/>
      <c r="N1228" s="35"/>
      <c r="O1228" s="35"/>
      <c r="P1228" s="35"/>
      <c r="Q1228" s="35"/>
      <c r="R1228" s="35"/>
      <c r="S1228" s="35"/>
      <c r="T1228" s="35"/>
      <c r="U1228" s="35"/>
      <c r="V1228" s="35"/>
      <c r="W1228" s="35"/>
      <c r="X1228" s="35"/>
      <c r="Y1228" s="35"/>
      <c r="Z1228" s="35"/>
      <c r="AA1228" s="35"/>
      <c r="AB1228" s="35"/>
      <c r="AC1228" s="35"/>
      <c r="AD1228" s="35"/>
      <c r="AE1228" s="35"/>
      <c r="AF1228" s="35"/>
      <c r="AG1228" s="35"/>
      <c r="AH1228" s="35"/>
      <c r="AI1228" s="35"/>
      <c r="AJ1228" s="35"/>
      <c r="AK1228" s="35"/>
      <c r="AL1228" s="35"/>
      <c r="AM1228" s="35"/>
      <c r="AN1228" s="35"/>
      <c r="AO1228" s="35"/>
      <c r="AP1228" s="35"/>
      <c r="AQ1228" s="35"/>
      <c r="AR1228" s="35"/>
      <c r="AS1228" s="35"/>
      <c r="AT1228" s="35"/>
      <c r="AU1228" s="35"/>
      <c r="AV1228" s="35"/>
      <c r="AW1228" s="35"/>
      <c r="AX1228" s="35"/>
      <c r="AY1228" s="35"/>
      <c r="AZ1228" s="35"/>
      <c r="BA1228" s="35"/>
      <c r="BB1228" s="35"/>
      <c r="BC1228" s="35"/>
      <c r="BD1228" s="35"/>
      <c r="BE1228" s="35"/>
      <c r="BF1228" s="35"/>
      <c r="BG1228" s="35"/>
    </row>
    <row r="1229" ht="15.75" customHeight="1">
      <c r="A1229" s="35"/>
      <c r="B1229" s="35"/>
      <c r="C1229" s="35"/>
      <c r="D1229" s="35"/>
      <c r="E1229" s="35"/>
      <c r="F1229" s="35"/>
      <c r="G1229" s="35"/>
      <c r="H1229" s="35"/>
      <c r="I1229" s="35"/>
      <c r="J1229" s="35"/>
      <c r="K1229" s="35"/>
      <c r="L1229" s="35"/>
      <c r="M1229" s="35"/>
      <c r="N1229" s="35"/>
      <c r="O1229" s="35"/>
      <c r="P1229" s="35"/>
      <c r="Q1229" s="35"/>
      <c r="R1229" s="35"/>
      <c r="S1229" s="35"/>
      <c r="T1229" s="35"/>
      <c r="U1229" s="35"/>
      <c r="V1229" s="35"/>
      <c r="W1229" s="35"/>
      <c r="X1229" s="35"/>
      <c r="Y1229" s="35"/>
      <c r="Z1229" s="35"/>
      <c r="AA1229" s="35"/>
      <c r="AB1229" s="35"/>
      <c r="AC1229" s="35"/>
      <c r="AD1229" s="35"/>
      <c r="AE1229" s="35"/>
      <c r="AF1229" s="35"/>
      <c r="AG1229" s="35"/>
      <c r="AH1229" s="35"/>
      <c r="AI1229" s="35"/>
      <c r="AJ1229" s="35"/>
      <c r="AK1229" s="35"/>
      <c r="AL1229" s="35"/>
      <c r="AM1229" s="35"/>
      <c r="AN1229" s="35"/>
      <c r="AO1229" s="35"/>
      <c r="AP1229" s="35"/>
      <c r="AQ1229" s="35"/>
      <c r="AR1229" s="35"/>
      <c r="AS1229" s="35"/>
      <c r="AT1229" s="35"/>
      <c r="AU1229" s="35"/>
      <c r="AV1229" s="35"/>
      <c r="AW1229" s="35"/>
      <c r="AX1229" s="35"/>
      <c r="AY1229" s="35"/>
      <c r="AZ1229" s="35"/>
      <c r="BA1229" s="35"/>
      <c r="BB1229" s="35"/>
      <c r="BC1229" s="35"/>
      <c r="BD1229" s="35"/>
      <c r="BE1229" s="35"/>
      <c r="BF1229" s="35"/>
      <c r="BG1229" s="35"/>
    </row>
    <row r="1230" ht="15.75" customHeight="1">
      <c r="A1230" s="35"/>
      <c r="B1230" s="35"/>
      <c r="C1230" s="35"/>
      <c r="D1230" s="35"/>
      <c r="E1230" s="35"/>
      <c r="F1230" s="35"/>
      <c r="G1230" s="35"/>
      <c r="H1230" s="35"/>
      <c r="I1230" s="35"/>
      <c r="J1230" s="35"/>
      <c r="K1230" s="35"/>
      <c r="L1230" s="35"/>
      <c r="M1230" s="35"/>
      <c r="N1230" s="35"/>
      <c r="O1230" s="35"/>
      <c r="P1230" s="35"/>
      <c r="Q1230" s="35"/>
      <c r="R1230" s="35"/>
      <c r="S1230" s="35"/>
      <c r="T1230" s="35"/>
      <c r="U1230" s="35"/>
      <c r="V1230" s="35"/>
      <c r="W1230" s="35"/>
      <c r="X1230" s="35"/>
      <c r="Y1230" s="35"/>
      <c r="Z1230" s="35"/>
      <c r="AA1230" s="35"/>
      <c r="AB1230" s="35"/>
      <c r="AC1230" s="35"/>
      <c r="AD1230" s="35"/>
      <c r="AE1230" s="35"/>
      <c r="AF1230" s="35"/>
      <c r="AG1230" s="35"/>
      <c r="AH1230" s="35"/>
      <c r="AI1230" s="35"/>
      <c r="AJ1230" s="35"/>
      <c r="AK1230" s="35"/>
      <c r="AL1230" s="35"/>
      <c r="AM1230" s="35"/>
      <c r="AN1230" s="35"/>
      <c r="AO1230" s="35"/>
      <c r="AP1230" s="35"/>
      <c r="AQ1230" s="35"/>
      <c r="AR1230" s="35"/>
      <c r="AS1230" s="35"/>
      <c r="AT1230" s="35"/>
      <c r="AU1230" s="35"/>
      <c r="AV1230" s="35"/>
      <c r="AW1230" s="35"/>
      <c r="AX1230" s="35"/>
      <c r="AY1230" s="35"/>
      <c r="AZ1230" s="35"/>
      <c r="BA1230" s="35"/>
      <c r="BB1230" s="35"/>
      <c r="BC1230" s="35"/>
      <c r="BD1230" s="35"/>
      <c r="BE1230" s="35"/>
      <c r="BF1230" s="35"/>
      <c r="BG1230" s="35"/>
    </row>
    <row r="1231" ht="15.75" customHeight="1">
      <c r="A1231" s="35"/>
      <c r="B1231" s="35"/>
      <c r="C1231" s="35"/>
      <c r="D1231" s="35"/>
      <c r="E1231" s="35"/>
      <c r="F1231" s="35"/>
      <c r="G1231" s="35"/>
      <c r="H1231" s="35"/>
      <c r="I1231" s="35"/>
      <c r="J1231" s="35"/>
      <c r="K1231" s="35"/>
      <c r="L1231" s="35"/>
      <c r="M1231" s="35"/>
      <c r="N1231" s="35"/>
      <c r="O1231" s="35"/>
      <c r="P1231" s="35"/>
      <c r="Q1231" s="35"/>
      <c r="R1231" s="35"/>
      <c r="S1231" s="35"/>
      <c r="T1231" s="35"/>
      <c r="U1231" s="35"/>
      <c r="V1231" s="35"/>
      <c r="W1231" s="35"/>
      <c r="X1231" s="35"/>
      <c r="Y1231" s="35"/>
      <c r="Z1231" s="35"/>
      <c r="AA1231" s="35"/>
      <c r="AB1231" s="35"/>
      <c r="AC1231" s="35"/>
      <c r="AD1231" s="35"/>
      <c r="AE1231" s="35"/>
      <c r="AF1231" s="35"/>
      <c r="AG1231" s="35"/>
      <c r="AH1231" s="35"/>
      <c r="AI1231" s="35"/>
      <c r="AJ1231" s="35"/>
      <c r="AK1231" s="35"/>
      <c r="AL1231" s="35"/>
      <c r="AM1231" s="35"/>
      <c r="AN1231" s="35"/>
      <c r="AO1231" s="35"/>
      <c r="AP1231" s="35"/>
      <c r="AQ1231" s="35"/>
      <c r="AR1231" s="35"/>
      <c r="AS1231" s="35"/>
      <c r="AT1231" s="35"/>
      <c r="AU1231" s="35"/>
      <c r="AV1231" s="35"/>
      <c r="AW1231" s="35"/>
      <c r="AX1231" s="35"/>
      <c r="AY1231" s="35"/>
      <c r="AZ1231" s="35"/>
      <c r="BA1231" s="35"/>
      <c r="BB1231" s="35"/>
      <c r="BC1231" s="35"/>
      <c r="BD1231" s="35"/>
      <c r="BE1231" s="35"/>
      <c r="BF1231" s="35"/>
      <c r="BG1231" s="35"/>
    </row>
    <row r="1232" ht="15.75" customHeight="1">
      <c r="A1232" s="35"/>
      <c r="B1232" s="35"/>
      <c r="C1232" s="35"/>
      <c r="D1232" s="35"/>
      <c r="E1232" s="35"/>
      <c r="F1232" s="35"/>
      <c r="G1232" s="35"/>
      <c r="H1232" s="35"/>
      <c r="I1232" s="35"/>
      <c r="J1232" s="35"/>
      <c r="K1232" s="35"/>
      <c r="L1232" s="35"/>
      <c r="M1232" s="35"/>
      <c r="N1232" s="35"/>
      <c r="O1232" s="35"/>
      <c r="P1232" s="35"/>
      <c r="Q1232" s="35"/>
      <c r="R1232" s="35"/>
      <c r="S1232" s="35"/>
      <c r="T1232" s="35"/>
      <c r="U1232" s="35"/>
      <c r="V1232" s="35"/>
      <c r="W1232" s="35"/>
      <c r="X1232" s="35"/>
      <c r="Y1232" s="35"/>
      <c r="Z1232" s="35"/>
      <c r="AA1232" s="35"/>
      <c r="AB1232" s="35"/>
      <c r="AC1232" s="35"/>
      <c r="AD1232" s="35"/>
      <c r="AE1232" s="35"/>
      <c r="AF1232" s="35"/>
      <c r="AG1232" s="35"/>
      <c r="AH1232" s="35"/>
      <c r="AI1232" s="35"/>
      <c r="AJ1232" s="35"/>
      <c r="AK1232" s="35"/>
      <c r="AL1232" s="35"/>
      <c r="AM1232" s="35"/>
      <c r="AN1232" s="35"/>
      <c r="AO1232" s="35"/>
      <c r="AP1232" s="35"/>
      <c r="AQ1232" s="35"/>
      <c r="AR1232" s="35"/>
      <c r="AS1232" s="35"/>
      <c r="AT1232" s="35"/>
      <c r="AU1232" s="35"/>
      <c r="AV1232" s="35"/>
      <c r="AW1232" s="35"/>
      <c r="AX1232" s="35"/>
      <c r="AY1232" s="35"/>
      <c r="AZ1232" s="35"/>
      <c r="BA1232" s="35"/>
      <c r="BB1232" s="35"/>
      <c r="BC1232" s="35"/>
      <c r="BD1232" s="35"/>
      <c r="BE1232" s="35"/>
      <c r="BF1232" s="35"/>
      <c r="BG1232" s="35"/>
    </row>
    <row r="1233" ht="15.75" customHeight="1">
      <c r="A1233" s="35"/>
      <c r="B1233" s="35"/>
      <c r="C1233" s="35"/>
      <c r="D1233" s="35"/>
      <c r="E1233" s="35"/>
      <c r="F1233" s="35"/>
      <c r="G1233" s="35"/>
      <c r="H1233" s="35"/>
      <c r="I1233" s="35"/>
      <c r="J1233" s="35"/>
      <c r="K1233" s="35"/>
      <c r="L1233" s="35"/>
      <c r="M1233" s="35"/>
      <c r="N1233" s="35"/>
      <c r="O1233" s="35"/>
      <c r="P1233" s="35"/>
      <c r="Q1233" s="35"/>
      <c r="R1233" s="35"/>
      <c r="S1233" s="35"/>
      <c r="T1233" s="35"/>
      <c r="U1233" s="35"/>
      <c r="V1233" s="35"/>
      <c r="W1233" s="35"/>
      <c r="X1233" s="35"/>
      <c r="Y1233" s="35"/>
      <c r="Z1233" s="35"/>
      <c r="AA1233" s="35"/>
      <c r="AB1233" s="35"/>
      <c r="AC1233" s="35"/>
      <c r="AD1233" s="35"/>
      <c r="AE1233" s="35"/>
      <c r="AF1233" s="35"/>
      <c r="AG1233" s="35"/>
      <c r="AH1233" s="35"/>
      <c r="AI1233" s="35"/>
      <c r="AJ1233" s="35"/>
      <c r="AK1233" s="35"/>
      <c r="AL1233" s="35"/>
      <c r="AM1233" s="35"/>
      <c r="AN1233" s="35"/>
      <c r="AO1233" s="35"/>
      <c r="AP1233" s="35"/>
      <c r="AQ1233" s="35"/>
      <c r="AR1233" s="35"/>
      <c r="AS1233" s="35"/>
      <c r="AT1233" s="35"/>
      <c r="AU1233" s="35"/>
      <c r="AV1233" s="35"/>
      <c r="AW1233" s="35"/>
      <c r="AX1233" s="35"/>
      <c r="AY1233" s="35"/>
      <c r="AZ1233" s="35"/>
      <c r="BA1233" s="35"/>
      <c r="BB1233" s="35"/>
      <c r="BC1233" s="35"/>
      <c r="BD1233" s="35"/>
      <c r="BE1233" s="35"/>
      <c r="BF1233" s="35"/>
      <c r="BG1233" s="35"/>
    </row>
    <row r="1234" ht="15.75" customHeight="1">
      <c r="A1234" s="35"/>
      <c r="B1234" s="35"/>
      <c r="C1234" s="35"/>
      <c r="D1234" s="35"/>
      <c r="E1234" s="35"/>
      <c r="F1234" s="35"/>
      <c r="G1234" s="35"/>
      <c r="H1234" s="35"/>
      <c r="I1234" s="35"/>
      <c r="J1234" s="35"/>
      <c r="K1234" s="35"/>
      <c r="L1234" s="35"/>
      <c r="M1234" s="35"/>
      <c r="N1234" s="35"/>
      <c r="O1234" s="35"/>
      <c r="P1234" s="35"/>
      <c r="Q1234" s="35"/>
      <c r="R1234" s="35"/>
      <c r="S1234" s="35"/>
      <c r="T1234" s="35"/>
      <c r="U1234" s="35"/>
      <c r="V1234" s="35"/>
      <c r="W1234" s="35"/>
      <c r="X1234" s="35"/>
      <c r="Y1234" s="35"/>
      <c r="Z1234" s="35"/>
      <c r="AA1234" s="35"/>
      <c r="AB1234" s="35"/>
      <c r="AC1234" s="35"/>
      <c r="AD1234" s="35"/>
      <c r="AE1234" s="35"/>
      <c r="AF1234" s="35"/>
      <c r="AG1234" s="35"/>
      <c r="AH1234" s="35"/>
      <c r="AI1234" s="35"/>
      <c r="AJ1234" s="35"/>
      <c r="AK1234" s="35"/>
      <c r="AL1234" s="35"/>
      <c r="AM1234" s="35"/>
      <c r="AN1234" s="35"/>
      <c r="AO1234" s="35"/>
      <c r="AP1234" s="35"/>
      <c r="AQ1234" s="35"/>
      <c r="AR1234" s="35"/>
      <c r="AS1234" s="35"/>
      <c r="AT1234" s="35"/>
      <c r="AU1234" s="35"/>
      <c r="AV1234" s="35"/>
      <c r="AW1234" s="35"/>
      <c r="AX1234" s="35"/>
      <c r="AY1234" s="35"/>
      <c r="AZ1234" s="35"/>
      <c r="BA1234" s="35"/>
      <c r="BB1234" s="35"/>
      <c r="BC1234" s="35"/>
      <c r="BD1234" s="35"/>
      <c r="BE1234" s="35"/>
      <c r="BF1234" s="35"/>
      <c r="BG1234" s="35"/>
    </row>
    <row r="1235" ht="15.75" customHeight="1">
      <c r="A1235" s="35"/>
      <c r="B1235" s="35"/>
      <c r="C1235" s="35"/>
      <c r="D1235" s="35"/>
      <c r="E1235" s="35"/>
      <c r="F1235" s="35"/>
      <c r="G1235" s="35"/>
      <c r="H1235" s="35"/>
      <c r="I1235" s="35"/>
      <c r="J1235" s="35"/>
      <c r="K1235" s="35"/>
      <c r="L1235" s="35"/>
      <c r="M1235" s="35"/>
      <c r="N1235" s="35"/>
      <c r="O1235" s="35"/>
      <c r="P1235" s="35"/>
      <c r="Q1235" s="35"/>
      <c r="R1235" s="35"/>
      <c r="S1235" s="35"/>
      <c r="T1235" s="35"/>
      <c r="U1235" s="35"/>
      <c r="V1235" s="35"/>
      <c r="W1235" s="35"/>
      <c r="X1235" s="35"/>
      <c r="Y1235" s="35"/>
      <c r="Z1235" s="35"/>
      <c r="AA1235" s="35"/>
      <c r="AB1235" s="35"/>
      <c r="AC1235" s="35"/>
      <c r="AD1235" s="35"/>
      <c r="AE1235" s="35"/>
      <c r="AF1235" s="35"/>
      <c r="AG1235" s="35"/>
      <c r="AH1235" s="35"/>
      <c r="AI1235" s="35"/>
      <c r="AJ1235" s="35"/>
      <c r="AK1235" s="35"/>
      <c r="AL1235" s="35"/>
      <c r="AM1235" s="35"/>
      <c r="AN1235" s="35"/>
      <c r="AO1235" s="35"/>
      <c r="AP1235" s="35"/>
      <c r="AQ1235" s="35"/>
      <c r="AR1235" s="35"/>
      <c r="AS1235" s="35"/>
      <c r="AT1235" s="35"/>
      <c r="AU1235" s="35"/>
      <c r="AV1235" s="35"/>
      <c r="AW1235" s="35"/>
      <c r="AX1235" s="35"/>
      <c r="AY1235" s="35"/>
      <c r="AZ1235" s="35"/>
      <c r="BA1235" s="35"/>
      <c r="BB1235" s="35"/>
      <c r="BC1235" s="35"/>
      <c r="BD1235" s="35"/>
      <c r="BE1235" s="35"/>
      <c r="BF1235" s="35"/>
      <c r="BG1235" s="35"/>
    </row>
    <row r="1236" ht="15.75" customHeight="1">
      <c r="A1236" s="35"/>
      <c r="B1236" s="35"/>
      <c r="C1236" s="35"/>
      <c r="D1236" s="35"/>
      <c r="E1236" s="35"/>
      <c r="F1236" s="35"/>
      <c r="G1236" s="35"/>
      <c r="H1236" s="35"/>
      <c r="I1236" s="35"/>
      <c r="J1236" s="35"/>
      <c r="K1236" s="35"/>
      <c r="L1236" s="35"/>
      <c r="M1236" s="35"/>
      <c r="N1236" s="35"/>
      <c r="O1236" s="35"/>
      <c r="P1236" s="35"/>
      <c r="Q1236" s="35"/>
      <c r="R1236" s="35"/>
      <c r="S1236" s="35"/>
      <c r="T1236" s="35"/>
      <c r="U1236" s="35"/>
      <c r="V1236" s="35"/>
      <c r="W1236" s="35"/>
      <c r="X1236" s="35"/>
      <c r="Y1236" s="35"/>
      <c r="Z1236" s="35"/>
      <c r="AA1236" s="35"/>
      <c r="AB1236" s="35"/>
      <c r="AC1236" s="35"/>
      <c r="AD1236" s="35"/>
      <c r="AE1236" s="35"/>
      <c r="AF1236" s="35"/>
      <c r="AG1236" s="35"/>
      <c r="AH1236" s="35"/>
      <c r="AI1236" s="35"/>
      <c r="AJ1236" s="35"/>
      <c r="AK1236" s="35"/>
      <c r="AL1236" s="35"/>
      <c r="AM1236" s="35"/>
      <c r="AN1236" s="35"/>
      <c r="AO1236" s="35"/>
      <c r="AP1236" s="35"/>
      <c r="AQ1236" s="35"/>
      <c r="AR1236" s="35"/>
      <c r="AS1236" s="35"/>
      <c r="AT1236" s="35"/>
      <c r="AU1236" s="35"/>
      <c r="AV1236" s="35"/>
      <c r="AW1236" s="35"/>
      <c r="AX1236" s="35"/>
      <c r="AY1236" s="35"/>
      <c r="AZ1236" s="35"/>
      <c r="BA1236" s="35"/>
      <c r="BB1236" s="35"/>
      <c r="BC1236" s="35"/>
      <c r="BD1236" s="35"/>
      <c r="BE1236" s="35"/>
      <c r="BF1236" s="35"/>
      <c r="BG1236" s="35"/>
    </row>
    <row r="1237" ht="15.75" customHeight="1">
      <c r="A1237" s="35"/>
      <c r="B1237" s="35"/>
      <c r="C1237" s="35"/>
      <c r="D1237" s="35"/>
      <c r="E1237" s="35"/>
      <c r="F1237" s="35"/>
      <c r="G1237" s="35"/>
      <c r="H1237" s="35"/>
      <c r="I1237" s="35"/>
      <c r="J1237" s="35"/>
      <c r="K1237" s="35"/>
      <c r="L1237" s="35"/>
      <c r="M1237" s="35"/>
      <c r="N1237" s="35"/>
      <c r="O1237" s="35"/>
      <c r="P1237" s="35"/>
      <c r="Q1237" s="35"/>
      <c r="R1237" s="35"/>
      <c r="S1237" s="35"/>
      <c r="T1237" s="35"/>
      <c r="U1237" s="35"/>
      <c r="V1237" s="35"/>
      <c r="W1237" s="35"/>
      <c r="X1237" s="35"/>
      <c r="Y1237" s="35"/>
      <c r="Z1237" s="35"/>
      <c r="AA1237" s="35"/>
      <c r="AB1237" s="35"/>
      <c r="AC1237" s="35"/>
      <c r="AD1237" s="35"/>
      <c r="AE1237" s="35"/>
      <c r="AF1237" s="35"/>
      <c r="AG1237" s="35"/>
      <c r="AH1237" s="35"/>
      <c r="AI1237" s="35"/>
      <c r="AJ1237" s="35"/>
      <c r="AK1237" s="35"/>
      <c r="AL1237" s="35"/>
      <c r="AM1237" s="35"/>
      <c r="AN1237" s="35"/>
      <c r="AO1237" s="35"/>
      <c r="AP1237" s="35"/>
      <c r="AQ1237" s="35"/>
      <c r="AR1237" s="35"/>
      <c r="AS1237" s="35"/>
      <c r="AT1237" s="35"/>
      <c r="AU1237" s="35"/>
      <c r="AV1237" s="35"/>
      <c r="AW1237" s="35"/>
      <c r="AX1237" s="35"/>
      <c r="AY1237" s="35"/>
      <c r="AZ1237" s="35"/>
      <c r="BA1237" s="35"/>
      <c r="BB1237" s="35"/>
      <c r="BC1237" s="35"/>
      <c r="BD1237" s="35"/>
      <c r="BE1237" s="35"/>
      <c r="BF1237" s="35"/>
      <c r="BG1237" s="35"/>
    </row>
    <row r="1238" ht="15.75" customHeight="1">
      <c r="A1238" s="35"/>
      <c r="B1238" s="35"/>
      <c r="C1238" s="35"/>
      <c r="D1238" s="35"/>
      <c r="E1238" s="35"/>
      <c r="F1238" s="35"/>
      <c r="G1238" s="35"/>
      <c r="H1238" s="35"/>
      <c r="I1238" s="35"/>
      <c r="J1238" s="35"/>
      <c r="K1238" s="35"/>
      <c r="L1238" s="35"/>
      <c r="M1238" s="35"/>
      <c r="N1238" s="35"/>
      <c r="O1238" s="35"/>
      <c r="P1238" s="35"/>
      <c r="Q1238" s="35"/>
      <c r="R1238" s="35"/>
      <c r="S1238" s="35"/>
      <c r="T1238" s="35"/>
      <c r="U1238" s="35"/>
      <c r="V1238" s="35"/>
      <c r="W1238" s="35"/>
      <c r="X1238" s="35"/>
      <c r="Y1238" s="35"/>
      <c r="Z1238" s="35"/>
      <c r="AA1238" s="35"/>
      <c r="AB1238" s="35"/>
      <c r="AC1238" s="35"/>
      <c r="AD1238" s="35"/>
      <c r="AE1238" s="35"/>
      <c r="AF1238" s="35"/>
      <c r="AG1238" s="35"/>
      <c r="AH1238" s="35"/>
      <c r="AI1238" s="35"/>
      <c r="AJ1238" s="35"/>
      <c r="AK1238" s="35"/>
      <c r="AL1238" s="35"/>
      <c r="AM1238" s="35"/>
      <c r="AN1238" s="35"/>
      <c r="AO1238" s="35"/>
      <c r="AP1238" s="35"/>
      <c r="AQ1238" s="35"/>
      <c r="AR1238" s="35"/>
      <c r="AS1238" s="35"/>
      <c r="AT1238" s="35"/>
      <c r="AU1238" s="35"/>
      <c r="AV1238" s="35"/>
      <c r="AW1238" s="35"/>
      <c r="AX1238" s="35"/>
      <c r="AY1238" s="35"/>
      <c r="AZ1238" s="35"/>
      <c r="BA1238" s="35"/>
      <c r="BB1238" s="35"/>
      <c r="BC1238" s="35"/>
      <c r="BD1238" s="35"/>
      <c r="BE1238" s="35"/>
      <c r="BF1238" s="35"/>
      <c r="BG1238" s="35"/>
    </row>
    <row r="1239" ht="15.75" customHeight="1">
      <c r="A1239" s="35"/>
      <c r="B1239" s="35"/>
      <c r="C1239" s="35"/>
      <c r="D1239" s="35"/>
      <c r="E1239" s="35"/>
      <c r="F1239" s="35"/>
      <c r="G1239" s="35"/>
      <c r="H1239" s="35"/>
      <c r="I1239" s="35"/>
      <c r="J1239" s="35"/>
      <c r="K1239" s="35"/>
      <c r="L1239" s="35"/>
      <c r="M1239" s="35"/>
      <c r="N1239" s="35"/>
      <c r="O1239" s="35"/>
      <c r="P1239" s="35"/>
      <c r="Q1239" s="35"/>
      <c r="R1239" s="35"/>
      <c r="S1239" s="35"/>
      <c r="T1239" s="35"/>
      <c r="U1239" s="35"/>
      <c r="V1239" s="35"/>
      <c r="W1239" s="35"/>
      <c r="X1239" s="35"/>
      <c r="Y1239" s="35"/>
      <c r="Z1239" s="35"/>
      <c r="AA1239" s="35"/>
      <c r="AB1239" s="35"/>
      <c r="AC1239" s="35"/>
      <c r="AD1239" s="35"/>
      <c r="AE1239" s="35"/>
      <c r="AF1239" s="35"/>
      <c r="AG1239" s="35"/>
      <c r="AH1239" s="35"/>
      <c r="AI1239" s="35"/>
      <c r="AJ1239" s="35"/>
      <c r="AK1239" s="35"/>
      <c r="AL1239" s="35"/>
      <c r="AM1239" s="35"/>
      <c r="AN1239" s="35"/>
      <c r="AO1239" s="35"/>
      <c r="AP1239" s="35"/>
      <c r="AQ1239" s="35"/>
      <c r="AR1239" s="35"/>
      <c r="AS1239" s="35"/>
      <c r="AT1239" s="35"/>
      <c r="AU1239" s="35"/>
      <c r="AV1239" s="35"/>
      <c r="AW1239" s="35"/>
      <c r="AX1239" s="35"/>
      <c r="AY1239" s="35"/>
      <c r="AZ1239" s="35"/>
      <c r="BA1239" s="35"/>
      <c r="BB1239" s="35"/>
      <c r="BC1239" s="35"/>
      <c r="BD1239" s="35"/>
      <c r="BE1239" s="35"/>
      <c r="BF1239" s="35"/>
      <c r="BG1239" s="35"/>
    </row>
    <row r="1240" ht="15.75" customHeight="1">
      <c r="A1240" s="35"/>
      <c r="B1240" s="35"/>
      <c r="C1240" s="35"/>
      <c r="D1240" s="35"/>
      <c r="E1240" s="35"/>
      <c r="F1240" s="35"/>
      <c r="G1240" s="35"/>
      <c r="H1240" s="35"/>
      <c r="I1240" s="35"/>
      <c r="J1240" s="35"/>
      <c r="K1240" s="35"/>
      <c r="L1240" s="35"/>
      <c r="M1240" s="35"/>
      <c r="N1240" s="35"/>
      <c r="O1240" s="35"/>
      <c r="P1240" s="35"/>
      <c r="Q1240" s="35"/>
      <c r="R1240" s="35"/>
      <c r="S1240" s="35"/>
      <c r="T1240" s="35"/>
      <c r="U1240" s="35"/>
      <c r="V1240" s="35"/>
      <c r="W1240" s="35"/>
      <c r="X1240" s="35"/>
      <c r="Y1240" s="35"/>
      <c r="Z1240" s="35"/>
      <c r="AA1240" s="35"/>
      <c r="AB1240" s="35"/>
      <c r="AC1240" s="35"/>
      <c r="AD1240" s="35"/>
      <c r="AE1240" s="35"/>
      <c r="AF1240" s="35"/>
      <c r="AG1240" s="35"/>
      <c r="AH1240" s="35"/>
      <c r="AI1240" s="35"/>
      <c r="AJ1240" s="35"/>
      <c r="AK1240" s="35"/>
      <c r="AL1240" s="35"/>
      <c r="AM1240" s="35"/>
      <c r="AN1240" s="35"/>
      <c r="AO1240" s="35"/>
      <c r="AP1240" s="35"/>
      <c r="AQ1240" s="35"/>
      <c r="AR1240" s="35"/>
      <c r="AS1240" s="35"/>
      <c r="AT1240" s="35"/>
      <c r="AU1240" s="35"/>
      <c r="AV1240" s="35"/>
      <c r="AW1240" s="35"/>
      <c r="AX1240" s="35"/>
      <c r="AY1240" s="35"/>
      <c r="AZ1240" s="35"/>
      <c r="BA1240" s="35"/>
      <c r="BB1240" s="35"/>
      <c r="BC1240" s="35"/>
      <c r="BD1240" s="35"/>
      <c r="BE1240" s="35"/>
      <c r="BF1240" s="35"/>
      <c r="BG1240" s="35"/>
    </row>
    <row r="1241" ht="15.75" customHeight="1">
      <c r="A1241" s="35"/>
      <c r="B1241" s="35"/>
      <c r="C1241" s="35"/>
      <c r="D1241" s="35"/>
      <c r="E1241" s="35"/>
      <c r="F1241" s="35"/>
      <c r="G1241" s="35"/>
      <c r="H1241" s="35"/>
      <c r="I1241" s="35"/>
      <c r="J1241" s="35"/>
      <c r="K1241" s="35"/>
      <c r="L1241" s="35"/>
      <c r="M1241" s="35"/>
      <c r="N1241" s="35"/>
      <c r="O1241" s="35"/>
      <c r="P1241" s="35"/>
      <c r="Q1241" s="35"/>
      <c r="R1241" s="35"/>
      <c r="S1241" s="35"/>
      <c r="T1241" s="35"/>
      <c r="U1241" s="35"/>
      <c r="V1241" s="35"/>
      <c r="W1241" s="35"/>
      <c r="X1241" s="35"/>
      <c r="Y1241" s="35"/>
      <c r="Z1241" s="35"/>
      <c r="AA1241" s="35"/>
      <c r="AB1241" s="35"/>
      <c r="AC1241" s="35"/>
      <c r="AD1241" s="35"/>
      <c r="AE1241" s="35"/>
      <c r="AF1241" s="35"/>
      <c r="AG1241" s="35"/>
      <c r="AH1241" s="35"/>
      <c r="AI1241" s="35"/>
      <c r="AJ1241" s="35"/>
      <c r="AK1241" s="35"/>
      <c r="AL1241" s="35"/>
      <c r="AM1241" s="35"/>
      <c r="AN1241" s="35"/>
      <c r="AO1241" s="35"/>
      <c r="AP1241" s="35"/>
      <c r="AQ1241" s="35"/>
      <c r="AR1241" s="35"/>
      <c r="AS1241" s="35"/>
      <c r="AT1241" s="35"/>
      <c r="AU1241" s="35"/>
      <c r="AV1241" s="35"/>
      <c r="AW1241" s="35"/>
      <c r="AX1241" s="35"/>
      <c r="AY1241" s="35"/>
      <c r="AZ1241" s="35"/>
      <c r="BA1241" s="35"/>
      <c r="BB1241" s="35"/>
      <c r="BC1241" s="35"/>
      <c r="BD1241" s="35"/>
      <c r="BE1241" s="35"/>
      <c r="BF1241" s="35"/>
      <c r="BG1241" s="35"/>
    </row>
    <row r="1242" ht="15.75" customHeight="1">
      <c r="A1242" s="35"/>
      <c r="B1242" s="35"/>
      <c r="C1242" s="35"/>
      <c r="D1242" s="35"/>
      <c r="E1242" s="35"/>
      <c r="F1242" s="35"/>
      <c r="G1242" s="35"/>
      <c r="H1242" s="35"/>
      <c r="I1242" s="35"/>
      <c r="J1242" s="35"/>
      <c r="K1242" s="35"/>
      <c r="L1242" s="35"/>
      <c r="M1242" s="35"/>
      <c r="N1242" s="35"/>
      <c r="O1242" s="35"/>
      <c r="P1242" s="35"/>
      <c r="Q1242" s="35"/>
      <c r="R1242" s="35"/>
      <c r="S1242" s="35"/>
      <c r="T1242" s="35"/>
      <c r="U1242" s="35"/>
      <c r="V1242" s="35"/>
      <c r="W1242" s="35"/>
      <c r="X1242" s="35"/>
      <c r="Y1242" s="35"/>
      <c r="Z1242" s="35"/>
      <c r="AA1242" s="35"/>
      <c r="AB1242" s="35"/>
      <c r="AC1242" s="35"/>
      <c r="AD1242" s="35"/>
      <c r="AE1242" s="35"/>
      <c r="AF1242" s="35"/>
      <c r="AG1242" s="35"/>
      <c r="AH1242" s="35"/>
      <c r="AI1242" s="35"/>
      <c r="AJ1242" s="35"/>
      <c r="AK1242" s="35"/>
      <c r="AL1242" s="35"/>
      <c r="AM1242" s="35"/>
      <c r="AN1242" s="35"/>
      <c r="AO1242" s="35"/>
      <c r="AP1242" s="35"/>
      <c r="AQ1242" s="35"/>
      <c r="AR1242" s="35"/>
      <c r="AS1242" s="35"/>
      <c r="AT1242" s="35"/>
      <c r="AU1242" s="35"/>
      <c r="AV1242" s="35"/>
      <c r="AW1242" s="35"/>
      <c r="AX1242" s="35"/>
      <c r="AY1242" s="35"/>
      <c r="AZ1242" s="35"/>
      <c r="BA1242" s="35"/>
      <c r="BB1242" s="35"/>
      <c r="BC1242" s="35"/>
      <c r="BD1242" s="35"/>
      <c r="BE1242" s="35"/>
      <c r="BF1242" s="35"/>
      <c r="BG1242" s="35"/>
    </row>
    <row r="1243" ht="15.75" customHeight="1">
      <c r="A1243" s="35"/>
      <c r="B1243" s="35"/>
      <c r="C1243" s="35"/>
      <c r="D1243" s="35"/>
      <c r="E1243" s="35"/>
      <c r="F1243" s="35"/>
      <c r="G1243" s="35"/>
      <c r="H1243" s="35"/>
      <c r="I1243" s="35"/>
      <c r="J1243" s="35"/>
      <c r="K1243" s="35"/>
      <c r="L1243" s="35"/>
      <c r="M1243" s="35"/>
      <c r="N1243" s="35"/>
      <c r="O1243" s="35"/>
      <c r="P1243" s="35"/>
      <c r="Q1243" s="35"/>
      <c r="R1243" s="35"/>
      <c r="S1243" s="35"/>
      <c r="T1243" s="35"/>
      <c r="U1243" s="35"/>
      <c r="V1243" s="35"/>
      <c r="W1243" s="35"/>
      <c r="X1243" s="35"/>
      <c r="Y1243" s="35"/>
      <c r="Z1243" s="35"/>
      <c r="AA1243" s="35"/>
      <c r="AB1243" s="35"/>
      <c r="AC1243" s="35"/>
      <c r="AD1243" s="35"/>
      <c r="AE1243" s="35"/>
      <c r="AF1243" s="35"/>
      <c r="AG1243" s="35"/>
      <c r="AH1243" s="35"/>
      <c r="AI1243" s="35"/>
      <c r="AJ1243" s="35"/>
      <c r="AK1243" s="35"/>
      <c r="AL1243" s="35"/>
      <c r="AM1243" s="35"/>
      <c r="AN1243" s="35"/>
      <c r="AO1243" s="35"/>
      <c r="AP1243" s="35"/>
      <c r="AQ1243" s="35"/>
      <c r="AR1243" s="35"/>
      <c r="AS1243" s="35"/>
      <c r="AT1243" s="35"/>
      <c r="AU1243" s="35"/>
      <c r="AV1243" s="35"/>
      <c r="AW1243" s="35"/>
      <c r="AX1243" s="35"/>
      <c r="AY1243" s="35"/>
      <c r="AZ1243" s="35"/>
      <c r="BA1243" s="35"/>
      <c r="BB1243" s="35"/>
      <c r="BC1243" s="35"/>
      <c r="BD1243" s="35"/>
      <c r="BE1243" s="35"/>
      <c r="BF1243" s="35"/>
      <c r="BG1243" s="35"/>
    </row>
    <row r="1244" ht="15.75" customHeight="1">
      <c r="A1244" s="35"/>
      <c r="B1244" s="35"/>
      <c r="C1244" s="35"/>
      <c r="D1244" s="35"/>
      <c r="E1244" s="35"/>
      <c r="F1244" s="35"/>
      <c r="G1244" s="35"/>
      <c r="H1244" s="35"/>
      <c r="I1244" s="35"/>
      <c r="J1244" s="35"/>
      <c r="K1244" s="35"/>
      <c r="L1244" s="35"/>
      <c r="M1244" s="35"/>
      <c r="N1244" s="35"/>
      <c r="O1244" s="35"/>
      <c r="P1244" s="35"/>
      <c r="Q1244" s="35"/>
      <c r="R1244" s="35"/>
      <c r="S1244" s="35"/>
      <c r="T1244" s="35"/>
      <c r="U1244" s="35"/>
      <c r="V1244" s="35"/>
      <c r="W1244" s="35"/>
      <c r="X1244" s="35"/>
      <c r="Y1244" s="35"/>
      <c r="Z1244" s="35"/>
      <c r="AA1244" s="35"/>
      <c r="AB1244" s="35"/>
      <c r="AC1244" s="35"/>
      <c r="AD1244" s="35"/>
      <c r="AE1244" s="35"/>
      <c r="AF1244" s="35"/>
      <c r="AG1244" s="35"/>
      <c r="AH1244" s="35"/>
      <c r="AI1244" s="35"/>
      <c r="AJ1244" s="35"/>
      <c r="AK1244" s="35"/>
      <c r="AL1244" s="35"/>
      <c r="AM1244" s="35"/>
      <c r="AN1244" s="35"/>
      <c r="AO1244" s="35"/>
      <c r="AP1244" s="35"/>
      <c r="AQ1244" s="35"/>
      <c r="AR1244" s="35"/>
      <c r="AS1244" s="35"/>
      <c r="AT1244" s="35"/>
      <c r="AU1244" s="35"/>
      <c r="AV1244" s="35"/>
      <c r="AW1244" s="35"/>
      <c r="AX1244" s="35"/>
      <c r="AY1244" s="35"/>
      <c r="AZ1244" s="35"/>
      <c r="BA1244" s="35"/>
      <c r="BB1244" s="35"/>
      <c r="BC1244" s="35"/>
      <c r="BD1244" s="35"/>
      <c r="BE1244" s="35"/>
      <c r="BF1244" s="35"/>
      <c r="BG1244" s="35"/>
    </row>
    <row r="1245" ht="15.75" customHeight="1">
      <c r="A1245" s="35"/>
      <c r="B1245" s="35"/>
      <c r="C1245" s="35"/>
      <c r="D1245" s="35"/>
      <c r="E1245" s="35"/>
      <c r="F1245" s="35"/>
      <c r="G1245" s="35"/>
      <c r="H1245" s="35"/>
      <c r="I1245" s="35"/>
      <c r="J1245" s="35"/>
      <c r="K1245" s="35"/>
      <c r="L1245" s="35"/>
      <c r="M1245" s="35"/>
      <c r="N1245" s="35"/>
      <c r="O1245" s="35"/>
      <c r="P1245" s="35"/>
      <c r="Q1245" s="35"/>
      <c r="R1245" s="35"/>
      <c r="S1245" s="35"/>
      <c r="T1245" s="35"/>
      <c r="U1245" s="35"/>
      <c r="V1245" s="35"/>
      <c r="W1245" s="35"/>
      <c r="X1245" s="35"/>
      <c r="Y1245" s="35"/>
      <c r="Z1245" s="35"/>
      <c r="AA1245" s="35"/>
      <c r="AB1245" s="35"/>
      <c r="AC1245" s="35"/>
      <c r="AD1245" s="35"/>
      <c r="AE1245" s="35"/>
      <c r="AF1245" s="35"/>
      <c r="AG1245" s="35"/>
      <c r="AH1245" s="35"/>
      <c r="AI1245" s="35"/>
      <c r="AJ1245" s="35"/>
      <c r="AK1245" s="35"/>
      <c r="AL1245" s="35"/>
      <c r="AM1245" s="35"/>
      <c r="AN1245" s="35"/>
      <c r="AO1245" s="35"/>
      <c r="AP1245" s="35"/>
      <c r="AQ1245" s="35"/>
      <c r="AR1245" s="35"/>
      <c r="AS1245" s="35"/>
      <c r="AT1245" s="35"/>
      <c r="AU1245" s="35"/>
      <c r="AV1245" s="35"/>
      <c r="AW1245" s="35"/>
      <c r="AX1245" s="35"/>
      <c r="AY1245" s="35"/>
      <c r="AZ1245" s="35"/>
      <c r="BA1245" s="35"/>
      <c r="BB1245" s="35"/>
      <c r="BC1245" s="35"/>
      <c r="BD1245" s="35"/>
      <c r="BE1245" s="35"/>
      <c r="BF1245" s="35"/>
      <c r="BG1245" s="35"/>
    </row>
    <row r="1246" ht="15.75" customHeight="1">
      <c r="A1246" s="35"/>
      <c r="B1246" s="35"/>
      <c r="C1246" s="35"/>
      <c r="D1246" s="35"/>
      <c r="E1246" s="35"/>
      <c r="F1246" s="35"/>
      <c r="G1246" s="35"/>
      <c r="H1246" s="35"/>
      <c r="I1246" s="35"/>
      <c r="J1246" s="35"/>
      <c r="K1246" s="35"/>
      <c r="L1246" s="35"/>
      <c r="M1246" s="35"/>
      <c r="N1246" s="35"/>
      <c r="O1246" s="35"/>
      <c r="P1246" s="35"/>
      <c r="Q1246" s="35"/>
      <c r="R1246" s="35"/>
      <c r="S1246" s="35"/>
      <c r="T1246" s="35"/>
      <c r="U1246" s="35"/>
      <c r="V1246" s="35"/>
      <c r="W1246" s="35"/>
      <c r="X1246" s="35"/>
      <c r="Y1246" s="35"/>
      <c r="Z1246" s="35"/>
      <c r="AA1246" s="35"/>
      <c r="AB1246" s="35"/>
      <c r="AC1246" s="35"/>
      <c r="AD1246" s="35"/>
      <c r="AE1246" s="35"/>
      <c r="AF1246" s="35"/>
      <c r="AG1246" s="35"/>
      <c r="AH1246" s="35"/>
      <c r="AI1246" s="35"/>
      <c r="AJ1246" s="35"/>
      <c r="AK1246" s="35"/>
      <c r="AL1246" s="35"/>
      <c r="AM1246" s="35"/>
      <c r="AN1246" s="35"/>
      <c r="AO1246" s="35"/>
      <c r="AP1246" s="35"/>
      <c r="AQ1246" s="35"/>
      <c r="AR1246" s="35"/>
      <c r="AS1246" s="35"/>
      <c r="AT1246" s="35"/>
      <c r="AU1246" s="35"/>
      <c r="AV1246" s="35"/>
      <c r="AW1246" s="35"/>
      <c r="AX1246" s="35"/>
      <c r="AY1246" s="35"/>
      <c r="AZ1246" s="35"/>
      <c r="BA1246" s="35"/>
      <c r="BB1246" s="35"/>
      <c r="BC1246" s="35"/>
      <c r="BD1246" s="35"/>
      <c r="BE1246" s="35"/>
      <c r="BF1246" s="35"/>
      <c r="BG1246" s="35"/>
    </row>
    <row r="1247" ht="15.75" customHeight="1">
      <c r="A1247" s="35"/>
      <c r="B1247" s="35"/>
      <c r="C1247" s="35"/>
      <c r="D1247" s="35"/>
      <c r="E1247" s="35"/>
      <c r="F1247" s="35"/>
      <c r="G1247" s="35"/>
      <c r="H1247" s="35"/>
      <c r="I1247" s="35"/>
      <c r="J1247" s="35"/>
      <c r="K1247" s="35"/>
      <c r="L1247" s="35"/>
      <c r="M1247" s="35"/>
      <c r="N1247" s="35"/>
      <c r="O1247" s="35"/>
      <c r="P1247" s="35"/>
      <c r="Q1247" s="35"/>
      <c r="R1247" s="35"/>
      <c r="S1247" s="35"/>
      <c r="T1247" s="35"/>
      <c r="U1247" s="35"/>
      <c r="V1247" s="35"/>
      <c r="W1247" s="35"/>
      <c r="X1247" s="35"/>
      <c r="Y1247" s="35"/>
      <c r="Z1247" s="35"/>
      <c r="AA1247" s="35"/>
      <c r="AB1247" s="35"/>
      <c r="AC1247" s="35"/>
      <c r="AD1247" s="35"/>
      <c r="AE1247" s="35"/>
      <c r="AF1247" s="35"/>
      <c r="AG1247" s="35"/>
      <c r="AH1247" s="35"/>
      <c r="AI1247" s="35"/>
      <c r="AJ1247" s="35"/>
      <c r="AK1247" s="35"/>
      <c r="AL1247" s="35"/>
      <c r="AM1247" s="35"/>
      <c r="AN1247" s="35"/>
      <c r="AO1247" s="35"/>
      <c r="AP1247" s="35"/>
      <c r="AQ1247" s="35"/>
      <c r="AR1247" s="35"/>
      <c r="AS1247" s="35"/>
      <c r="AT1247" s="35"/>
      <c r="AU1247" s="35"/>
      <c r="AV1247" s="35"/>
      <c r="AW1247" s="35"/>
      <c r="AX1247" s="35"/>
      <c r="AY1247" s="35"/>
      <c r="AZ1247" s="35"/>
      <c r="BA1247" s="35"/>
      <c r="BB1247" s="35"/>
      <c r="BC1247" s="35"/>
      <c r="BD1247" s="35"/>
      <c r="BE1247" s="35"/>
      <c r="BF1247" s="35"/>
      <c r="BG1247" s="35"/>
    </row>
    <row r="1248" ht="15.75" customHeight="1">
      <c r="A1248" s="35"/>
      <c r="B1248" s="35"/>
      <c r="C1248" s="35"/>
      <c r="D1248" s="35"/>
      <c r="E1248" s="35"/>
      <c r="F1248" s="35"/>
      <c r="G1248" s="35"/>
      <c r="H1248" s="35"/>
      <c r="I1248" s="35"/>
      <c r="J1248" s="35"/>
      <c r="K1248" s="35"/>
      <c r="L1248" s="35"/>
      <c r="M1248" s="35"/>
      <c r="N1248" s="35"/>
      <c r="O1248" s="35"/>
      <c r="P1248" s="35"/>
      <c r="Q1248" s="35"/>
      <c r="R1248" s="35"/>
      <c r="S1248" s="35"/>
      <c r="T1248" s="35"/>
      <c r="U1248" s="35"/>
      <c r="V1248" s="35"/>
      <c r="W1248" s="35"/>
      <c r="X1248" s="35"/>
      <c r="Y1248" s="35"/>
      <c r="Z1248" s="35"/>
      <c r="AA1248" s="35"/>
      <c r="AB1248" s="35"/>
      <c r="AC1248" s="35"/>
      <c r="AD1248" s="35"/>
      <c r="AE1248" s="35"/>
      <c r="AF1248" s="35"/>
      <c r="AG1248" s="35"/>
      <c r="AH1248" s="35"/>
      <c r="AI1248" s="35"/>
      <c r="AJ1248" s="35"/>
      <c r="AK1248" s="35"/>
      <c r="AL1248" s="35"/>
      <c r="AM1248" s="35"/>
      <c r="AN1248" s="35"/>
      <c r="AO1248" s="35"/>
      <c r="AP1248" s="35"/>
      <c r="AQ1248" s="35"/>
      <c r="AR1248" s="35"/>
      <c r="AS1248" s="35"/>
      <c r="AT1248" s="35"/>
      <c r="AU1248" s="35"/>
      <c r="AV1248" s="35"/>
      <c r="AW1248" s="35"/>
      <c r="AX1248" s="35"/>
      <c r="AY1248" s="35"/>
      <c r="AZ1248" s="35"/>
      <c r="BA1248" s="35"/>
      <c r="BB1248" s="35"/>
      <c r="BC1248" s="35"/>
      <c r="BD1248" s="35"/>
      <c r="BE1248" s="35"/>
      <c r="BF1248" s="35"/>
      <c r="BG1248" s="35"/>
    </row>
    <row r="1249" ht="15.75" customHeight="1">
      <c r="A1249" s="35"/>
      <c r="B1249" s="35"/>
      <c r="C1249" s="35"/>
      <c r="D1249" s="35"/>
      <c r="E1249" s="35"/>
      <c r="F1249" s="35"/>
      <c r="G1249" s="35"/>
      <c r="H1249" s="35"/>
      <c r="I1249" s="35"/>
      <c r="J1249" s="35"/>
      <c r="K1249" s="35"/>
      <c r="L1249" s="35"/>
      <c r="M1249" s="35"/>
      <c r="N1249" s="35"/>
      <c r="O1249" s="35"/>
      <c r="P1249" s="35"/>
      <c r="Q1249" s="35"/>
      <c r="R1249" s="35"/>
      <c r="S1249" s="35"/>
      <c r="T1249" s="35"/>
      <c r="U1249" s="35"/>
      <c r="V1249" s="35"/>
      <c r="W1249" s="35"/>
      <c r="X1249" s="35"/>
      <c r="Y1249" s="35"/>
      <c r="Z1249" s="35"/>
      <c r="AA1249" s="35"/>
      <c r="AB1249" s="35"/>
      <c r="AC1249" s="35"/>
      <c r="AD1249" s="35"/>
      <c r="AE1249" s="35"/>
      <c r="AF1249" s="35"/>
      <c r="AG1249" s="35"/>
      <c r="AH1249" s="35"/>
      <c r="AI1249" s="35"/>
      <c r="AJ1249" s="35"/>
      <c r="AK1249" s="35"/>
      <c r="AL1249" s="35"/>
      <c r="AM1249" s="35"/>
      <c r="AN1249" s="35"/>
      <c r="AO1249" s="35"/>
      <c r="AP1249" s="35"/>
      <c r="AQ1249" s="35"/>
      <c r="AR1249" s="35"/>
      <c r="AS1249" s="35"/>
      <c r="AT1249" s="35"/>
      <c r="AU1249" s="35"/>
      <c r="AV1249" s="35"/>
      <c r="AW1249" s="35"/>
      <c r="AX1249" s="35"/>
      <c r="AY1249" s="35"/>
      <c r="AZ1249" s="35"/>
      <c r="BA1249" s="35"/>
      <c r="BB1249" s="35"/>
      <c r="BC1249" s="35"/>
      <c r="BD1249" s="35"/>
      <c r="BE1249" s="35"/>
      <c r="BF1249" s="35"/>
      <c r="BG1249" s="35"/>
    </row>
    <row r="1250" ht="15.75" customHeight="1">
      <c r="A1250" s="35"/>
      <c r="B1250" s="35"/>
      <c r="C1250" s="35"/>
      <c r="D1250" s="35"/>
      <c r="E1250" s="35"/>
      <c r="F1250" s="35"/>
      <c r="G1250" s="35"/>
      <c r="H1250" s="35"/>
      <c r="I1250" s="35"/>
      <c r="J1250" s="35"/>
      <c r="K1250" s="35"/>
      <c r="L1250" s="35"/>
      <c r="M1250" s="35"/>
      <c r="N1250" s="35"/>
      <c r="O1250" s="35"/>
      <c r="P1250" s="35"/>
      <c r="Q1250" s="35"/>
      <c r="R1250" s="35"/>
      <c r="S1250" s="35"/>
      <c r="T1250" s="35"/>
      <c r="U1250" s="35"/>
      <c r="V1250" s="35"/>
      <c r="W1250" s="35"/>
      <c r="X1250" s="35"/>
      <c r="Y1250" s="35"/>
      <c r="Z1250" s="35"/>
      <c r="AA1250" s="35"/>
      <c r="AB1250" s="35"/>
      <c r="AC1250" s="35"/>
      <c r="AD1250" s="35"/>
      <c r="AE1250" s="35"/>
      <c r="AF1250" s="35"/>
      <c r="AG1250" s="35"/>
      <c r="AH1250" s="35"/>
      <c r="AI1250" s="35"/>
      <c r="AJ1250" s="35"/>
      <c r="AK1250" s="35"/>
      <c r="AL1250" s="35"/>
      <c r="AM1250" s="35"/>
      <c r="AN1250" s="35"/>
      <c r="AO1250" s="35"/>
      <c r="AP1250" s="35"/>
      <c r="AQ1250" s="35"/>
      <c r="AR1250" s="35"/>
      <c r="AS1250" s="35"/>
      <c r="AT1250" s="35"/>
      <c r="AU1250" s="35"/>
      <c r="AV1250" s="35"/>
      <c r="AW1250" s="35"/>
      <c r="AX1250" s="35"/>
      <c r="AY1250" s="35"/>
      <c r="AZ1250" s="35"/>
      <c r="BA1250" s="35"/>
      <c r="BB1250" s="35"/>
      <c r="BC1250" s="35"/>
      <c r="BD1250" s="35"/>
      <c r="BE1250" s="35"/>
      <c r="BF1250" s="35"/>
      <c r="BG1250" s="35"/>
    </row>
    <row r="1251" ht="15.75" customHeight="1">
      <c r="A1251" s="35"/>
      <c r="B1251" s="35"/>
      <c r="C1251" s="35"/>
      <c r="D1251" s="35"/>
      <c r="E1251" s="35"/>
      <c r="F1251" s="35"/>
      <c r="G1251" s="35"/>
      <c r="H1251" s="35"/>
      <c r="I1251" s="35"/>
      <c r="J1251" s="35"/>
      <c r="K1251" s="35"/>
      <c r="L1251" s="35"/>
      <c r="M1251" s="35"/>
      <c r="N1251" s="35"/>
      <c r="O1251" s="35"/>
      <c r="P1251" s="35"/>
      <c r="Q1251" s="35"/>
      <c r="R1251" s="35"/>
      <c r="S1251" s="35"/>
      <c r="T1251" s="35"/>
      <c r="U1251" s="35"/>
      <c r="V1251" s="35"/>
      <c r="W1251" s="35"/>
      <c r="X1251" s="35"/>
      <c r="Y1251" s="35"/>
      <c r="Z1251" s="35"/>
      <c r="AA1251" s="35"/>
      <c r="AB1251" s="35"/>
      <c r="AC1251" s="35"/>
      <c r="AD1251" s="35"/>
      <c r="AE1251" s="35"/>
      <c r="AF1251" s="35"/>
      <c r="AG1251" s="35"/>
      <c r="AH1251" s="35"/>
      <c r="AI1251" s="35"/>
      <c r="AJ1251" s="35"/>
      <c r="AK1251" s="35"/>
      <c r="AL1251" s="35"/>
      <c r="AM1251" s="35"/>
      <c r="AN1251" s="35"/>
      <c r="AO1251" s="35"/>
      <c r="AP1251" s="35"/>
      <c r="AQ1251" s="35"/>
      <c r="AR1251" s="35"/>
      <c r="AS1251" s="35"/>
      <c r="AT1251" s="35"/>
      <c r="AU1251" s="35"/>
      <c r="AV1251" s="35"/>
      <c r="AW1251" s="35"/>
      <c r="AX1251" s="35"/>
      <c r="AY1251" s="35"/>
      <c r="AZ1251" s="35"/>
      <c r="BA1251" s="35"/>
      <c r="BB1251" s="35"/>
      <c r="BC1251" s="35"/>
      <c r="BD1251" s="35"/>
      <c r="BE1251" s="35"/>
      <c r="BF1251" s="35"/>
      <c r="BG1251" s="35"/>
    </row>
    <row r="1252" ht="15.75" customHeight="1">
      <c r="A1252" s="35"/>
      <c r="B1252" s="35"/>
      <c r="C1252" s="35"/>
      <c r="D1252" s="35"/>
      <c r="E1252" s="35"/>
      <c r="F1252" s="35"/>
      <c r="G1252" s="35"/>
      <c r="H1252" s="35"/>
      <c r="I1252" s="35"/>
      <c r="J1252" s="35"/>
      <c r="K1252" s="35"/>
      <c r="L1252" s="35"/>
      <c r="M1252" s="35"/>
      <c r="N1252" s="35"/>
      <c r="O1252" s="35"/>
      <c r="P1252" s="35"/>
      <c r="Q1252" s="35"/>
      <c r="R1252" s="35"/>
      <c r="S1252" s="35"/>
      <c r="T1252" s="35"/>
      <c r="U1252" s="35"/>
      <c r="V1252" s="35"/>
      <c r="W1252" s="35"/>
      <c r="X1252" s="35"/>
      <c r="Y1252" s="35"/>
      <c r="Z1252" s="35"/>
      <c r="AA1252" s="35"/>
      <c r="AB1252" s="35"/>
      <c r="AC1252" s="35"/>
      <c r="AD1252" s="35"/>
      <c r="AE1252" s="35"/>
      <c r="AF1252" s="35"/>
      <c r="AG1252" s="35"/>
      <c r="AH1252" s="35"/>
      <c r="AI1252" s="35"/>
      <c r="AJ1252" s="35"/>
      <c r="AK1252" s="35"/>
      <c r="AL1252" s="35"/>
      <c r="AM1252" s="35"/>
      <c r="AN1252" s="35"/>
      <c r="AO1252" s="35"/>
      <c r="AP1252" s="35"/>
      <c r="AQ1252" s="35"/>
      <c r="AR1252" s="35"/>
      <c r="AS1252" s="35"/>
      <c r="AT1252" s="35"/>
      <c r="AU1252" s="35"/>
      <c r="AV1252" s="35"/>
      <c r="AW1252" s="35"/>
      <c r="AX1252" s="35"/>
      <c r="AY1252" s="35"/>
      <c r="AZ1252" s="35"/>
      <c r="BA1252" s="35"/>
      <c r="BB1252" s="35"/>
      <c r="BC1252" s="35"/>
      <c r="BD1252" s="35"/>
      <c r="BE1252" s="35"/>
      <c r="BF1252" s="35"/>
      <c r="BG1252" s="35"/>
    </row>
    <row r="1253" ht="15.75" customHeight="1">
      <c r="A1253" s="35"/>
      <c r="B1253" s="35"/>
      <c r="C1253" s="35"/>
      <c r="D1253" s="35"/>
      <c r="E1253" s="35"/>
      <c r="F1253" s="35"/>
      <c r="G1253" s="35"/>
      <c r="H1253" s="35"/>
      <c r="I1253" s="35"/>
      <c r="J1253" s="35"/>
      <c r="K1253" s="35"/>
      <c r="L1253" s="35"/>
      <c r="M1253" s="35"/>
      <c r="N1253" s="35"/>
      <c r="O1253" s="35"/>
      <c r="P1253" s="35"/>
      <c r="Q1253" s="35"/>
      <c r="R1253" s="35"/>
      <c r="S1253" s="35"/>
      <c r="T1253" s="35"/>
      <c r="U1253" s="35"/>
      <c r="V1253" s="35"/>
      <c r="W1253" s="35"/>
      <c r="X1253" s="35"/>
      <c r="Y1253" s="35"/>
      <c r="Z1253" s="35"/>
      <c r="AA1253" s="35"/>
      <c r="AB1253" s="35"/>
      <c r="AC1253" s="35"/>
      <c r="AD1253" s="35"/>
      <c r="AE1253" s="35"/>
      <c r="AF1253" s="35"/>
      <c r="AG1253" s="35"/>
      <c r="AH1253" s="35"/>
      <c r="AI1253" s="35"/>
      <c r="AJ1253" s="35"/>
      <c r="AK1253" s="35"/>
      <c r="AL1253" s="35"/>
      <c r="AM1253" s="35"/>
      <c r="AN1253" s="35"/>
      <c r="AO1253" s="35"/>
      <c r="AP1253" s="35"/>
      <c r="AQ1253" s="35"/>
      <c r="AR1253" s="35"/>
      <c r="AS1253" s="35"/>
      <c r="AT1253" s="35"/>
      <c r="AU1253" s="35"/>
      <c r="AV1253" s="35"/>
      <c r="AW1253" s="35"/>
      <c r="AX1253" s="35"/>
      <c r="AY1253" s="35"/>
      <c r="AZ1253" s="35"/>
      <c r="BA1253" s="35"/>
      <c r="BB1253" s="35"/>
      <c r="BC1253" s="35"/>
      <c r="BD1253" s="35"/>
      <c r="BE1253" s="35"/>
      <c r="BF1253" s="35"/>
      <c r="BG1253" s="35"/>
    </row>
    <row r="1254" ht="15.75" customHeight="1">
      <c r="A1254" s="35"/>
      <c r="B1254" s="35"/>
      <c r="C1254" s="35"/>
      <c r="D1254" s="35"/>
      <c r="E1254" s="35"/>
      <c r="F1254" s="35"/>
      <c r="G1254" s="35"/>
      <c r="H1254" s="35"/>
      <c r="I1254" s="35"/>
      <c r="J1254" s="35"/>
      <c r="K1254" s="35"/>
      <c r="L1254" s="35"/>
      <c r="M1254" s="35"/>
      <c r="N1254" s="35"/>
      <c r="O1254" s="35"/>
      <c r="P1254" s="35"/>
      <c r="Q1254" s="35"/>
      <c r="R1254" s="35"/>
      <c r="S1254" s="35"/>
      <c r="T1254" s="35"/>
      <c r="U1254" s="35"/>
      <c r="V1254" s="35"/>
      <c r="W1254" s="35"/>
      <c r="X1254" s="35"/>
      <c r="Y1254" s="35"/>
      <c r="Z1254" s="35"/>
      <c r="AA1254" s="35"/>
      <c r="AB1254" s="35"/>
      <c r="AC1254" s="35"/>
      <c r="AD1254" s="35"/>
      <c r="AE1254" s="35"/>
      <c r="AF1254" s="35"/>
      <c r="AG1254" s="35"/>
      <c r="AH1254" s="35"/>
      <c r="AI1254" s="35"/>
      <c r="AJ1254" s="35"/>
      <c r="AK1254" s="35"/>
      <c r="AL1254" s="35"/>
      <c r="AM1254" s="35"/>
      <c r="AN1254" s="35"/>
      <c r="AO1254" s="35"/>
      <c r="AP1254" s="35"/>
      <c r="AQ1254" s="35"/>
      <c r="AR1254" s="35"/>
      <c r="AS1254" s="35"/>
      <c r="AT1254" s="35"/>
      <c r="AU1254" s="35"/>
      <c r="AV1254" s="35"/>
      <c r="AW1254" s="35"/>
      <c r="AX1254" s="35"/>
      <c r="AY1254" s="35"/>
      <c r="AZ1254" s="35"/>
      <c r="BA1254" s="35"/>
      <c r="BB1254" s="35"/>
      <c r="BC1254" s="35"/>
      <c r="BD1254" s="35"/>
      <c r="BE1254" s="35"/>
      <c r="BF1254" s="35"/>
      <c r="BG1254" s="35"/>
    </row>
    <row r="1255" ht="15.75" customHeight="1">
      <c r="A1255" s="35"/>
      <c r="B1255" s="35"/>
      <c r="C1255" s="35"/>
      <c r="D1255" s="35"/>
      <c r="E1255" s="35"/>
      <c r="F1255" s="35"/>
      <c r="G1255" s="35"/>
      <c r="H1255" s="35"/>
      <c r="I1255" s="35"/>
      <c r="J1255" s="35"/>
      <c r="K1255" s="35"/>
      <c r="L1255" s="35"/>
      <c r="M1255" s="35"/>
      <c r="N1255" s="35"/>
      <c r="O1255" s="35"/>
      <c r="P1255" s="35"/>
      <c r="Q1255" s="35"/>
      <c r="R1255" s="35"/>
      <c r="S1255" s="35"/>
      <c r="T1255" s="35"/>
      <c r="U1255" s="35"/>
      <c r="V1255" s="35"/>
      <c r="W1255" s="35"/>
      <c r="X1255" s="35"/>
      <c r="Y1255" s="35"/>
      <c r="Z1255" s="35"/>
      <c r="AA1255" s="35"/>
      <c r="AB1255" s="35"/>
      <c r="AC1255" s="35"/>
      <c r="AD1255" s="35"/>
      <c r="AE1255" s="35"/>
      <c r="AF1255" s="35"/>
      <c r="AG1255" s="35"/>
      <c r="AH1255" s="35"/>
      <c r="AI1255" s="35"/>
      <c r="AJ1255" s="35"/>
      <c r="AK1255" s="35"/>
      <c r="AL1255" s="35"/>
      <c r="AM1255" s="35"/>
      <c r="AN1255" s="35"/>
      <c r="AO1255" s="35"/>
      <c r="AP1255" s="35"/>
      <c r="AQ1255" s="35"/>
      <c r="AR1255" s="35"/>
      <c r="AS1255" s="35"/>
      <c r="AT1255" s="35"/>
      <c r="AU1255" s="35"/>
      <c r="AV1255" s="35"/>
      <c r="AW1255" s="35"/>
      <c r="AX1255" s="35"/>
      <c r="AY1255" s="35"/>
      <c r="AZ1255" s="35"/>
      <c r="BA1255" s="35"/>
      <c r="BB1255" s="35"/>
      <c r="BC1255" s="35"/>
      <c r="BD1255" s="35"/>
      <c r="BE1255" s="35"/>
      <c r="BF1255" s="35"/>
      <c r="BG1255" s="35"/>
    </row>
    <row r="1256" ht="15.75" customHeight="1">
      <c r="A1256" s="35"/>
      <c r="B1256" s="35"/>
      <c r="C1256" s="35"/>
      <c r="D1256" s="35"/>
      <c r="E1256" s="35"/>
      <c r="F1256" s="35"/>
      <c r="G1256" s="35"/>
      <c r="H1256" s="35"/>
      <c r="I1256" s="35"/>
      <c r="J1256" s="35"/>
      <c r="K1256" s="35"/>
      <c r="L1256" s="35"/>
      <c r="M1256" s="35"/>
      <c r="N1256" s="35"/>
      <c r="O1256" s="35"/>
      <c r="P1256" s="35"/>
      <c r="Q1256" s="35"/>
      <c r="R1256" s="35"/>
      <c r="S1256" s="35"/>
      <c r="T1256" s="35"/>
      <c r="U1256" s="35"/>
      <c r="V1256" s="35"/>
      <c r="W1256" s="35"/>
      <c r="X1256" s="35"/>
      <c r="Y1256" s="35"/>
      <c r="Z1256" s="35"/>
      <c r="AA1256" s="35"/>
      <c r="AB1256" s="35"/>
      <c r="AC1256" s="35"/>
      <c r="AD1256" s="35"/>
      <c r="AE1256" s="35"/>
      <c r="AF1256" s="35"/>
      <c r="AG1256" s="35"/>
      <c r="AH1256" s="35"/>
      <c r="AI1256" s="35"/>
      <c r="AJ1256" s="35"/>
      <c r="AK1256" s="35"/>
      <c r="AL1256" s="35"/>
      <c r="AM1256" s="35"/>
      <c r="AN1256" s="35"/>
      <c r="AO1256" s="35"/>
      <c r="AP1256" s="35"/>
      <c r="AQ1256" s="35"/>
      <c r="AR1256" s="35"/>
      <c r="AS1256" s="35"/>
      <c r="AT1256" s="35"/>
      <c r="AU1256" s="35"/>
      <c r="AV1256" s="35"/>
      <c r="AW1256" s="35"/>
      <c r="AX1256" s="35"/>
      <c r="AY1256" s="35"/>
      <c r="AZ1256" s="35"/>
      <c r="BA1256" s="35"/>
      <c r="BB1256" s="35"/>
      <c r="BC1256" s="35"/>
      <c r="BD1256" s="35"/>
      <c r="BE1256" s="35"/>
      <c r="BF1256" s="35"/>
      <c r="BG1256" s="35"/>
    </row>
    <row r="1257" ht="15.75" customHeight="1">
      <c r="A1257" s="35"/>
      <c r="B1257" s="35"/>
      <c r="C1257" s="35"/>
      <c r="D1257" s="35"/>
      <c r="E1257" s="35"/>
      <c r="F1257" s="35"/>
      <c r="G1257" s="35"/>
      <c r="H1257" s="35"/>
      <c r="I1257" s="35"/>
      <c r="J1257" s="35"/>
      <c r="K1257" s="35"/>
      <c r="L1257" s="35"/>
      <c r="M1257" s="35"/>
      <c r="N1257" s="35"/>
      <c r="O1257" s="35"/>
      <c r="P1257" s="35"/>
      <c r="Q1257" s="35"/>
      <c r="R1257" s="35"/>
      <c r="S1257" s="35"/>
      <c r="T1257" s="35"/>
      <c r="U1257" s="35"/>
      <c r="V1257" s="35"/>
      <c r="W1257" s="35"/>
      <c r="X1257" s="35"/>
      <c r="Y1257" s="35"/>
      <c r="Z1257" s="35"/>
      <c r="AA1257" s="35"/>
      <c r="AB1257" s="35"/>
      <c r="AC1257" s="35"/>
      <c r="AD1257" s="35"/>
      <c r="AE1257" s="35"/>
      <c r="AF1257" s="35"/>
      <c r="AG1257" s="35"/>
      <c r="AH1257" s="35"/>
      <c r="AI1257" s="35"/>
      <c r="AJ1257" s="35"/>
      <c r="AK1257" s="35"/>
      <c r="AL1257" s="35"/>
      <c r="AM1257" s="35"/>
      <c r="AN1257" s="35"/>
      <c r="AO1257" s="35"/>
      <c r="AP1257" s="35"/>
      <c r="AQ1257" s="35"/>
      <c r="AR1257" s="35"/>
      <c r="AS1257" s="35"/>
      <c r="AT1257" s="35"/>
      <c r="AU1257" s="35"/>
      <c r="AV1257" s="35"/>
      <c r="AW1257" s="35"/>
      <c r="AX1257" s="35"/>
      <c r="AY1257" s="35"/>
      <c r="AZ1257" s="35"/>
      <c r="BA1257" s="35"/>
      <c r="BB1257" s="35"/>
      <c r="BC1257" s="35"/>
      <c r="BD1257" s="35"/>
      <c r="BE1257" s="35"/>
      <c r="BF1257" s="35"/>
      <c r="BG1257" s="35"/>
    </row>
    <row r="1258" ht="15.75" customHeight="1">
      <c r="A1258" s="35"/>
      <c r="B1258" s="35"/>
      <c r="C1258" s="35"/>
      <c r="D1258" s="35"/>
      <c r="E1258" s="35"/>
      <c r="F1258" s="35"/>
      <c r="G1258" s="35"/>
      <c r="H1258" s="35"/>
      <c r="I1258" s="35"/>
      <c r="J1258" s="35"/>
      <c r="K1258" s="35"/>
      <c r="L1258" s="35"/>
      <c r="M1258" s="35"/>
      <c r="N1258" s="35"/>
      <c r="O1258" s="35"/>
      <c r="P1258" s="35"/>
      <c r="Q1258" s="35"/>
      <c r="R1258" s="35"/>
      <c r="S1258" s="35"/>
      <c r="T1258" s="35"/>
      <c r="U1258" s="35"/>
      <c r="V1258" s="35"/>
      <c r="W1258" s="35"/>
      <c r="X1258" s="35"/>
      <c r="Y1258" s="35"/>
      <c r="Z1258" s="35"/>
      <c r="AA1258" s="35"/>
      <c r="AB1258" s="35"/>
      <c r="AC1258" s="35"/>
      <c r="AD1258" s="35"/>
      <c r="AE1258" s="35"/>
      <c r="AF1258" s="35"/>
      <c r="AG1258" s="35"/>
      <c r="AH1258" s="35"/>
      <c r="AI1258" s="35"/>
      <c r="AJ1258" s="35"/>
      <c r="AK1258" s="35"/>
      <c r="AL1258" s="35"/>
      <c r="AM1258" s="35"/>
      <c r="AN1258" s="35"/>
      <c r="AO1258" s="35"/>
      <c r="AP1258" s="35"/>
      <c r="AQ1258" s="35"/>
      <c r="AR1258" s="35"/>
      <c r="AS1258" s="35"/>
      <c r="AT1258" s="35"/>
      <c r="AU1258" s="35"/>
      <c r="AV1258" s="35"/>
      <c r="AW1258" s="35"/>
      <c r="AX1258" s="35"/>
      <c r="AY1258" s="35"/>
      <c r="AZ1258" s="35"/>
      <c r="BA1258" s="35"/>
      <c r="BB1258" s="35"/>
      <c r="BC1258" s="35"/>
      <c r="BD1258" s="35"/>
      <c r="BE1258" s="35"/>
      <c r="BF1258" s="35"/>
      <c r="BG1258" s="35"/>
    </row>
    <row r="1259" ht="15.75" customHeight="1">
      <c r="A1259" s="35"/>
      <c r="B1259" s="35"/>
      <c r="C1259" s="35"/>
      <c r="D1259" s="35"/>
      <c r="E1259" s="35"/>
      <c r="F1259" s="35"/>
      <c r="G1259" s="35"/>
      <c r="H1259" s="35"/>
      <c r="I1259" s="35"/>
      <c r="J1259" s="35"/>
      <c r="K1259" s="35"/>
      <c r="L1259" s="35"/>
      <c r="M1259" s="35"/>
      <c r="N1259" s="35"/>
      <c r="O1259" s="35"/>
      <c r="P1259" s="35"/>
      <c r="Q1259" s="35"/>
      <c r="R1259" s="35"/>
      <c r="S1259" s="35"/>
      <c r="T1259" s="35"/>
      <c r="U1259" s="35"/>
      <c r="V1259" s="35"/>
      <c r="W1259" s="35"/>
      <c r="X1259" s="35"/>
      <c r="Y1259" s="35"/>
      <c r="Z1259" s="35"/>
      <c r="AA1259" s="35"/>
      <c r="AB1259" s="35"/>
      <c r="AC1259" s="35"/>
      <c r="AD1259" s="35"/>
      <c r="AE1259" s="35"/>
      <c r="AF1259" s="35"/>
      <c r="AG1259" s="35"/>
      <c r="AH1259" s="35"/>
      <c r="AI1259" s="35"/>
      <c r="AJ1259" s="35"/>
      <c r="AK1259" s="35"/>
      <c r="AL1259" s="35"/>
      <c r="AM1259" s="35"/>
      <c r="AN1259" s="35"/>
      <c r="AO1259" s="35"/>
      <c r="AP1259" s="35"/>
      <c r="AQ1259" s="35"/>
      <c r="AR1259" s="35"/>
      <c r="AS1259" s="35"/>
      <c r="AT1259" s="35"/>
      <c r="AU1259" s="35"/>
      <c r="AV1259" s="35"/>
      <c r="AW1259" s="35"/>
      <c r="AX1259" s="35"/>
      <c r="AY1259" s="35"/>
      <c r="AZ1259" s="35"/>
      <c r="BA1259" s="35"/>
      <c r="BB1259" s="35"/>
      <c r="BC1259" s="35"/>
      <c r="BD1259" s="35"/>
      <c r="BE1259" s="35"/>
      <c r="BF1259" s="35"/>
      <c r="BG1259" s="35"/>
    </row>
    <row r="1260" ht="15.75" customHeight="1">
      <c r="A1260" s="35"/>
      <c r="B1260" s="35"/>
      <c r="C1260" s="35"/>
      <c r="D1260" s="35"/>
      <c r="E1260" s="35"/>
      <c r="F1260" s="35"/>
      <c r="G1260" s="35"/>
      <c r="H1260" s="35"/>
      <c r="I1260" s="35"/>
      <c r="J1260" s="35"/>
      <c r="K1260" s="35"/>
      <c r="L1260" s="35"/>
      <c r="M1260" s="35"/>
      <c r="N1260" s="35"/>
      <c r="O1260" s="35"/>
      <c r="P1260" s="35"/>
      <c r="Q1260" s="35"/>
      <c r="R1260" s="35"/>
      <c r="S1260" s="35"/>
      <c r="T1260" s="35"/>
      <c r="U1260" s="35"/>
      <c r="V1260" s="35"/>
      <c r="W1260" s="35"/>
      <c r="X1260" s="35"/>
      <c r="Y1260" s="35"/>
      <c r="Z1260" s="35"/>
      <c r="AA1260" s="35"/>
      <c r="AB1260" s="35"/>
      <c r="AC1260" s="35"/>
      <c r="AD1260" s="35"/>
      <c r="AE1260" s="35"/>
      <c r="AF1260" s="35"/>
      <c r="AG1260" s="35"/>
      <c r="AH1260" s="35"/>
      <c r="AI1260" s="35"/>
      <c r="AJ1260" s="35"/>
      <c r="AK1260" s="35"/>
      <c r="AL1260" s="35"/>
      <c r="AM1260" s="35"/>
      <c r="AN1260" s="35"/>
      <c r="AO1260" s="35"/>
      <c r="AP1260" s="35"/>
      <c r="AQ1260" s="35"/>
      <c r="AR1260" s="35"/>
      <c r="AS1260" s="35"/>
      <c r="AT1260" s="35"/>
      <c r="AU1260" s="35"/>
      <c r="AV1260" s="35"/>
      <c r="AW1260" s="35"/>
      <c r="AX1260" s="35"/>
      <c r="AY1260" s="35"/>
      <c r="AZ1260" s="35"/>
      <c r="BA1260" s="35"/>
      <c r="BB1260" s="35"/>
      <c r="BC1260" s="35"/>
      <c r="BD1260" s="35"/>
      <c r="BE1260" s="35"/>
      <c r="BF1260" s="35"/>
      <c r="BG1260" s="35"/>
    </row>
    <row r="1261" ht="15.75" customHeight="1">
      <c r="A1261" s="35"/>
      <c r="B1261" s="35"/>
      <c r="C1261" s="35"/>
      <c r="D1261" s="35"/>
      <c r="E1261" s="35"/>
      <c r="F1261" s="35"/>
      <c r="G1261" s="35"/>
      <c r="H1261" s="35"/>
      <c r="I1261" s="35"/>
      <c r="J1261" s="35"/>
      <c r="K1261" s="35"/>
      <c r="L1261" s="35"/>
      <c r="M1261" s="35"/>
      <c r="N1261" s="35"/>
      <c r="O1261" s="35"/>
      <c r="P1261" s="35"/>
      <c r="Q1261" s="35"/>
      <c r="R1261" s="35"/>
      <c r="S1261" s="35"/>
      <c r="T1261" s="35"/>
      <c r="U1261" s="35"/>
      <c r="V1261" s="35"/>
      <c r="W1261" s="35"/>
      <c r="X1261" s="35"/>
      <c r="Y1261" s="35"/>
      <c r="Z1261" s="35"/>
      <c r="AA1261" s="35"/>
      <c r="AB1261" s="35"/>
      <c r="AC1261" s="35"/>
      <c r="AD1261" s="35"/>
      <c r="AE1261" s="35"/>
      <c r="AF1261" s="35"/>
      <c r="AG1261" s="35"/>
      <c r="AH1261" s="35"/>
      <c r="AI1261" s="35"/>
      <c r="AJ1261" s="35"/>
      <c r="AK1261" s="35"/>
      <c r="AL1261" s="35"/>
      <c r="AM1261" s="35"/>
      <c r="AN1261" s="35"/>
      <c r="AO1261" s="35"/>
      <c r="AP1261" s="35"/>
      <c r="AQ1261" s="35"/>
      <c r="AR1261" s="35"/>
      <c r="AS1261" s="35"/>
      <c r="AT1261" s="35"/>
      <c r="AU1261" s="35"/>
      <c r="AV1261" s="35"/>
      <c r="AW1261" s="35"/>
      <c r="AX1261" s="35"/>
      <c r="AY1261" s="35"/>
      <c r="AZ1261" s="35"/>
      <c r="BA1261" s="35"/>
      <c r="BB1261" s="35"/>
      <c r="BC1261" s="35"/>
      <c r="BD1261" s="35"/>
      <c r="BE1261" s="35"/>
      <c r="BF1261" s="35"/>
      <c r="BG1261" s="35"/>
    </row>
    <row r="1262" ht="15.75" customHeight="1">
      <c r="A1262" s="35"/>
      <c r="B1262" s="35"/>
      <c r="C1262" s="35"/>
      <c r="D1262" s="35"/>
      <c r="E1262" s="35"/>
      <c r="F1262" s="35"/>
      <c r="G1262" s="35"/>
      <c r="H1262" s="35"/>
      <c r="I1262" s="35"/>
      <c r="J1262" s="35"/>
      <c r="K1262" s="35"/>
      <c r="L1262" s="35"/>
      <c r="M1262" s="35"/>
      <c r="N1262" s="35"/>
      <c r="O1262" s="35"/>
      <c r="P1262" s="35"/>
      <c r="Q1262" s="35"/>
      <c r="R1262" s="35"/>
      <c r="S1262" s="35"/>
      <c r="T1262" s="35"/>
      <c r="U1262" s="35"/>
      <c r="V1262" s="35"/>
      <c r="W1262" s="35"/>
      <c r="X1262" s="35"/>
      <c r="Y1262" s="35"/>
      <c r="Z1262" s="35"/>
      <c r="AA1262" s="35"/>
      <c r="AB1262" s="35"/>
      <c r="AC1262" s="35"/>
      <c r="AD1262" s="35"/>
      <c r="AE1262" s="35"/>
      <c r="AF1262" s="35"/>
      <c r="AG1262" s="35"/>
      <c r="AH1262" s="35"/>
      <c r="AI1262" s="35"/>
      <c r="AJ1262" s="35"/>
      <c r="AK1262" s="35"/>
      <c r="AL1262" s="35"/>
      <c r="AM1262" s="35"/>
      <c r="AN1262" s="35"/>
      <c r="AO1262" s="35"/>
      <c r="AP1262" s="35"/>
      <c r="AQ1262" s="35"/>
      <c r="AR1262" s="35"/>
      <c r="AS1262" s="35"/>
      <c r="AT1262" s="35"/>
      <c r="AU1262" s="35"/>
      <c r="AV1262" s="35"/>
      <c r="AW1262" s="35"/>
      <c r="AX1262" s="35"/>
      <c r="AY1262" s="35"/>
      <c r="AZ1262" s="35"/>
      <c r="BA1262" s="35"/>
      <c r="BB1262" s="35"/>
      <c r="BC1262" s="35"/>
      <c r="BD1262" s="35"/>
      <c r="BE1262" s="35"/>
      <c r="BF1262" s="35"/>
      <c r="BG1262" s="35"/>
    </row>
    <row r="1263" ht="15.75" customHeight="1">
      <c r="A1263" s="35"/>
      <c r="B1263" s="35"/>
      <c r="C1263" s="35"/>
      <c r="D1263" s="35"/>
      <c r="E1263" s="35"/>
      <c r="F1263" s="35"/>
      <c r="G1263" s="35"/>
      <c r="H1263" s="35"/>
      <c r="I1263" s="35"/>
      <c r="J1263" s="35"/>
      <c r="K1263" s="35"/>
      <c r="L1263" s="35"/>
      <c r="M1263" s="35"/>
      <c r="N1263" s="35"/>
      <c r="O1263" s="35"/>
      <c r="P1263" s="35"/>
      <c r="Q1263" s="35"/>
      <c r="R1263" s="35"/>
      <c r="S1263" s="35"/>
      <c r="T1263" s="35"/>
      <c r="U1263" s="35"/>
      <c r="V1263" s="35"/>
      <c r="W1263" s="35"/>
      <c r="X1263" s="35"/>
      <c r="Y1263" s="35"/>
      <c r="Z1263" s="35"/>
      <c r="AA1263" s="35"/>
      <c r="AB1263" s="35"/>
      <c r="AC1263" s="35"/>
      <c r="AD1263" s="35"/>
      <c r="AE1263" s="35"/>
      <c r="AF1263" s="35"/>
      <c r="AG1263" s="35"/>
      <c r="AH1263" s="35"/>
      <c r="AI1263" s="35"/>
      <c r="AJ1263" s="35"/>
      <c r="AK1263" s="35"/>
      <c r="AL1263" s="35"/>
      <c r="AM1263" s="35"/>
      <c r="AN1263" s="35"/>
      <c r="AO1263" s="35"/>
      <c r="AP1263" s="35"/>
      <c r="AQ1263" s="35"/>
      <c r="AR1263" s="35"/>
      <c r="AS1263" s="35"/>
      <c r="AT1263" s="35"/>
      <c r="AU1263" s="35"/>
      <c r="AV1263" s="35"/>
      <c r="AW1263" s="35"/>
      <c r="AX1263" s="35"/>
      <c r="AY1263" s="35"/>
      <c r="AZ1263" s="35"/>
      <c r="BA1263" s="35"/>
      <c r="BB1263" s="35"/>
      <c r="BC1263" s="35"/>
      <c r="BD1263" s="35"/>
      <c r="BE1263" s="35"/>
      <c r="BF1263" s="35"/>
      <c r="BG1263" s="35"/>
    </row>
    <row r="1264" ht="15.75" customHeight="1">
      <c r="A1264" s="35"/>
      <c r="B1264" s="35"/>
      <c r="C1264" s="35"/>
      <c r="D1264" s="35"/>
      <c r="E1264" s="35"/>
      <c r="F1264" s="35"/>
      <c r="G1264" s="35"/>
      <c r="H1264" s="35"/>
      <c r="I1264" s="35"/>
      <c r="J1264" s="35"/>
      <c r="K1264" s="35"/>
      <c r="L1264" s="35"/>
      <c r="M1264" s="35"/>
      <c r="N1264" s="35"/>
      <c r="O1264" s="35"/>
      <c r="P1264" s="35"/>
      <c r="Q1264" s="35"/>
      <c r="R1264" s="35"/>
      <c r="S1264" s="35"/>
      <c r="T1264" s="35"/>
      <c r="U1264" s="35"/>
      <c r="V1264" s="35"/>
      <c r="W1264" s="35"/>
      <c r="X1264" s="35"/>
      <c r="Y1264" s="35"/>
      <c r="Z1264" s="35"/>
      <c r="AA1264" s="35"/>
      <c r="AB1264" s="35"/>
      <c r="AC1264" s="35"/>
      <c r="AD1264" s="35"/>
      <c r="AE1264" s="35"/>
      <c r="AF1264" s="35"/>
      <c r="AG1264" s="35"/>
      <c r="AH1264" s="35"/>
      <c r="AI1264" s="35"/>
      <c r="AJ1264" s="35"/>
      <c r="AK1264" s="35"/>
      <c r="AL1264" s="35"/>
      <c r="AM1264" s="35"/>
      <c r="AN1264" s="35"/>
      <c r="AO1264" s="35"/>
      <c r="AP1264" s="35"/>
      <c r="AQ1264" s="35"/>
      <c r="AR1264" s="35"/>
      <c r="AS1264" s="35"/>
      <c r="AT1264" s="35"/>
      <c r="AU1264" s="35"/>
      <c r="AV1264" s="35"/>
      <c r="AW1264" s="35"/>
      <c r="AX1264" s="35"/>
      <c r="AY1264" s="35"/>
      <c r="AZ1264" s="35"/>
      <c r="BA1264" s="35"/>
      <c r="BB1264" s="35"/>
      <c r="BC1264" s="35"/>
      <c r="BD1264" s="35"/>
      <c r="BE1264" s="35"/>
      <c r="BF1264" s="35"/>
      <c r="BG1264" s="35"/>
    </row>
    <row r="1265" ht="15.75" customHeight="1">
      <c r="A1265" s="35"/>
      <c r="B1265" s="35"/>
      <c r="C1265" s="35"/>
      <c r="D1265" s="35"/>
      <c r="E1265" s="35"/>
      <c r="F1265" s="35"/>
      <c r="G1265" s="35"/>
      <c r="H1265" s="35"/>
      <c r="I1265" s="35"/>
      <c r="J1265" s="35"/>
      <c r="K1265" s="35"/>
      <c r="L1265" s="35"/>
      <c r="M1265" s="35"/>
      <c r="N1265" s="35"/>
      <c r="O1265" s="35"/>
      <c r="P1265" s="35"/>
      <c r="Q1265" s="35"/>
      <c r="R1265" s="35"/>
      <c r="S1265" s="35"/>
      <c r="T1265" s="35"/>
      <c r="U1265" s="35"/>
      <c r="V1265" s="35"/>
      <c r="W1265" s="35"/>
      <c r="X1265" s="35"/>
      <c r="Y1265" s="35"/>
      <c r="Z1265" s="35"/>
      <c r="AA1265" s="35"/>
      <c r="AB1265" s="35"/>
      <c r="AC1265" s="35"/>
      <c r="AD1265" s="35"/>
      <c r="AE1265" s="35"/>
      <c r="AF1265" s="35"/>
      <c r="AG1265" s="35"/>
      <c r="AH1265" s="35"/>
      <c r="AI1265" s="35"/>
      <c r="AJ1265" s="35"/>
      <c r="AK1265" s="35"/>
      <c r="AL1265" s="35"/>
      <c r="AM1265" s="35"/>
      <c r="AN1265" s="35"/>
      <c r="AO1265" s="35"/>
      <c r="AP1265" s="35"/>
      <c r="AQ1265" s="35"/>
      <c r="AR1265" s="35"/>
      <c r="AS1265" s="35"/>
      <c r="AT1265" s="35"/>
      <c r="AU1265" s="35"/>
      <c r="AV1265" s="35"/>
      <c r="AW1265" s="35"/>
      <c r="AX1265" s="35"/>
      <c r="AY1265" s="35"/>
      <c r="AZ1265" s="35"/>
      <c r="BA1265" s="35"/>
      <c r="BB1265" s="35"/>
      <c r="BC1265" s="35"/>
      <c r="BD1265" s="35"/>
      <c r="BE1265" s="35"/>
      <c r="BF1265" s="35"/>
      <c r="BG1265" s="35"/>
    </row>
    <row r="1266" ht="15.75" customHeight="1">
      <c r="A1266" s="35"/>
      <c r="B1266" s="35"/>
      <c r="C1266" s="35"/>
      <c r="D1266" s="35"/>
      <c r="E1266" s="35"/>
      <c r="F1266" s="35"/>
      <c r="G1266" s="35"/>
      <c r="H1266" s="35"/>
      <c r="I1266" s="35"/>
      <c r="J1266" s="35"/>
      <c r="K1266" s="35"/>
      <c r="L1266" s="35"/>
      <c r="M1266" s="35"/>
      <c r="N1266" s="35"/>
      <c r="O1266" s="35"/>
      <c r="P1266" s="35"/>
      <c r="Q1266" s="35"/>
      <c r="R1266" s="35"/>
      <c r="S1266" s="35"/>
      <c r="T1266" s="35"/>
      <c r="U1266" s="35"/>
      <c r="V1266" s="35"/>
      <c r="W1266" s="35"/>
      <c r="X1266" s="35"/>
      <c r="Y1266" s="35"/>
      <c r="Z1266" s="35"/>
      <c r="AA1266" s="35"/>
      <c r="AB1266" s="35"/>
      <c r="AC1266" s="35"/>
      <c r="AD1266" s="35"/>
      <c r="AE1266" s="35"/>
      <c r="AF1266" s="35"/>
      <c r="AG1266" s="35"/>
      <c r="AH1266" s="35"/>
      <c r="AI1266" s="35"/>
      <c r="AJ1266" s="35"/>
      <c r="AK1266" s="35"/>
      <c r="AL1266" s="35"/>
      <c r="AM1266" s="35"/>
      <c r="AN1266" s="35"/>
      <c r="AO1266" s="35"/>
      <c r="AP1266" s="35"/>
      <c r="AQ1266" s="35"/>
      <c r="AR1266" s="35"/>
      <c r="AS1266" s="35"/>
      <c r="AT1266" s="35"/>
      <c r="AU1266" s="35"/>
      <c r="AV1266" s="35"/>
      <c r="AW1266" s="35"/>
      <c r="AX1266" s="35"/>
      <c r="AY1266" s="35"/>
      <c r="AZ1266" s="35"/>
      <c r="BA1266" s="35"/>
      <c r="BB1266" s="35"/>
      <c r="BC1266" s="35"/>
      <c r="BD1266" s="35"/>
      <c r="BE1266" s="35"/>
      <c r="BF1266" s="35"/>
      <c r="BG1266" s="35"/>
    </row>
    <row r="1267" ht="15.75" customHeight="1">
      <c r="A1267" s="35"/>
      <c r="B1267" s="35"/>
      <c r="C1267" s="35"/>
      <c r="D1267" s="35"/>
      <c r="E1267" s="35"/>
      <c r="F1267" s="35"/>
      <c r="G1267" s="35"/>
      <c r="H1267" s="35"/>
      <c r="I1267" s="35"/>
      <c r="J1267" s="35"/>
      <c r="K1267" s="35"/>
      <c r="L1267" s="35"/>
      <c r="M1267" s="35"/>
      <c r="N1267" s="35"/>
      <c r="O1267" s="35"/>
      <c r="P1267" s="35"/>
      <c r="Q1267" s="35"/>
      <c r="R1267" s="35"/>
      <c r="S1267" s="35"/>
      <c r="T1267" s="35"/>
      <c r="U1267" s="35"/>
      <c r="V1267" s="35"/>
      <c r="W1267" s="35"/>
      <c r="X1267" s="35"/>
      <c r="Y1267" s="35"/>
      <c r="Z1267" s="35"/>
      <c r="AA1267" s="35"/>
      <c r="AB1267" s="35"/>
      <c r="AC1267" s="35"/>
      <c r="AD1267" s="35"/>
      <c r="AE1267" s="35"/>
      <c r="AF1267" s="35"/>
      <c r="AG1267" s="35"/>
      <c r="AH1267" s="35"/>
      <c r="AI1267" s="35"/>
      <c r="AJ1267" s="35"/>
      <c r="AK1267" s="35"/>
      <c r="AL1267" s="35"/>
      <c r="AM1267" s="35"/>
      <c r="AN1267" s="35"/>
      <c r="AO1267" s="35"/>
      <c r="AP1267" s="35"/>
      <c r="AQ1267" s="35"/>
      <c r="AR1267" s="35"/>
      <c r="AS1267" s="35"/>
      <c r="AT1267" s="35"/>
      <c r="AU1267" s="35"/>
      <c r="AV1267" s="35"/>
      <c r="AW1267" s="35"/>
      <c r="AX1267" s="35"/>
      <c r="AY1267" s="35"/>
      <c r="AZ1267" s="35"/>
      <c r="BA1267" s="35"/>
      <c r="BB1267" s="35"/>
      <c r="BC1267" s="35"/>
      <c r="BD1267" s="35"/>
      <c r="BE1267" s="35"/>
      <c r="BF1267" s="35"/>
      <c r="BG1267" s="35"/>
    </row>
    <row r="1268" ht="15.75" customHeight="1">
      <c r="A1268" s="35"/>
      <c r="B1268" s="35"/>
      <c r="C1268" s="35"/>
      <c r="D1268" s="35"/>
      <c r="E1268" s="35"/>
      <c r="F1268" s="35"/>
      <c r="G1268" s="35"/>
      <c r="H1268" s="35"/>
      <c r="I1268" s="35"/>
      <c r="J1268" s="35"/>
      <c r="K1268" s="35"/>
      <c r="L1268" s="35"/>
      <c r="M1268" s="35"/>
      <c r="N1268" s="35"/>
      <c r="O1268" s="35"/>
      <c r="P1268" s="35"/>
      <c r="Q1268" s="35"/>
      <c r="R1268" s="35"/>
      <c r="S1268" s="35"/>
      <c r="T1268" s="35"/>
      <c r="U1268" s="35"/>
      <c r="V1268" s="35"/>
      <c r="W1268" s="35"/>
      <c r="X1268" s="35"/>
      <c r="Y1268" s="35"/>
      <c r="Z1268" s="35"/>
      <c r="AA1268" s="35"/>
      <c r="AB1268" s="35"/>
      <c r="AC1268" s="35"/>
      <c r="AD1268" s="35"/>
      <c r="AE1268" s="35"/>
      <c r="AF1268" s="35"/>
      <c r="AG1268" s="35"/>
      <c r="AH1268" s="35"/>
      <c r="AI1268" s="35"/>
      <c r="AJ1268" s="35"/>
      <c r="AK1268" s="35"/>
      <c r="AL1268" s="35"/>
      <c r="AM1268" s="35"/>
      <c r="AN1268" s="35"/>
      <c r="AO1268" s="35"/>
      <c r="AP1268" s="35"/>
      <c r="AQ1268" s="35"/>
      <c r="AR1268" s="35"/>
      <c r="AS1268" s="35"/>
      <c r="AT1268" s="35"/>
      <c r="AU1268" s="35"/>
      <c r="AV1268" s="35"/>
      <c r="AW1268" s="35"/>
      <c r="AX1268" s="35"/>
      <c r="AY1268" s="35"/>
      <c r="AZ1268" s="35"/>
      <c r="BA1268" s="35"/>
      <c r="BB1268" s="35"/>
      <c r="BC1268" s="35"/>
      <c r="BD1268" s="35"/>
      <c r="BE1268" s="35"/>
      <c r="BF1268" s="35"/>
      <c r="BG1268" s="35"/>
    </row>
    <row r="1269" ht="15.75" customHeight="1">
      <c r="A1269" s="35"/>
      <c r="B1269" s="35"/>
      <c r="C1269" s="35"/>
      <c r="D1269" s="35"/>
      <c r="E1269" s="35"/>
      <c r="F1269" s="35"/>
      <c r="G1269" s="35"/>
      <c r="H1269" s="35"/>
      <c r="I1269" s="35"/>
      <c r="J1269" s="35"/>
      <c r="K1269" s="35"/>
      <c r="L1269" s="35"/>
      <c r="M1269" s="35"/>
      <c r="N1269" s="35"/>
      <c r="O1269" s="35"/>
      <c r="P1269" s="35"/>
      <c r="Q1269" s="35"/>
      <c r="R1269" s="35"/>
      <c r="S1269" s="35"/>
      <c r="T1269" s="35"/>
      <c r="U1269" s="35"/>
      <c r="V1269" s="35"/>
      <c r="W1269" s="35"/>
      <c r="X1269" s="35"/>
      <c r="Y1269" s="35"/>
      <c r="Z1269" s="35"/>
      <c r="AA1269" s="35"/>
      <c r="AB1269" s="35"/>
      <c r="AC1269" s="35"/>
      <c r="AD1269" s="35"/>
      <c r="AE1269" s="35"/>
      <c r="AF1269" s="35"/>
      <c r="AG1269" s="35"/>
      <c r="AH1269" s="35"/>
      <c r="AI1269" s="35"/>
      <c r="AJ1269" s="35"/>
      <c r="AK1269" s="35"/>
      <c r="AL1269" s="35"/>
      <c r="AM1269" s="35"/>
      <c r="AN1269" s="35"/>
      <c r="AO1269" s="35"/>
      <c r="AP1269" s="35"/>
      <c r="AQ1269" s="35"/>
      <c r="AR1269" s="35"/>
      <c r="AS1269" s="35"/>
      <c r="AT1269" s="35"/>
      <c r="AU1269" s="35"/>
      <c r="AV1269" s="35"/>
      <c r="AW1269" s="35"/>
      <c r="AX1269" s="35"/>
      <c r="AY1269" s="35"/>
      <c r="AZ1269" s="35"/>
      <c r="BA1269" s="35"/>
      <c r="BB1269" s="35"/>
      <c r="BC1269" s="35"/>
      <c r="BD1269" s="35"/>
      <c r="BE1269" s="35"/>
      <c r="BF1269" s="35"/>
      <c r="BG1269" s="35"/>
    </row>
    <row r="1270" ht="15.75" customHeight="1">
      <c r="A1270" s="35"/>
      <c r="B1270" s="35"/>
      <c r="C1270" s="35"/>
      <c r="D1270" s="35"/>
      <c r="E1270" s="35"/>
      <c r="F1270" s="35"/>
      <c r="G1270" s="35"/>
      <c r="H1270" s="35"/>
      <c r="I1270" s="35"/>
      <c r="J1270" s="35"/>
      <c r="K1270" s="35"/>
      <c r="L1270" s="35"/>
      <c r="M1270" s="35"/>
      <c r="N1270" s="35"/>
      <c r="O1270" s="35"/>
      <c r="P1270" s="35"/>
      <c r="Q1270" s="35"/>
      <c r="R1270" s="35"/>
      <c r="S1270" s="35"/>
      <c r="T1270" s="35"/>
      <c r="U1270" s="35"/>
      <c r="V1270" s="35"/>
      <c r="W1270" s="35"/>
      <c r="X1270" s="35"/>
      <c r="Y1270" s="35"/>
      <c r="Z1270" s="35"/>
      <c r="AA1270" s="35"/>
      <c r="AB1270" s="35"/>
      <c r="AC1270" s="35"/>
      <c r="AD1270" s="35"/>
      <c r="AE1270" s="35"/>
      <c r="AF1270" s="35"/>
      <c r="AG1270" s="35"/>
      <c r="AH1270" s="35"/>
      <c r="AI1270" s="35"/>
      <c r="AJ1270" s="35"/>
      <c r="AK1270" s="35"/>
      <c r="AL1270" s="35"/>
      <c r="AM1270" s="35"/>
      <c r="AN1270" s="35"/>
      <c r="AO1270" s="35"/>
      <c r="AP1270" s="35"/>
      <c r="AQ1270" s="35"/>
      <c r="AR1270" s="35"/>
      <c r="AS1270" s="35"/>
      <c r="AT1270" s="35"/>
      <c r="AU1270" s="35"/>
      <c r="AV1270" s="35"/>
      <c r="AW1270" s="35"/>
      <c r="AX1270" s="35"/>
      <c r="AY1270" s="35"/>
      <c r="AZ1270" s="35"/>
      <c r="BA1270" s="35"/>
      <c r="BB1270" s="35"/>
      <c r="BC1270" s="35"/>
      <c r="BD1270" s="35"/>
      <c r="BE1270" s="35"/>
      <c r="BF1270" s="35"/>
      <c r="BG1270" s="35"/>
    </row>
    <row r="1271" ht="15.75" customHeight="1">
      <c r="A1271" s="35"/>
      <c r="B1271" s="35"/>
      <c r="C1271" s="35"/>
      <c r="D1271" s="35"/>
      <c r="E1271" s="35"/>
      <c r="F1271" s="35"/>
      <c r="G1271" s="35"/>
      <c r="H1271" s="35"/>
      <c r="I1271" s="35"/>
      <c r="J1271" s="35"/>
      <c r="K1271" s="35"/>
      <c r="L1271" s="35"/>
      <c r="M1271" s="35"/>
      <c r="N1271" s="35"/>
      <c r="O1271" s="35"/>
      <c r="P1271" s="35"/>
      <c r="Q1271" s="35"/>
      <c r="R1271" s="35"/>
      <c r="S1271" s="35"/>
      <c r="T1271" s="35"/>
      <c r="U1271" s="35"/>
      <c r="V1271" s="35"/>
      <c r="W1271" s="35"/>
      <c r="X1271" s="35"/>
      <c r="Y1271" s="35"/>
      <c r="Z1271" s="35"/>
      <c r="AA1271" s="35"/>
      <c r="AB1271" s="35"/>
      <c r="AC1271" s="35"/>
      <c r="AD1271" s="35"/>
      <c r="AE1271" s="35"/>
      <c r="AF1271" s="35"/>
      <c r="AG1271" s="35"/>
      <c r="AH1271" s="35"/>
      <c r="AI1271" s="35"/>
      <c r="AJ1271" s="35"/>
      <c r="AK1271" s="35"/>
      <c r="AL1271" s="35"/>
      <c r="AM1271" s="35"/>
      <c r="AN1271" s="35"/>
      <c r="AO1271" s="35"/>
      <c r="AP1271" s="35"/>
      <c r="AQ1271" s="35"/>
      <c r="AR1271" s="35"/>
      <c r="AS1271" s="35"/>
      <c r="AT1271" s="35"/>
      <c r="AU1271" s="35"/>
      <c r="AV1271" s="35"/>
      <c r="AW1271" s="35"/>
      <c r="AX1271" s="35"/>
      <c r="AY1271" s="35"/>
      <c r="AZ1271" s="35"/>
      <c r="BA1271" s="35"/>
      <c r="BB1271" s="35"/>
      <c r="BC1271" s="35"/>
      <c r="BD1271" s="35"/>
      <c r="BE1271" s="35"/>
      <c r="BF1271" s="35"/>
      <c r="BG1271" s="35"/>
    </row>
    <row r="1272" ht="15.75" customHeight="1">
      <c r="A1272" s="35"/>
      <c r="B1272" s="35"/>
      <c r="C1272" s="35"/>
      <c r="D1272" s="35"/>
      <c r="E1272" s="35"/>
      <c r="F1272" s="35"/>
      <c r="G1272" s="35"/>
      <c r="H1272" s="35"/>
      <c r="I1272" s="35"/>
      <c r="J1272" s="35"/>
      <c r="K1272" s="35"/>
      <c r="L1272" s="35"/>
      <c r="M1272" s="35"/>
      <c r="N1272" s="35"/>
      <c r="O1272" s="35"/>
      <c r="P1272" s="35"/>
      <c r="Q1272" s="35"/>
      <c r="R1272" s="35"/>
      <c r="S1272" s="35"/>
      <c r="T1272" s="35"/>
      <c r="U1272" s="35"/>
      <c r="V1272" s="35"/>
      <c r="W1272" s="35"/>
      <c r="X1272" s="35"/>
      <c r="Y1272" s="35"/>
      <c r="Z1272" s="35"/>
      <c r="AA1272" s="35"/>
      <c r="AB1272" s="35"/>
      <c r="AC1272" s="35"/>
      <c r="AD1272" s="35"/>
      <c r="AE1272" s="35"/>
      <c r="AF1272" s="35"/>
      <c r="AG1272" s="35"/>
      <c r="AH1272" s="35"/>
      <c r="AI1272" s="35"/>
      <c r="AJ1272" s="35"/>
      <c r="AK1272" s="35"/>
      <c r="AL1272" s="35"/>
      <c r="AM1272" s="35"/>
      <c r="AN1272" s="35"/>
      <c r="AO1272" s="35"/>
      <c r="AP1272" s="35"/>
      <c r="AQ1272" s="35"/>
      <c r="AR1272" s="35"/>
      <c r="AS1272" s="35"/>
      <c r="AT1272" s="35"/>
      <c r="AU1272" s="35"/>
      <c r="AV1272" s="35"/>
      <c r="AW1272" s="35"/>
      <c r="AX1272" s="35"/>
      <c r="AY1272" s="35"/>
      <c r="AZ1272" s="35"/>
      <c r="BA1272" s="35"/>
      <c r="BB1272" s="35"/>
      <c r="BC1272" s="35"/>
      <c r="BD1272" s="35"/>
      <c r="BE1272" s="35"/>
      <c r="BF1272" s="35"/>
      <c r="BG1272" s="35"/>
    </row>
    <row r="1273" ht="15.75" customHeight="1">
      <c r="A1273" s="35"/>
      <c r="B1273" s="35"/>
      <c r="C1273" s="35"/>
      <c r="D1273" s="35"/>
      <c r="E1273" s="35"/>
      <c r="F1273" s="35"/>
      <c r="G1273" s="35"/>
      <c r="H1273" s="35"/>
      <c r="I1273" s="35"/>
      <c r="J1273" s="35"/>
      <c r="K1273" s="35"/>
      <c r="L1273" s="35"/>
      <c r="M1273" s="35"/>
      <c r="N1273" s="35"/>
      <c r="O1273" s="35"/>
      <c r="P1273" s="35"/>
      <c r="Q1273" s="35"/>
      <c r="R1273" s="35"/>
      <c r="S1273" s="35"/>
      <c r="T1273" s="35"/>
      <c r="U1273" s="35"/>
      <c r="V1273" s="35"/>
      <c r="W1273" s="35"/>
      <c r="X1273" s="35"/>
      <c r="Y1273" s="35"/>
      <c r="Z1273" s="35"/>
      <c r="AA1273" s="35"/>
      <c r="AB1273" s="35"/>
      <c r="AC1273" s="35"/>
      <c r="AD1273" s="35"/>
      <c r="AE1273" s="35"/>
      <c r="AF1273" s="35"/>
      <c r="AG1273" s="35"/>
      <c r="AH1273" s="35"/>
      <c r="AI1273" s="35"/>
      <c r="AJ1273" s="35"/>
      <c r="AK1273" s="35"/>
      <c r="AL1273" s="35"/>
      <c r="AM1273" s="35"/>
      <c r="AN1273" s="35"/>
      <c r="AO1273" s="35"/>
      <c r="AP1273" s="35"/>
      <c r="AQ1273" s="35"/>
      <c r="AR1273" s="35"/>
      <c r="AS1273" s="35"/>
      <c r="AT1273" s="35"/>
      <c r="AU1273" s="35"/>
      <c r="AV1273" s="35"/>
      <c r="AW1273" s="35"/>
      <c r="AX1273" s="35"/>
      <c r="AY1273" s="35"/>
      <c r="AZ1273" s="35"/>
      <c r="BA1273" s="35"/>
      <c r="BB1273" s="35"/>
      <c r="BC1273" s="35"/>
      <c r="BD1273" s="35"/>
      <c r="BE1273" s="35"/>
      <c r="BF1273" s="35"/>
      <c r="BG1273" s="35"/>
    </row>
    <row r="1274" ht="15.75" customHeight="1">
      <c r="A1274" s="35"/>
      <c r="B1274" s="35"/>
      <c r="C1274" s="35"/>
      <c r="D1274" s="35"/>
      <c r="E1274" s="35"/>
      <c r="F1274" s="35"/>
      <c r="G1274" s="35"/>
      <c r="H1274" s="35"/>
      <c r="I1274" s="35"/>
      <c r="J1274" s="35"/>
      <c r="K1274" s="35"/>
      <c r="L1274" s="35"/>
      <c r="M1274" s="35"/>
      <c r="N1274" s="35"/>
      <c r="O1274" s="35"/>
      <c r="P1274" s="35"/>
      <c r="Q1274" s="35"/>
      <c r="R1274" s="35"/>
      <c r="S1274" s="35"/>
      <c r="T1274" s="35"/>
      <c r="U1274" s="35"/>
      <c r="V1274" s="35"/>
      <c r="W1274" s="35"/>
      <c r="X1274" s="35"/>
      <c r="Y1274" s="35"/>
      <c r="Z1274" s="35"/>
      <c r="AA1274" s="35"/>
      <c r="AB1274" s="35"/>
      <c r="AC1274" s="35"/>
      <c r="AD1274" s="35"/>
      <c r="AE1274" s="35"/>
      <c r="AF1274" s="35"/>
      <c r="AG1274" s="35"/>
      <c r="AH1274" s="35"/>
      <c r="AI1274" s="35"/>
      <c r="AJ1274" s="35"/>
      <c r="AK1274" s="35"/>
      <c r="AL1274" s="35"/>
      <c r="AM1274" s="35"/>
      <c r="AN1274" s="35"/>
      <c r="AO1274" s="35"/>
      <c r="AP1274" s="35"/>
      <c r="AQ1274" s="35"/>
      <c r="AR1274" s="35"/>
      <c r="AS1274" s="35"/>
      <c r="AT1274" s="35"/>
      <c r="AU1274" s="35"/>
      <c r="AV1274" s="35"/>
      <c r="AW1274" s="35"/>
      <c r="AX1274" s="35"/>
      <c r="AY1274" s="35"/>
      <c r="AZ1274" s="35"/>
      <c r="BA1274" s="35"/>
      <c r="BB1274" s="35"/>
      <c r="BC1274" s="35"/>
      <c r="BD1274" s="35"/>
      <c r="BE1274" s="35"/>
      <c r="BF1274" s="35"/>
      <c r="BG1274" s="35"/>
    </row>
    <row r="1275" ht="15.75" customHeight="1">
      <c r="A1275" s="35"/>
      <c r="B1275" s="35"/>
      <c r="C1275" s="35"/>
      <c r="D1275" s="35"/>
      <c r="E1275" s="35"/>
      <c r="F1275" s="35"/>
      <c r="G1275" s="35"/>
      <c r="H1275" s="35"/>
      <c r="I1275" s="35"/>
      <c r="J1275" s="35"/>
      <c r="K1275" s="35"/>
      <c r="L1275" s="35"/>
      <c r="M1275" s="35"/>
      <c r="N1275" s="35"/>
      <c r="O1275" s="35"/>
      <c r="P1275" s="35"/>
      <c r="Q1275" s="35"/>
      <c r="R1275" s="35"/>
      <c r="S1275" s="35"/>
      <c r="T1275" s="35"/>
      <c r="U1275" s="35"/>
      <c r="V1275" s="35"/>
      <c r="W1275" s="35"/>
      <c r="X1275" s="35"/>
      <c r="Y1275" s="35"/>
      <c r="Z1275" s="35"/>
      <c r="AA1275" s="35"/>
      <c r="AB1275" s="35"/>
      <c r="AC1275" s="35"/>
      <c r="AD1275" s="35"/>
      <c r="AE1275" s="35"/>
      <c r="AF1275" s="35"/>
      <c r="AG1275" s="35"/>
      <c r="AH1275" s="35"/>
      <c r="AI1275" s="35"/>
      <c r="AJ1275" s="35"/>
      <c r="AK1275" s="35"/>
      <c r="AL1275" s="35"/>
      <c r="AM1275" s="35"/>
      <c r="AN1275" s="35"/>
      <c r="AO1275" s="35"/>
      <c r="AP1275" s="35"/>
      <c r="AQ1275" s="35"/>
      <c r="AR1275" s="35"/>
      <c r="AS1275" s="35"/>
      <c r="AT1275" s="35"/>
      <c r="AU1275" s="35"/>
      <c r="AV1275" s="35"/>
      <c r="AW1275" s="35"/>
      <c r="AX1275" s="35"/>
      <c r="AY1275" s="35"/>
      <c r="AZ1275" s="35"/>
      <c r="BA1275" s="35"/>
      <c r="BB1275" s="35"/>
      <c r="BC1275" s="35"/>
      <c r="BD1275" s="35"/>
      <c r="BE1275" s="35"/>
      <c r="BF1275" s="35"/>
      <c r="BG1275" s="35"/>
    </row>
    <row r="1276" ht="15.75" customHeight="1">
      <c r="A1276" s="35"/>
      <c r="B1276" s="35"/>
      <c r="C1276" s="35"/>
      <c r="D1276" s="35"/>
      <c r="E1276" s="35"/>
      <c r="F1276" s="35"/>
      <c r="G1276" s="35"/>
      <c r="H1276" s="35"/>
      <c r="I1276" s="35"/>
      <c r="J1276" s="35"/>
      <c r="K1276" s="35"/>
      <c r="L1276" s="35"/>
      <c r="M1276" s="35"/>
      <c r="N1276" s="35"/>
      <c r="O1276" s="35"/>
      <c r="P1276" s="35"/>
      <c r="Q1276" s="35"/>
      <c r="R1276" s="35"/>
      <c r="S1276" s="35"/>
      <c r="T1276" s="35"/>
      <c r="U1276" s="35"/>
      <c r="V1276" s="35"/>
      <c r="W1276" s="35"/>
      <c r="X1276" s="35"/>
      <c r="Y1276" s="35"/>
      <c r="Z1276" s="35"/>
      <c r="AA1276" s="35"/>
      <c r="AB1276" s="35"/>
      <c r="AC1276" s="35"/>
      <c r="AD1276" s="35"/>
      <c r="AE1276" s="35"/>
      <c r="AF1276" s="35"/>
      <c r="AG1276" s="35"/>
      <c r="AH1276" s="35"/>
      <c r="AI1276" s="35"/>
      <c r="AJ1276" s="35"/>
      <c r="AK1276" s="35"/>
      <c r="AL1276" s="35"/>
      <c r="AM1276" s="35"/>
      <c r="AN1276" s="35"/>
      <c r="AO1276" s="35"/>
      <c r="AP1276" s="35"/>
      <c r="AQ1276" s="35"/>
      <c r="AR1276" s="35"/>
      <c r="AS1276" s="35"/>
      <c r="AT1276" s="35"/>
      <c r="AU1276" s="35"/>
      <c r="AV1276" s="35"/>
      <c r="AW1276" s="35"/>
      <c r="AX1276" s="35"/>
      <c r="AY1276" s="35"/>
      <c r="AZ1276" s="35"/>
      <c r="BA1276" s="35"/>
      <c r="BB1276" s="35"/>
      <c r="BC1276" s="35"/>
      <c r="BD1276" s="35"/>
      <c r="BE1276" s="35"/>
      <c r="BF1276" s="35"/>
      <c r="BG1276" s="35"/>
    </row>
    <row r="1277" ht="15.75" customHeight="1">
      <c r="A1277" s="35"/>
      <c r="B1277" s="35"/>
      <c r="C1277" s="35"/>
      <c r="D1277" s="35"/>
      <c r="E1277" s="35"/>
      <c r="F1277" s="35"/>
      <c r="G1277" s="35"/>
      <c r="H1277" s="35"/>
      <c r="I1277" s="35"/>
      <c r="J1277" s="35"/>
      <c r="K1277" s="35"/>
      <c r="L1277" s="35"/>
      <c r="M1277" s="35"/>
      <c r="N1277" s="35"/>
      <c r="O1277" s="35"/>
      <c r="P1277" s="35"/>
      <c r="Q1277" s="35"/>
      <c r="R1277" s="35"/>
      <c r="S1277" s="35"/>
      <c r="T1277" s="35"/>
      <c r="U1277" s="35"/>
      <c r="V1277" s="35"/>
      <c r="W1277" s="35"/>
      <c r="X1277" s="35"/>
      <c r="Y1277" s="35"/>
      <c r="Z1277" s="35"/>
      <c r="AA1277" s="35"/>
      <c r="AB1277" s="35"/>
      <c r="AC1277" s="35"/>
      <c r="AD1277" s="35"/>
      <c r="AE1277" s="35"/>
      <c r="AF1277" s="35"/>
      <c r="AG1277" s="35"/>
      <c r="AH1277" s="35"/>
      <c r="AI1277" s="35"/>
      <c r="AJ1277" s="35"/>
      <c r="AK1277" s="35"/>
      <c r="AL1277" s="35"/>
      <c r="AM1277" s="35"/>
      <c r="AN1277" s="35"/>
      <c r="AO1277" s="35"/>
      <c r="AP1277" s="35"/>
      <c r="AQ1277" s="35"/>
      <c r="AR1277" s="35"/>
      <c r="AS1277" s="35"/>
      <c r="AT1277" s="35"/>
      <c r="AU1277" s="35"/>
      <c r="AV1277" s="35"/>
      <c r="AW1277" s="35"/>
      <c r="AX1277" s="35"/>
      <c r="AY1277" s="35"/>
      <c r="AZ1277" s="35"/>
      <c r="BA1277" s="35"/>
      <c r="BB1277" s="35"/>
      <c r="BC1277" s="35"/>
      <c r="BD1277" s="35"/>
      <c r="BE1277" s="35"/>
      <c r="BF1277" s="35"/>
      <c r="BG1277" s="35"/>
    </row>
    <row r="1278" ht="15.75" customHeight="1">
      <c r="A1278" s="35"/>
      <c r="B1278" s="35"/>
      <c r="C1278" s="35"/>
      <c r="D1278" s="35"/>
      <c r="E1278" s="35"/>
      <c r="F1278" s="35"/>
      <c r="G1278" s="35"/>
      <c r="H1278" s="35"/>
      <c r="I1278" s="35"/>
      <c r="J1278" s="35"/>
      <c r="K1278" s="35"/>
      <c r="L1278" s="35"/>
      <c r="M1278" s="35"/>
      <c r="N1278" s="35"/>
      <c r="O1278" s="35"/>
      <c r="P1278" s="35"/>
      <c r="Q1278" s="35"/>
      <c r="R1278" s="35"/>
      <c r="S1278" s="35"/>
      <c r="T1278" s="35"/>
      <c r="U1278" s="35"/>
      <c r="V1278" s="35"/>
      <c r="W1278" s="35"/>
      <c r="X1278" s="35"/>
      <c r="Y1278" s="35"/>
      <c r="Z1278" s="35"/>
      <c r="AA1278" s="35"/>
      <c r="AB1278" s="35"/>
      <c r="AC1278" s="35"/>
      <c r="AD1278" s="35"/>
      <c r="AE1278" s="35"/>
      <c r="AF1278" s="35"/>
      <c r="AG1278" s="35"/>
      <c r="AH1278" s="35"/>
      <c r="AI1278" s="35"/>
      <c r="AJ1278" s="35"/>
      <c r="AK1278" s="35"/>
      <c r="AL1278" s="35"/>
      <c r="AM1278" s="35"/>
      <c r="AN1278" s="35"/>
      <c r="AO1278" s="35"/>
      <c r="AP1278" s="35"/>
      <c r="AQ1278" s="35"/>
      <c r="AR1278" s="35"/>
      <c r="AS1278" s="35"/>
      <c r="AT1278" s="35"/>
      <c r="AU1278" s="35"/>
      <c r="AV1278" s="35"/>
      <c r="AW1278" s="35"/>
      <c r="AX1278" s="35"/>
      <c r="AY1278" s="35"/>
      <c r="AZ1278" s="35"/>
      <c r="BA1278" s="35"/>
      <c r="BB1278" s="35"/>
      <c r="BC1278" s="35"/>
      <c r="BD1278" s="35"/>
      <c r="BE1278" s="35"/>
      <c r="BF1278" s="35"/>
      <c r="BG1278" s="35"/>
    </row>
    <row r="1279" ht="15.75" customHeight="1">
      <c r="A1279" s="35"/>
      <c r="B1279" s="35"/>
      <c r="C1279" s="35"/>
      <c r="D1279" s="35"/>
      <c r="E1279" s="35"/>
      <c r="F1279" s="35"/>
      <c r="G1279" s="35"/>
      <c r="H1279" s="35"/>
      <c r="I1279" s="35"/>
      <c r="J1279" s="35"/>
      <c r="K1279" s="35"/>
      <c r="L1279" s="35"/>
      <c r="M1279" s="35"/>
      <c r="N1279" s="35"/>
      <c r="O1279" s="35"/>
      <c r="P1279" s="35"/>
      <c r="Q1279" s="35"/>
      <c r="R1279" s="35"/>
      <c r="S1279" s="35"/>
      <c r="T1279" s="35"/>
      <c r="U1279" s="35"/>
      <c r="V1279" s="35"/>
      <c r="W1279" s="35"/>
      <c r="X1279" s="35"/>
      <c r="Y1279" s="35"/>
      <c r="Z1279" s="35"/>
      <c r="AA1279" s="35"/>
      <c r="AB1279" s="35"/>
      <c r="AC1279" s="35"/>
      <c r="AD1279" s="35"/>
      <c r="AE1279" s="35"/>
      <c r="AF1279" s="35"/>
      <c r="AG1279" s="35"/>
      <c r="AH1279" s="35"/>
      <c r="AI1279" s="35"/>
      <c r="AJ1279" s="35"/>
      <c r="AK1279" s="35"/>
      <c r="AL1279" s="35"/>
      <c r="AM1279" s="35"/>
      <c r="AN1279" s="35"/>
      <c r="AO1279" s="35"/>
      <c r="AP1279" s="35"/>
      <c r="AQ1279" s="35"/>
      <c r="AR1279" s="35"/>
      <c r="AS1279" s="35"/>
      <c r="AT1279" s="35"/>
      <c r="AU1279" s="35"/>
      <c r="AV1279" s="35"/>
      <c r="AW1279" s="35"/>
      <c r="AX1279" s="35"/>
      <c r="AY1279" s="35"/>
      <c r="AZ1279" s="35"/>
      <c r="BA1279" s="35"/>
      <c r="BB1279" s="35"/>
      <c r="BC1279" s="35"/>
      <c r="BD1279" s="35"/>
      <c r="BE1279" s="35"/>
      <c r="BF1279" s="35"/>
      <c r="BG1279" s="35"/>
    </row>
    <row r="1280" ht="15.75" customHeight="1">
      <c r="A1280" s="35"/>
      <c r="B1280" s="35"/>
      <c r="C1280" s="35"/>
      <c r="D1280" s="35"/>
      <c r="E1280" s="35"/>
      <c r="F1280" s="35"/>
      <c r="G1280" s="35"/>
      <c r="H1280" s="35"/>
      <c r="I1280" s="35"/>
      <c r="J1280" s="35"/>
      <c r="K1280" s="35"/>
      <c r="L1280" s="35"/>
      <c r="M1280" s="35"/>
      <c r="N1280" s="35"/>
      <c r="O1280" s="35"/>
      <c r="P1280" s="35"/>
      <c r="Q1280" s="35"/>
      <c r="R1280" s="35"/>
      <c r="S1280" s="35"/>
      <c r="T1280" s="35"/>
      <c r="U1280" s="35"/>
      <c r="V1280" s="35"/>
      <c r="W1280" s="35"/>
      <c r="X1280" s="35"/>
      <c r="Y1280" s="35"/>
      <c r="Z1280" s="35"/>
      <c r="AA1280" s="35"/>
      <c r="AB1280" s="35"/>
      <c r="AC1280" s="35"/>
      <c r="AD1280" s="35"/>
      <c r="AE1280" s="35"/>
      <c r="AF1280" s="35"/>
      <c r="AG1280" s="35"/>
      <c r="AH1280" s="35"/>
      <c r="AI1280" s="35"/>
      <c r="AJ1280" s="35"/>
      <c r="AK1280" s="35"/>
      <c r="AL1280" s="35"/>
      <c r="AM1280" s="35"/>
      <c r="AN1280" s="35"/>
      <c r="AO1280" s="35"/>
      <c r="AP1280" s="35"/>
      <c r="AQ1280" s="35"/>
      <c r="AR1280" s="35"/>
      <c r="AS1280" s="35"/>
      <c r="AT1280" s="35"/>
      <c r="AU1280" s="35"/>
      <c r="AV1280" s="35"/>
      <c r="AW1280" s="35"/>
      <c r="AX1280" s="35"/>
      <c r="AY1280" s="35"/>
      <c r="AZ1280" s="35"/>
      <c r="BA1280" s="35"/>
      <c r="BB1280" s="35"/>
      <c r="BC1280" s="35"/>
      <c r="BD1280" s="35"/>
      <c r="BE1280" s="35"/>
      <c r="BF1280" s="35"/>
      <c r="BG1280" s="35"/>
    </row>
    <row r="1281" ht="15.75" customHeight="1">
      <c r="A1281" s="35"/>
      <c r="B1281" s="35"/>
      <c r="C1281" s="35"/>
      <c r="D1281" s="35"/>
      <c r="E1281" s="35"/>
      <c r="F1281" s="35"/>
      <c r="G1281" s="35"/>
      <c r="H1281" s="35"/>
      <c r="I1281" s="35"/>
      <c r="J1281" s="35"/>
      <c r="K1281" s="35"/>
      <c r="L1281" s="35"/>
      <c r="M1281" s="35"/>
      <c r="N1281" s="35"/>
      <c r="O1281" s="35"/>
      <c r="P1281" s="35"/>
      <c r="Q1281" s="35"/>
      <c r="R1281" s="35"/>
      <c r="S1281" s="35"/>
      <c r="T1281" s="35"/>
      <c r="U1281" s="35"/>
      <c r="V1281" s="35"/>
      <c r="W1281" s="35"/>
      <c r="X1281" s="35"/>
      <c r="Y1281" s="35"/>
      <c r="Z1281" s="35"/>
      <c r="AA1281" s="35"/>
      <c r="AB1281" s="35"/>
      <c r="AC1281" s="35"/>
      <c r="AD1281" s="35"/>
      <c r="AE1281" s="35"/>
      <c r="AF1281" s="35"/>
      <c r="AG1281" s="35"/>
      <c r="AH1281" s="35"/>
      <c r="AI1281" s="35"/>
      <c r="AJ1281" s="35"/>
      <c r="AK1281" s="35"/>
      <c r="AL1281" s="35"/>
      <c r="AM1281" s="35"/>
      <c r="AN1281" s="35"/>
      <c r="AO1281" s="35"/>
      <c r="AP1281" s="35"/>
      <c r="AQ1281" s="35"/>
      <c r="AR1281" s="35"/>
      <c r="AS1281" s="35"/>
      <c r="AT1281" s="35"/>
      <c r="AU1281" s="35"/>
      <c r="AV1281" s="35"/>
      <c r="AW1281" s="35"/>
      <c r="AX1281" s="35"/>
      <c r="AY1281" s="35"/>
      <c r="AZ1281" s="35"/>
      <c r="BA1281" s="35"/>
      <c r="BB1281" s="35"/>
      <c r="BC1281" s="35"/>
      <c r="BD1281" s="35"/>
      <c r="BE1281" s="35"/>
      <c r="BF1281" s="35"/>
      <c r="BG1281" s="35"/>
    </row>
    <row r="1282" ht="15.75" customHeight="1">
      <c r="A1282" s="35"/>
      <c r="B1282" s="35"/>
      <c r="C1282" s="35"/>
      <c r="D1282" s="35"/>
      <c r="E1282" s="35"/>
      <c r="F1282" s="35"/>
      <c r="G1282" s="35"/>
      <c r="H1282" s="35"/>
      <c r="I1282" s="35"/>
      <c r="J1282" s="35"/>
      <c r="K1282" s="35"/>
      <c r="L1282" s="35"/>
      <c r="M1282" s="35"/>
      <c r="N1282" s="35"/>
      <c r="O1282" s="35"/>
      <c r="P1282" s="35"/>
      <c r="Q1282" s="35"/>
      <c r="R1282" s="35"/>
      <c r="S1282" s="35"/>
      <c r="T1282" s="35"/>
      <c r="U1282" s="35"/>
      <c r="V1282" s="35"/>
      <c r="W1282" s="35"/>
      <c r="X1282" s="35"/>
      <c r="Y1282" s="35"/>
      <c r="Z1282" s="35"/>
      <c r="AA1282" s="35"/>
      <c r="AB1282" s="35"/>
      <c r="AC1282" s="35"/>
      <c r="AD1282" s="35"/>
      <c r="AE1282" s="35"/>
      <c r="AF1282" s="35"/>
      <c r="AG1282" s="35"/>
      <c r="AH1282" s="35"/>
      <c r="AI1282" s="35"/>
      <c r="AJ1282" s="35"/>
      <c r="AK1282" s="35"/>
      <c r="AL1282" s="35"/>
      <c r="AM1282" s="35"/>
      <c r="AN1282" s="35"/>
      <c r="AO1282" s="35"/>
      <c r="AP1282" s="35"/>
      <c r="AQ1282" s="35"/>
      <c r="AR1282" s="35"/>
      <c r="AS1282" s="35"/>
      <c r="AT1282" s="35"/>
      <c r="AU1282" s="35"/>
      <c r="AV1282" s="35"/>
      <c r="AW1282" s="35"/>
      <c r="AX1282" s="35"/>
      <c r="AY1282" s="35"/>
      <c r="AZ1282" s="35"/>
      <c r="BA1282" s="35"/>
      <c r="BB1282" s="35"/>
      <c r="BC1282" s="35"/>
      <c r="BD1282" s="35"/>
      <c r="BE1282" s="35"/>
      <c r="BF1282" s="35"/>
      <c r="BG1282" s="35"/>
    </row>
    <row r="1283" ht="15.75" customHeight="1">
      <c r="A1283" s="35"/>
      <c r="B1283" s="35"/>
      <c r="C1283" s="35"/>
      <c r="D1283" s="35"/>
      <c r="E1283" s="35"/>
      <c r="F1283" s="35"/>
      <c r="G1283" s="35"/>
      <c r="H1283" s="35"/>
      <c r="I1283" s="35"/>
      <c r="J1283" s="35"/>
      <c r="K1283" s="35"/>
      <c r="L1283" s="35"/>
      <c r="M1283" s="35"/>
      <c r="N1283" s="35"/>
      <c r="O1283" s="35"/>
      <c r="P1283" s="35"/>
      <c r="Q1283" s="35"/>
      <c r="R1283" s="35"/>
      <c r="S1283" s="35"/>
      <c r="T1283" s="35"/>
      <c r="U1283" s="35"/>
      <c r="V1283" s="35"/>
      <c r="W1283" s="35"/>
      <c r="X1283" s="35"/>
      <c r="Y1283" s="35"/>
      <c r="Z1283" s="35"/>
      <c r="AA1283" s="35"/>
      <c r="AB1283" s="35"/>
      <c r="AC1283" s="35"/>
      <c r="AD1283" s="35"/>
      <c r="AE1283" s="35"/>
      <c r="AF1283" s="35"/>
      <c r="AG1283" s="35"/>
      <c r="AH1283" s="35"/>
      <c r="AI1283" s="35"/>
      <c r="AJ1283" s="35"/>
      <c r="AK1283" s="35"/>
      <c r="AL1283" s="35"/>
      <c r="AM1283" s="35"/>
      <c r="AN1283" s="35"/>
      <c r="AO1283" s="35"/>
      <c r="AP1283" s="35"/>
      <c r="AQ1283" s="35"/>
      <c r="AR1283" s="35"/>
      <c r="AS1283" s="35"/>
      <c r="AT1283" s="35"/>
      <c r="AU1283" s="35"/>
      <c r="AV1283" s="35"/>
      <c r="AW1283" s="35"/>
      <c r="AX1283" s="35"/>
      <c r="AY1283" s="35"/>
      <c r="AZ1283" s="35"/>
      <c r="BA1283" s="35"/>
      <c r="BB1283" s="35"/>
      <c r="BC1283" s="35"/>
      <c r="BD1283" s="35"/>
      <c r="BE1283" s="35"/>
      <c r="BF1283" s="35"/>
      <c r="BG1283" s="35"/>
    </row>
    <row r="1284" ht="15.75" customHeight="1">
      <c r="A1284" s="35"/>
      <c r="B1284" s="35"/>
      <c r="C1284" s="35"/>
      <c r="D1284" s="35"/>
      <c r="E1284" s="35"/>
      <c r="F1284" s="35"/>
      <c r="G1284" s="35"/>
      <c r="H1284" s="35"/>
      <c r="I1284" s="35"/>
      <c r="J1284" s="35"/>
      <c r="K1284" s="35"/>
      <c r="L1284" s="35"/>
      <c r="M1284" s="35"/>
      <c r="N1284" s="35"/>
      <c r="O1284" s="35"/>
      <c r="P1284" s="35"/>
      <c r="Q1284" s="35"/>
      <c r="R1284" s="35"/>
      <c r="S1284" s="35"/>
      <c r="T1284" s="35"/>
      <c r="U1284" s="35"/>
      <c r="V1284" s="35"/>
      <c r="W1284" s="35"/>
      <c r="X1284" s="35"/>
      <c r="Y1284" s="35"/>
      <c r="Z1284" s="35"/>
      <c r="AA1284" s="35"/>
      <c r="AB1284" s="35"/>
      <c r="AC1284" s="35"/>
      <c r="AD1284" s="35"/>
      <c r="AE1284" s="35"/>
      <c r="AF1284" s="35"/>
      <c r="AG1284" s="35"/>
      <c r="AH1284" s="35"/>
      <c r="AI1284" s="35"/>
      <c r="AJ1284" s="35"/>
      <c r="AK1284" s="35"/>
      <c r="AL1284" s="35"/>
      <c r="AM1284" s="35"/>
      <c r="AN1284" s="35"/>
      <c r="AO1284" s="35"/>
      <c r="AP1284" s="35"/>
      <c r="AQ1284" s="35"/>
      <c r="AR1284" s="35"/>
      <c r="AS1284" s="35"/>
      <c r="AT1284" s="35"/>
      <c r="AU1284" s="35"/>
      <c r="AV1284" s="35"/>
      <c r="AW1284" s="35"/>
      <c r="AX1284" s="35"/>
      <c r="AY1284" s="35"/>
      <c r="AZ1284" s="35"/>
      <c r="BA1284" s="35"/>
      <c r="BB1284" s="35"/>
      <c r="BC1284" s="35"/>
      <c r="BD1284" s="35"/>
      <c r="BE1284" s="35"/>
      <c r="BF1284" s="35"/>
      <c r="BG1284" s="35"/>
    </row>
    <row r="1285" ht="15.75" customHeight="1">
      <c r="A1285" s="35"/>
      <c r="B1285" s="35"/>
      <c r="C1285" s="35"/>
      <c r="D1285" s="35"/>
      <c r="E1285" s="35"/>
      <c r="F1285" s="35"/>
      <c r="G1285" s="35"/>
      <c r="H1285" s="35"/>
      <c r="I1285" s="35"/>
      <c r="J1285" s="35"/>
      <c r="K1285" s="35"/>
      <c r="L1285" s="35"/>
      <c r="M1285" s="35"/>
      <c r="N1285" s="35"/>
      <c r="O1285" s="35"/>
      <c r="P1285" s="35"/>
      <c r="Q1285" s="35"/>
      <c r="R1285" s="35"/>
      <c r="S1285" s="35"/>
      <c r="T1285" s="35"/>
      <c r="U1285" s="35"/>
      <c r="V1285" s="35"/>
      <c r="W1285" s="35"/>
      <c r="X1285" s="35"/>
      <c r="Y1285" s="35"/>
      <c r="Z1285" s="35"/>
      <c r="AA1285" s="35"/>
      <c r="AB1285" s="35"/>
      <c r="AC1285" s="35"/>
      <c r="AD1285" s="35"/>
      <c r="AE1285" s="35"/>
      <c r="AF1285" s="35"/>
      <c r="AG1285" s="35"/>
      <c r="AH1285" s="35"/>
      <c r="AI1285" s="35"/>
      <c r="AJ1285" s="35"/>
      <c r="AK1285" s="35"/>
      <c r="AL1285" s="35"/>
      <c r="AM1285" s="35"/>
      <c r="AN1285" s="35"/>
      <c r="AO1285" s="35"/>
      <c r="AP1285" s="35"/>
      <c r="AQ1285" s="35"/>
      <c r="AR1285" s="35"/>
      <c r="AS1285" s="35"/>
      <c r="AT1285" s="35"/>
      <c r="AU1285" s="35"/>
      <c r="AV1285" s="35"/>
      <c r="AW1285" s="35"/>
      <c r="AX1285" s="35"/>
      <c r="AY1285" s="35"/>
      <c r="AZ1285" s="35"/>
      <c r="BA1285" s="35"/>
      <c r="BB1285" s="35"/>
      <c r="BC1285" s="35"/>
      <c r="BD1285" s="35"/>
      <c r="BE1285" s="35"/>
      <c r="BF1285" s="35"/>
      <c r="BG1285" s="35"/>
    </row>
    <row r="1286" ht="15.75" customHeight="1">
      <c r="A1286" s="35"/>
      <c r="B1286" s="35"/>
      <c r="C1286" s="35"/>
      <c r="D1286" s="35"/>
      <c r="E1286" s="35"/>
      <c r="F1286" s="35"/>
      <c r="G1286" s="35"/>
      <c r="H1286" s="35"/>
      <c r="I1286" s="35"/>
      <c r="J1286" s="35"/>
      <c r="K1286" s="35"/>
      <c r="L1286" s="35"/>
      <c r="M1286" s="35"/>
      <c r="N1286" s="35"/>
      <c r="O1286" s="35"/>
      <c r="P1286" s="35"/>
      <c r="Q1286" s="35"/>
      <c r="R1286" s="35"/>
      <c r="S1286" s="35"/>
      <c r="T1286" s="35"/>
      <c r="U1286" s="35"/>
      <c r="V1286" s="35"/>
      <c r="W1286" s="35"/>
      <c r="X1286" s="35"/>
      <c r="Y1286" s="35"/>
      <c r="Z1286" s="35"/>
      <c r="AA1286" s="35"/>
      <c r="AB1286" s="35"/>
      <c r="AC1286" s="35"/>
      <c r="AD1286" s="35"/>
      <c r="AE1286" s="35"/>
      <c r="AF1286" s="35"/>
      <c r="AG1286" s="35"/>
      <c r="AH1286" s="35"/>
      <c r="AI1286" s="35"/>
      <c r="AJ1286" s="35"/>
      <c r="AK1286" s="35"/>
      <c r="AL1286" s="35"/>
      <c r="AM1286" s="35"/>
      <c r="AN1286" s="35"/>
      <c r="AO1286" s="35"/>
      <c r="AP1286" s="35"/>
      <c r="AQ1286" s="35"/>
      <c r="AR1286" s="35"/>
      <c r="AS1286" s="35"/>
      <c r="AT1286" s="35"/>
      <c r="AU1286" s="35"/>
      <c r="AV1286" s="35"/>
      <c r="AW1286" s="35"/>
      <c r="AX1286" s="35"/>
      <c r="AY1286" s="35"/>
      <c r="AZ1286" s="35"/>
      <c r="BA1286" s="35"/>
      <c r="BB1286" s="35"/>
      <c r="BC1286" s="35"/>
      <c r="BD1286" s="35"/>
      <c r="BE1286" s="35"/>
      <c r="BF1286" s="35"/>
      <c r="BG1286" s="35"/>
    </row>
    <row r="1287" ht="15.75" customHeight="1">
      <c r="A1287" s="35"/>
      <c r="B1287" s="35"/>
      <c r="C1287" s="35"/>
      <c r="D1287" s="35"/>
      <c r="E1287" s="35"/>
      <c r="F1287" s="35"/>
      <c r="G1287" s="35"/>
      <c r="H1287" s="35"/>
      <c r="I1287" s="35"/>
      <c r="J1287" s="35"/>
      <c r="K1287" s="35"/>
      <c r="L1287" s="35"/>
      <c r="M1287" s="35"/>
      <c r="N1287" s="35"/>
      <c r="O1287" s="35"/>
      <c r="P1287" s="35"/>
      <c r="Q1287" s="35"/>
      <c r="R1287" s="35"/>
      <c r="S1287" s="35"/>
      <c r="T1287" s="35"/>
      <c r="U1287" s="35"/>
      <c r="V1287" s="35"/>
      <c r="W1287" s="35"/>
      <c r="X1287" s="35"/>
      <c r="Y1287" s="35"/>
      <c r="Z1287" s="35"/>
      <c r="AA1287" s="35"/>
      <c r="AB1287" s="35"/>
      <c r="AC1287" s="35"/>
      <c r="AD1287" s="35"/>
      <c r="AE1287" s="35"/>
      <c r="AF1287" s="35"/>
      <c r="AG1287" s="35"/>
      <c r="AH1287" s="35"/>
      <c r="AI1287" s="35"/>
      <c r="AJ1287" s="35"/>
      <c r="AK1287" s="35"/>
      <c r="AL1287" s="35"/>
      <c r="AM1287" s="35"/>
      <c r="AN1287" s="35"/>
      <c r="AO1287" s="35"/>
      <c r="AP1287" s="35"/>
      <c r="AQ1287" s="35"/>
      <c r="AR1287" s="35"/>
      <c r="AS1287" s="35"/>
      <c r="AT1287" s="35"/>
      <c r="AU1287" s="35"/>
      <c r="AV1287" s="35"/>
      <c r="AW1287" s="35"/>
      <c r="AX1287" s="35"/>
      <c r="AY1287" s="35"/>
      <c r="AZ1287" s="35"/>
      <c r="BA1287" s="35"/>
      <c r="BB1287" s="35"/>
      <c r="BC1287" s="35"/>
      <c r="BD1287" s="35"/>
      <c r="BE1287" s="35"/>
      <c r="BF1287" s="35"/>
      <c r="BG1287" s="35"/>
    </row>
    <row r="1288" ht="15.75" customHeight="1">
      <c r="A1288" s="35"/>
      <c r="B1288" s="35"/>
      <c r="C1288" s="35"/>
      <c r="D1288" s="35"/>
      <c r="E1288" s="35"/>
      <c r="F1288" s="35"/>
      <c r="G1288" s="35"/>
      <c r="H1288" s="35"/>
      <c r="I1288" s="35"/>
      <c r="J1288" s="35"/>
      <c r="K1288" s="35"/>
      <c r="L1288" s="35"/>
      <c r="M1288" s="35"/>
      <c r="N1288" s="35"/>
      <c r="O1288" s="35"/>
      <c r="P1288" s="35"/>
      <c r="Q1288" s="35"/>
      <c r="R1288" s="35"/>
      <c r="S1288" s="35"/>
      <c r="T1288" s="35"/>
      <c r="U1288" s="35"/>
      <c r="V1288" s="35"/>
      <c r="W1288" s="35"/>
      <c r="X1288" s="35"/>
      <c r="Y1288" s="35"/>
      <c r="Z1288" s="35"/>
      <c r="AA1288" s="35"/>
      <c r="AB1288" s="35"/>
      <c r="AC1288" s="35"/>
      <c r="AD1288" s="35"/>
      <c r="AE1288" s="35"/>
      <c r="AF1288" s="35"/>
      <c r="AG1288" s="35"/>
      <c r="AH1288" s="35"/>
      <c r="AI1288" s="35"/>
      <c r="AJ1288" s="35"/>
      <c r="AK1288" s="35"/>
      <c r="AL1288" s="35"/>
      <c r="AM1288" s="35"/>
      <c r="AN1288" s="35"/>
      <c r="AO1288" s="35"/>
      <c r="AP1288" s="35"/>
      <c r="AQ1288" s="35"/>
      <c r="AR1288" s="35"/>
      <c r="AS1288" s="35"/>
      <c r="AT1288" s="35"/>
      <c r="AU1288" s="35"/>
      <c r="AV1288" s="35"/>
      <c r="AW1288" s="35"/>
      <c r="AX1288" s="35"/>
      <c r="AY1288" s="35"/>
      <c r="AZ1288" s="35"/>
      <c r="BA1288" s="35"/>
      <c r="BB1288" s="35"/>
      <c r="BC1288" s="35"/>
      <c r="BD1288" s="35"/>
      <c r="BE1288" s="35"/>
      <c r="BF1288" s="35"/>
      <c r="BG1288" s="35"/>
    </row>
    <row r="1289" ht="15.75" customHeight="1">
      <c r="A1289" s="35"/>
      <c r="B1289" s="35"/>
      <c r="C1289" s="35"/>
      <c r="D1289" s="35"/>
      <c r="E1289" s="35"/>
      <c r="F1289" s="35"/>
      <c r="G1289" s="35"/>
      <c r="H1289" s="35"/>
      <c r="I1289" s="35"/>
      <c r="J1289" s="35"/>
      <c r="K1289" s="35"/>
      <c r="L1289" s="35"/>
      <c r="M1289" s="35"/>
      <c r="N1289" s="35"/>
      <c r="O1289" s="35"/>
      <c r="P1289" s="35"/>
      <c r="Q1289" s="35"/>
      <c r="R1289" s="35"/>
      <c r="S1289" s="35"/>
      <c r="T1289" s="35"/>
      <c r="U1289" s="35"/>
      <c r="V1289" s="35"/>
      <c r="W1289" s="35"/>
      <c r="X1289" s="35"/>
      <c r="Y1289" s="35"/>
      <c r="Z1289" s="35"/>
      <c r="AA1289" s="35"/>
      <c r="AB1289" s="35"/>
      <c r="AC1289" s="35"/>
      <c r="AD1289" s="35"/>
      <c r="AE1289" s="35"/>
      <c r="AF1289" s="35"/>
      <c r="AG1289" s="35"/>
      <c r="AH1289" s="35"/>
      <c r="AI1289" s="35"/>
      <c r="AJ1289" s="35"/>
      <c r="AK1289" s="35"/>
      <c r="AL1289" s="35"/>
      <c r="AM1289" s="35"/>
      <c r="AN1289" s="35"/>
      <c r="AO1289" s="35"/>
      <c r="AP1289" s="35"/>
      <c r="AQ1289" s="35"/>
      <c r="AR1289" s="35"/>
      <c r="AS1289" s="35"/>
      <c r="AT1289" s="35"/>
      <c r="AU1289" s="35"/>
      <c r="AV1289" s="35"/>
      <c r="AW1289" s="35"/>
      <c r="AX1289" s="35"/>
      <c r="AY1289" s="35"/>
      <c r="AZ1289" s="35"/>
      <c r="BA1289" s="35"/>
      <c r="BB1289" s="35"/>
      <c r="BC1289" s="35"/>
      <c r="BD1289" s="35"/>
      <c r="BE1289" s="35"/>
      <c r="BF1289" s="35"/>
      <c r="BG1289" s="35"/>
    </row>
    <row r="1290" ht="15.75" customHeight="1">
      <c r="A1290" s="35"/>
      <c r="B1290" s="35"/>
      <c r="C1290" s="35"/>
      <c r="D1290" s="35"/>
      <c r="E1290" s="35"/>
      <c r="F1290" s="35"/>
      <c r="G1290" s="35"/>
      <c r="H1290" s="35"/>
      <c r="I1290" s="35"/>
      <c r="J1290" s="35"/>
      <c r="K1290" s="35"/>
      <c r="L1290" s="35"/>
      <c r="M1290" s="35"/>
      <c r="N1290" s="35"/>
      <c r="O1290" s="35"/>
      <c r="P1290" s="35"/>
      <c r="Q1290" s="35"/>
      <c r="R1290" s="35"/>
      <c r="S1290" s="35"/>
      <c r="T1290" s="35"/>
      <c r="U1290" s="35"/>
      <c r="V1290" s="35"/>
      <c r="W1290" s="35"/>
      <c r="X1290" s="35"/>
      <c r="Y1290" s="35"/>
      <c r="Z1290" s="35"/>
      <c r="AA1290" s="35"/>
      <c r="AB1290" s="35"/>
      <c r="AC1290" s="35"/>
      <c r="AD1290" s="35"/>
      <c r="AE1290" s="35"/>
      <c r="AF1290" s="35"/>
      <c r="AG1290" s="35"/>
      <c r="AH1290" s="35"/>
      <c r="AI1290" s="35"/>
      <c r="AJ1290" s="35"/>
      <c r="AK1290" s="35"/>
      <c r="AL1290" s="35"/>
      <c r="AM1290" s="35"/>
      <c r="AN1290" s="35"/>
      <c r="AO1290" s="35"/>
      <c r="AP1290" s="35"/>
      <c r="AQ1290" s="35"/>
      <c r="AR1290" s="35"/>
      <c r="AS1290" s="35"/>
      <c r="AT1290" s="35"/>
      <c r="AU1290" s="35"/>
      <c r="AV1290" s="35"/>
      <c r="AW1290" s="35"/>
      <c r="AX1290" s="35"/>
      <c r="AY1290" s="35"/>
      <c r="AZ1290" s="35"/>
      <c r="BA1290" s="35"/>
      <c r="BB1290" s="35"/>
      <c r="BC1290" s="35"/>
      <c r="BD1290" s="35"/>
      <c r="BE1290" s="35"/>
      <c r="BF1290" s="35"/>
      <c r="BG1290" s="35"/>
    </row>
    <row r="1291" ht="15.75" customHeight="1">
      <c r="A1291" s="35"/>
      <c r="B1291" s="35"/>
      <c r="C1291" s="35"/>
      <c r="D1291" s="35"/>
      <c r="E1291" s="35"/>
      <c r="F1291" s="35"/>
      <c r="G1291" s="35"/>
      <c r="H1291" s="35"/>
      <c r="I1291" s="35"/>
      <c r="J1291" s="35"/>
      <c r="K1291" s="35"/>
      <c r="L1291" s="35"/>
      <c r="M1291" s="35"/>
      <c r="N1291" s="35"/>
      <c r="O1291" s="35"/>
      <c r="P1291" s="35"/>
      <c r="Q1291" s="35"/>
      <c r="R1291" s="35"/>
      <c r="S1291" s="35"/>
      <c r="T1291" s="35"/>
      <c r="U1291" s="35"/>
      <c r="V1291" s="35"/>
      <c r="W1291" s="35"/>
      <c r="X1291" s="35"/>
      <c r="Y1291" s="35"/>
      <c r="Z1291" s="35"/>
      <c r="AA1291" s="35"/>
      <c r="AB1291" s="35"/>
      <c r="AC1291" s="35"/>
      <c r="AD1291" s="35"/>
      <c r="AE1291" s="35"/>
      <c r="AF1291" s="35"/>
      <c r="AG1291" s="35"/>
      <c r="AH1291" s="35"/>
      <c r="AI1291" s="35"/>
      <c r="AJ1291" s="35"/>
      <c r="AK1291" s="35"/>
      <c r="AL1291" s="35"/>
      <c r="AM1291" s="35"/>
      <c r="AN1291" s="35"/>
      <c r="AO1291" s="35"/>
      <c r="AP1291" s="35"/>
      <c r="AQ1291" s="35"/>
      <c r="AR1291" s="35"/>
      <c r="AS1291" s="35"/>
      <c r="AT1291" s="35"/>
      <c r="AU1291" s="35"/>
      <c r="AV1291" s="35"/>
      <c r="AW1291" s="35"/>
      <c r="AX1291" s="35"/>
      <c r="AY1291" s="35"/>
      <c r="AZ1291" s="35"/>
      <c r="BA1291" s="35"/>
      <c r="BB1291" s="35"/>
      <c r="BC1291" s="35"/>
      <c r="BD1291" s="35"/>
      <c r="BE1291" s="35"/>
      <c r="BF1291" s="35"/>
      <c r="BG1291" s="35"/>
    </row>
    <row r="1292" ht="15.75" customHeight="1">
      <c r="A1292" s="35"/>
      <c r="B1292" s="35"/>
      <c r="C1292" s="35"/>
      <c r="D1292" s="35"/>
      <c r="E1292" s="35"/>
      <c r="F1292" s="35"/>
      <c r="G1292" s="35"/>
      <c r="H1292" s="35"/>
      <c r="I1292" s="35"/>
      <c r="J1292" s="35"/>
      <c r="K1292" s="35"/>
      <c r="L1292" s="35"/>
      <c r="M1292" s="35"/>
      <c r="N1292" s="35"/>
      <c r="O1292" s="35"/>
      <c r="P1292" s="35"/>
      <c r="Q1292" s="35"/>
      <c r="R1292" s="35"/>
      <c r="S1292" s="35"/>
      <c r="T1292" s="35"/>
      <c r="U1292" s="35"/>
      <c r="V1292" s="35"/>
      <c r="W1292" s="35"/>
      <c r="X1292" s="35"/>
      <c r="Y1292" s="35"/>
      <c r="Z1292" s="35"/>
      <c r="AA1292" s="35"/>
      <c r="AB1292" s="35"/>
      <c r="AC1292" s="35"/>
      <c r="AD1292" s="35"/>
      <c r="AE1292" s="35"/>
      <c r="AF1292" s="35"/>
      <c r="AG1292" s="35"/>
      <c r="AH1292" s="35"/>
      <c r="AI1292" s="35"/>
      <c r="AJ1292" s="35"/>
      <c r="AK1292" s="35"/>
      <c r="AL1292" s="35"/>
      <c r="AM1292" s="35"/>
      <c r="AN1292" s="35"/>
      <c r="AO1292" s="35"/>
      <c r="AP1292" s="35"/>
      <c r="AQ1292" s="35"/>
      <c r="AR1292" s="35"/>
      <c r="AS1292" s="35"/>
      <c r="AT1292" s="35"/>
      <c r="AU1292" s="35"/>
      <c r="AV1292" s="35"/>
      <c r="AW1292" s="35"/>
      <c r="AX1292" s="35"/>
      <c r="AY1292" s="35"/>
      <c r="AZ1292" s="35"/>
      <c r="BA1292" s="35"/>
      <c r="BB1292" s="35"/>
      <c r="BC1292" s="35"/>
      <c r="BD1292" s="35"/>
      <c r="BE1292" s="35"/>
      <c r="BF1292" s="35"/>
      <c r="BG1292" s="35"/>
    </row>
    <row r="1293" ht="15.75" customHeight="1">
      <c r="A1293" s="35"/>
      <c r="B1293" s="35"/>
      <c r="C1293" s="35"/>
      <c r="D1293" s="35"/>
      <c r="E1293" s="35"/>
      <c r="F1293" s="35"/>
      <c r="G1293" s="35"/>
      <c r="H1293" s="35"/>
      <c r="I1293" s="35"/>
      <c r="J1293" s="35"/>
      <c r="K1293" s="35"/>
      <c r="L1293" s="35"/>
      <c r="M1293" s="35"/>
      <c r="N1293" s="35"/>
      <c r="O1293" s="35"/>
      <c r="P1293" s="35"/>
      <c r="Q1293" s="35"/>
      <c r="R1293" s="35"/>
      <c r="S1293" s="35"/>
      <c r="T1293" s="35"/>
      <c r="U1293" s="35"/>
      <c r="V1293" s="35"/>
      <c r="W1293" s="35"/>
      <c r="X1293" s="35"/>
      <c r="Y1293" s="35"/>
      <c r="Z1293" s="35"/>
      <c r="AA1293" s="35"/>
      <c r="AB1293" s="35"/>
      <c r="AC1293" s="35"/>
      <c r="AD1293" s="35"/>
      <c r="AE1293" s="35"/>
      <c r="AF1293" s="35"/>
      <c r="AG1293" s="35"/>
      <c r="AH1293" s="35"/>
      <c r="AI1293" s="35"/>
      <c r="AJ1293" s="35"/>
      <c r="AK1293" s="35"/>
      <c r="AL1293" s="35"/>
      <c r="AM1293" s="35"/>
      <c r="AN1293" s="35"/>
      <c r="AO1293" s="35"/>
      <c r="AP1293" s="35"/>
      <c r="AQ1293" s="35"/>
      <c r="AR1293" s="35"/>
      <c r="AS1293" s="35"/>
      <c r="AT1293" s="35"/>
      <c r="AU1293" s="35"/>
      <c r="AV1293" s="35"/>
      <c r="AW1293" s="35"/>
      <c r="AX1293" s="35"/>
      <c r="AY1293" s="35"/>
      <c r="AZ1293" s="35"/>
      <c r="BA1293" s="35"/>
      <c r="BB1293" s="35"/>
      <c r="BC1293" s="35"/>
      <c r="BD1293" s="35"/>
      <c r="BE1293" s="35"/>
      <c r="BF1293" s="35"/>
      <c r="BG1293" s="35"/>
    </row>
    <row r="1294" ht="15.75" customHeight="1">
      <c r="A1294" s="35"/>
      <c r="B1294" s="35"/>
      <c r="C1294" s="35"/>
      <c r="D1294" s="35"/>
      <c r="E1294" s="35"/>
      <c r="F1294" s="35"/>
      <c r="G1294" s="35"/>
      <c r="H1294" s="35"/>
      <c r="I1294" s="35"/>
      <c r="J1294" s="35"/>
      <c r="K1294" s="35"/>
      <c r="L1294" s="35"/>
      <c r="M1294" s="35"/>
      <c r="N1294" s="35"/>
      <c r="O1294" s="35"/>
      <c r="P1294" s="35"/>
      <c r="Q1294" s="35"/>
      <c r="R1294" s="35"/>
      <c r="S1294" s="35"/>
      <c r="T1294" s="35"/>
      <c r="U1294" s="35"/>
      <c r="V1294" s="35"/>
      <c r="W1294" s="35"/>
      <c r="X1294" s="35"/>
      <c r="Y1294" s="35"/>
      <c r="Z1294" s="35"/>
      <c r="AA1294" s="35"/>
      <c r="AB1294" s="35"/>
      <c r="AC1294" s="35"/>
      <c r="AD1294" s="35"/>
      <c r="AE1294" s="35"/>
      <c r="AF1294" s="35"/>
      <c r="AG1294" s="35"/>
      <c r="AH1294" s="35"/>
      <c r="AI1294" s="35"/>
      <c r="AJ1294" s="35"/>
      <c r="AK1294" s="35"/>
      <c r="AL1294" s="35"/>
      <c r="AM1294" s="35"/>
      <c r="AN1294" s="35"/>
      <c r="AO1294" s="35"/>
      <c r="AP1294" s="35"/>
      <c r="AQ1294" s="35"/>
      <c r="AR1294" s="35"/>
      <c r="AS1294" s="35"/>
      <c r="AT1294" s="35"/>
      <c r="AU1294" s="35"/>
      <c r="AV1294" s="35"/>
      <c r="AW1294" s="35"/>
      <c r="AX1294" s="35"/>
      <c r="AY1294" s="35"/>
      <c r="AZ1294" s="35"/>
      <c r="BA1294" s="35"/>
      <c r="BB1294" s="35"/>
      <c r="BC1294" s="35"/>
      <c r="BD1294" s="35"/>
      <c r="BE1294" s="35"/>
      <c r="BF1294" s="35"/>
      <c r="BG1294" s="35"/>
    </row>
    <row r="1295" ht="15.75" customHeight="1">
      <c r="A1295" s="35"/>
      <c r="B1295" s="35"/>
      <c r="C1295" s="35"/>
      <c r="D1295" s="35"/>
      <c r="E1295" s="35"/>
      <c r="F1295" s="35"/>
      <c r="G1295" s="35"/>
      <c r="H1295" s="35"/>
      <c r="I1295" s="35"/>
      <c r="J1295" s="35"/>
      <c r="K1295" s="35"/>
      <c r="L1295" s="35"/>
      <c r="M1295" s="35"/>
      <c r="N1295" s="35"/>
      <c r="O1295" s="35"/>
      <c r="P1295" s="35"/>
      <c r="Q1295" s="35"/>
      <c r="R1295" s="35"/>
      <c r="S1295" s="35"/>
      <c r="T1295" s="35"/>
      <c r="U1295" s="35"/>
      <c r="V1295" s="35"/>
      <c r="W1295" s="35"/>
      <c r="X1295" s="35"/>
      <c r="Y1295" s="35"/>
      <c r="Z1295" s="35"/>
      <c r="AA1295" s="35"/>
      <c r="AB1295" s="35"/>
      <c r="AC1295" s="35"/>
      <c r="AD1295" s="35"/>
      <c r="AE1295" s="35"/>
      <c r="AF1295" s="35"/>
      <c r="AG1295" s="35"/>
      <c r="AH1295" s="35"/>
      <c r="AI1295" s="35"/>
      <c r="AJ1295" s="35"/>
      <c r="AK1295" s="35"/>
      <c r="AL1295" s="35"/>
      <c r="AM1295" s="35"/>
      <c r="AN1295" s="35"/>
      <c r="AO1295" s="35"/>
      <c r="AP1295" s="35"/>
      <c r="AQ1295" s="35"/>
      <c r="AR1295" s="35"/>
      <c r="AS1295" s="35"/>
      <c r="AT1295" s="35"/>
      <c r="AU1295" s="35"/>
      <c r="AV1295" s="35"/>
      <c r="AW1295" s="35"/>
      <c r="AX1295" s="35"/>
      <c r="AY1295" s="35"/>
      <c r="AZ1295" s="35"/>
      <c r="BA1295" s="35"/>
      <c r="BB1295" s="35"/>
      <c r="BC1295" s="35"/>
      <c r="BD1295" s="35"/>
      <c r="BE1295" s="35"/>
      <c r="BF1295" s="35"/>
      <c r="BG1295" s="35"/>
    </row>
    <row r="1296" ht="15.75" customHeight="1">
      <c r="A1296" s="35"/>
      <c r="B1296" s="35"/>
      <c r="C1296" s="35"/>
      <c r="D1296" s="35"/>
      <c r="E1296" s="35"/>
      <c r="F1296" s="35"/>
      <c r="G1296" s="35"/>
      <c r="H1296" s="35"/>
      <c r="I1296" s="35"/>
      <c r="J1296" s="35"/>
      <c r="K1296" s="35"/>
      <c r="L1296" s="35"/>
      <c r="M1296" s="35"/>
      <c r="N1296" s="35"/>
      <c r="O1296" s="35"/>
      <c r="P1296" s="35"/>
      <c r="Q1296" s="35"/>
      <c r="R1296" s="35"/>
      <c r="S1296" s="35"/>
      <c r="T1296" s="35"/>
      <c r="U1296" s="35"/>
      <c r="V1296" s="35"/>
      <c r="W1296" s="35"/>
      <c r="X1296" s="35"/>
      <c r="Y1296" s="35"/>
      <c r="Z1296" s="35"/>
      <c r="AA1296" s="35"/>
      <c r="AB1296" s="35"/>
      <c r="AC1296" s="35"/>
      <c r="AD1296" s="35"/>
      <c r="AE1296" s="35"/>
      <c r="AF1296" s="35"/>
      <c r="AG1296" s="35"/>
      <c r="AH1296" s="35"/>
      <c r="AI1296" s="35"/>
      <c r="AJ1296" s="35"/>
      <c r="AK1296" s="35"/>
      <c r="AL1296" s="35"/>
      <c r="AM1296" s="35"/>
      <c r="AN1296" s="35"/>
      <c r="AO1296" s="35"/>
      <c r="AP1296" s="35"/>
      <c r="AQ1296" s="35"/>
      <c r="AR1296" s="35"/>
      <c r="AS1296" s="35"/>
      <c r="AT1296" s="35"/>
      <c r="AU1296" s="35"/>
      <c r="AV1296" s="35"/>
      <c r="AW1296" s="35"/>
      <c r="AX1296" s="35"/>
      <c r="AY1296" s="35"/>
      <c r="AZ1296" s="35"/>
      <c r="BA1296" s="35"/>
      <c r="BB1296" s="35"/>
      <c r="BC1296" s="35"/>
      <c r="BD1296" s="35"/>
      <c r="BE1296" s="35"/>
      <c r="BF1296" s="35"/>
      <c r="BG1296" s="35"/>
    </row>
    <row r="1297" ht="15.75" customHeight="1">
      <c r="A1297" s="35"/>
      <c r="B1297" s="35"/>
      <c r="C1297" s="35"/>
      <c r="D1297" s="35"/>
      <c r="E1297" s="35"/>
      <c r="F1297" s="35"/>
      <c r="G1297" s="35"/>
      <c r="H1297" s="35"/>
      <c r="I1297" s="35"/>
      <c r="J1297" s="35"/>
      <c r="K1297" s="35"/>
      <c r="L1297" s="35"/>
      <c r="M1297" s="35"/>
      <c r="N1297" s="35"/>
      <c r="O1297" s="35"/>
      <c r="P1297" s="35"/>
      <c r="Q1297" s="35"/>
      <c r="R1297" s="35"/>
      <c r="S1297" s="35"/>
      <c r="T1297" s="35"/>
      <c r="U1297" s="35"/>
      <c r="V1297" s="35"/>
      <c r="W1297" s="35"/>
      <c r="X1297" s="35"/>
      <c r="Y1297" s="35"/>
      <c r="Z1297" s="35"/>
      <c r="AA1297" s="35"/>
      <c r="AB1297" s="35"/>
      <c r="AC1297" s="35"/>
      <c r="AD1297" s="35"/>
      <c r="AE1297" s="35"/>
      <c r="AF1297" s="35"/>
      <c r="AG1297" s="35"/>
      <c r="AH1297" s="35"/>
      <c r="AI1297" s="35"/>
      <c r="AJ1297" s="35"/>
      <c r="AK1297" s="35"/>
      <c r="AL1297" s="35"/>
      <c r="AM1297" s="35"/>
      <c r="AN1297" s="35"/>
      <c r="AO1297" s="35"/>
      <c r="AP1297" s="35"/>
      <c r="AQ1297" s="35"/>
      <c r="AR1297" s="35"/>
      <c r="AS1297" s="35"/>
      <c r="AT1297" s="35"/>
      <c r="AU1297" s="35"/>
      <c r="AV1297" s="35"/>
      <c r="AW1297" s="35"/>
      <c r="AX1297" s="35"/>
      <c r="AY1297" s="35"/>
      <c r="AZ1297" s="35"/>
      <c r="BA1297" s="35"/>
      <c r="BB1297" s="35"/>
      <c r="BC1297" s="35"/>
      <c r="BD1297" s="35"/>
      <c r="BE1297" s="35"/>
      <c r="BF1297" s="35"/>
      <c r="BG1297" s="35"/>
    </row>
    <row r="1298" ht="15.75" customHeight="1">
      <c r="A1298" s="35"/>
      <c r="B1298" s="35"/>
      <c r="C1298" s="35"/>
      <c r="D1298" s="35"/>
      <c r="E1298" s="35"/>
      <c r="F1298" s="35"/>
      <c r="G1298" s="35"/>
      <c r="H1298" s="35"/>
      <c r="I1298" s="35"/>
      <c r="J1298" s="35"/>
      <c r="K1298" s="35"/>
      <c r="L1298" s="35"/>
      <c r="M1298" s="35"/>
      <c r="N1298" s="35"/>
      <c r="O1298" s="35"/>
      <c r="P1298" s="35"/>
      <c r="Q1298" s="35"/>
      <c r="R1298" s="35"/>
      <c r="S1298" s="35"/>
      <c r="T1298" s="35"/>
      <c r="U1298" s="35"/>
      <c r="V1298" s="35"/>
      <c r="W1298" s="35"/>
      <c r="X1298" s="35"/>
      <c r="Y1298" s="35"/>
      <c r="Z1298" s="35"/>
      <c r="AA1298" s="35"/>
      <c r="AB1298" s="35"/>
      <c r="AC1298" s="35"/>
      <c r="AD1298" s="35"/>
      <c r="AE1298" s="35"/>
      <c r="AF1298" s="35"/>
      <c r="AG1298" s="35"/>
      <c r="AH1298" s="35"/>
      <c r="AI1298" s="35"/>
      <c r="AJ1298" s="35"/>
      <c r="AK1298" s="35"/>
      <c r="AL1298" s="35"/>
      <c r="AM1298" s="35"/>
      <c r="AN1298" s="35"/>
      <c r="AO1298" s="35"/>
      <c r="AP1298" s="35"/>
      <c r="AQ1298" s="35"/>
      <c r="AR1298" s="35"/>
      <c r="AS1298" s="35"/>
      <c r="AT1298" s="35"/>
      <c r="AU1298" s="35"/>
      <c r="AV1298" s="35"/>
      <c r="AW1298" s="35"/>
      <c r="AX1298" s="35"/>
      <c r="AY1298" s="35"/>
      <c r="AZ1298" s="35"/>
      <c r="BA1298" s="35"/>
      <c r="BB1298" s="35"/>
      <c r="BC1298" s="35"/>
      <c r="BD1298" s="35"/>
      <c r="BE1298" s="35"/>
      <c r="BF1298" s="35"/>
      <c r="BG1298" s="35"/>
    </row>
    <row r="1299" ht="15.75" customHeight="1">
      <c r="A1299" s="35"/>
      <c r="B1299" s="35"/>
      <c r="C1299" s="35"/>
      <c r="D1299" s="35"/>
      <c r="E1299" s="35"/>
      <c r="F1299" s="35"/>
      <c r="G1299" s="35"/>
      <c r="H1299" s="35"/>
      <c r="I1299" s="35"/>
      <c r="J1299" s="35"/>
      <c r="K1299" s="35"/>
      <c r="L1299" s="35"/>
      <c r="M1299" s="35"/>
      <c r="N1299" s="35"/>
      <c r="O1299" s="35"/>
      <c r="P1299" s="35"/>
      <c r="Q1299" s="35"/>
      <c r="R1299" s="35"/>
      <c r="S1299" s="35"/>
      <c r="T1299" s="35"/>
      <c r="U1299" s="35"/>
      <c r="V1299" s="35"/>
      <c r="W1299" s="35"/>
      <c r="X1299" s="35"/>
      <c r="Y1299" s="35"/>
      <c r="Z1299" s="35"/>
      <c r="AA1299" s="35"/>
      <c r="AB1299" s="35"/>
      <c r="AC1299" s="35"/>
      <c r="AD1299" s="35"/>
      <c r="AE1299" s="35"/>
      <c r="AF1299" s="35"/>
      <c r="AG1299" s="35"/>
      <c r="AH1299" s="35"/>
      <c r="AI1299" s="35"/>
      <c r="AJ1299" s="35"/>
      <c r="AK1299" s="35"/>
      <c r="AL1299" s="35"/>
      <c r="AM1299" s="35"/>
      <c r="AN1299" s="35"/>
      <c r="AO1299" s="35"/>
      <c r="AP1299" s="35"/>
      <c r="AQ1299" s="35"/>
      <c r="AR1299" s="35"/>
      <c r="AS1299" s="35"/>
      <c r="AT1299" s="35"/>
      <c r="AU1299" s="35"/>
      <c r="AV1299" s="35"/>
      <c r="AW1299" s="35"/>
      <c r="AX1299" s="35"/>
      <c r="AY1299" s="35"/>
      <c r="AZ1299" s="35"/>
      <c r="BA1299" s="35"/>
      <c r="BB1299" s="35"/>
      <c r="BC1299" s="35"/>
      <c r="BD1299" s="35"/>
      <c r="BE1299" s="35"/>
      <c r="BF1299" s="35"/>
      <c r="BG1299" s="35"/>
    </row>
    <row r="1300" ht="15.75" customHeight="1">
      <c r="A1300" s="35"/>
      <c r="B1300" s="35"/>
      <c r="C1300" s="35"/>
      <c r="D1300" s="35"/>
      <c r="E1300" s="35"/>
      <c r="F1300" s="35"/>
      <c r="G1300" s="35"/>
      <c r="H1300" s="35"/>
      <c r="I1300" s="35"/>
      <c r="J1300" s="35"/>
      <c r="K1300" s="35"/>
      <c r="L1300" s="35"/>
      <c r="M1300" s="35"/>
      <c r="N1300" s="35"/>
      <c r="O1300" s="35"/>
      <c r="P1300" s="35"/>
      <c r="Q1300" s="35"/>
      <c r="R1300" s="35"/>
      <c r="S1300" s="35"/>
      <c r="T1300" s="35"/>
      <c r="U1300" s="35"/>
      <c r="V1300" s="35"/>
      <c r="W1300" s="35"/>
      <c r="X1300" s="35"/>
      <c r="Y1300" s="35"/>
      <c r="Z1300" s="35"/>
      <c r="AA1300" s="35"/>
      <c r="AB1300" s="35"/>
      <c r="AC1300" s="35"/>
      <c r="AD1300" s="35"/>
      <c r="AE1300" s="35"/>
      <c r="AF1300" s="35"/>
      <c r="AG1300" s="35"/>
      <c r="AH1300" s="35"/>
      <c r="AI1300" s="35"/>
      <c r="AJ1300" s="35"/>
      <c r="AK1300" s="35"/>
      <c r="AL1300" s="35"/>
      <c r="AM1300" s="35"/>
      <c r="AN1300" s="35"/>
      <c r="AO1300" s="35"/>
      <c r="AP1300" s="35"/>
      <c r="AQ1300" s="35"/>
      <c r="AR1300" s="35"/>
      <c r="AS1300" s="35"/>
      <c r="AT1300" s="35"/>
      <c r="AU1300" s="35"/>
      <c r="AV1300" s="35"/>
      <c r="AW1300" s="35"/>
      <c r="AX1300" s="35"/>
      <c r="AY1300" s="35"/>
      <c r="AZ1300" s="35"/>
      <c r="BA1300" s="35"/>
      <c r="BB1300" s="35"/>
      <c r="BC1300" s="35"/>
      <c r="BD1300" s="35"/>
      <c r="BE1300" s="35"/>
      <c r="BF1300" s="35"/>
      <c r="BG1300" s="35"/>
    </row>
    <row r="1301" ht="15.75" customHeight="1">
      <c r="A1301" s="35"/>
      <c r="B1301" s="35"/>
      <c r="C1301" s="35"/>
      <c r="D1301" s="35"/>
      <c r="E1301" s="35"/>
      <c r="F1301" s="35"/>
      <c r="G1301" s="35"/>
      <c r="H1301" s="35"/>
      <c r="I1301" s="35"/>
      <c r="J1301" s="35"/>
      <c r="K1301" s="35"/>
      <c r="L1301" s="35"/>
      <c r="M1301" s="35"/>
      <c r="N1301" s="35"/>
      <c r="O1301" s="35"/>
      <c r="P1301" s="35"/>
      <c r="Q1301" s="35"/>
      <c r="R1301" s="35"/>
      <c r="S1301" s="35"/>
      <c r="T1301" s="35"/>
      <c r="U1301" s="35"/>
      <c r="V1301" s="35"/>
      <c r="W1301" s="35"/>
      <c r="X1301" s="35"/>
      <c r="Y1301" s="35"/>
      <c r="Z1301" s="35"/>
      <c r="AA1301" s="35"/>
      <c r="AB1301" s="35"/>
      <c r="AC1301" s="35"/>
      <c r="AD1301" s="35"/>
      <c r="AE1301" s="35"/>
      <c r="AF1301" s="35"/>
      <c r="AG1301" s="35"/>
      <c r="AH1301" s="35"/>
      <c r="AI1301" s="35"/>
      <c r="AJ1301" s="35"/>
      <c r="AK1301" s="35"/>
      <c r="AL1301" s="35"/>
      <c r="AM1301" s="35"/>
      <c r="AN1301" s="35"/>
      <c r="AO1301" s="35"/>
      <c r="AP1301" s="35"/>
      <c r="AQ1301" s="35"/>
      <c r="AR1301" s="35"/>
      <c r="AS1301" s="35"/>
      <c r="AT1301" s="35"/>
      <c r="AU1301" s="35"/>
      <c r="AV1301" s="35"/>
      <c r="AW1301" s="35"/>
      <c r="AX1301" s="35"/>
      <c r="AY1301" s="35"/>
      <c r="AZ1301" s="35"/>
      <c r="BA1301" s="35"/>
      <c r="BB1301" s="35"/>
      <c r="BC1301" s="35"/>
      <c r="BD1301" s="35"/>
      <c r="BE1301" s="35"/>
      <c r="BF1301" s="35"/>
      <c r="BG1301" s="35"/>
    </row>
    <row r="1302" ht="15.75" customHeight="1">
      <c r="A1302" s="35"/>
      <c r="B1302" s="35"/>
      <c r="C1302" s="35"/>
      <c r="D1302" s="35"/>
      <c r="E1302" s="35"/>
      <c r="F1302" s="35"/>
      <c r="G1302" s="35"/>
      <c r="H1302" s="35"/>
      <c r="I1302" s="35"/>
      <c r="J1302" s="35"/>
      <c r="K1302" s="35"/>
      <c r="L1302" s="35"/>
      <c r="M1302" s="35"/>
      <c r="N1302" s="35"/>
      <c r="O1302" s="35"/>
      <c r="P1302" s="35"/>
      <c r="Q1302" s="35"/>
      <c r="R1302" s="35"/>
      <c r="S1302" s="35"/>
      <c r="T1302" s="35"/>
      <c r="U1302" s="35"/>
      <c r="V1302" s="35"/>
      <c r="W1302" s="35"/>
      <c r="X1302" s="35"/>
      <c r="Y1302" s="35"/>
      <c r="Z1302" s="35"/>
      <c r="AA1302" s="35"/>
      <c r="AB1302" s="35"/>
      <c r="AC1302" s="35"/>
      <c r="AD1302" s="35"/>
      <c r="AE1302" s="35"/>
      <c r="AF1302" s="35"/>
      <c r="AG1302" s="35"/>
      <c r="AH1302" s="35"/>
      <c r="AI1302" s="35"/>
      <c r="AJ1302" s="35"/>
      <c r="AK1302" s="35"/>
      <c r="AL1302" s="35"/>
      <c r="AM1302" s="35"/>
      <c r="AN1302" s="35"/>
      <c r="AO1302" s="35"/>
      <c r="AP1302" s="35"/>
      <c r="AQ1302" s="35"/>
      <c r="AR1302" s="35"/>
      <c r="AS1302" s="35"/>
      <c r="AT1302" s="35"/>
      <c r="AU1302" s="35"/>
      <c r="AV1302" s="35"/>
      <c r="AW1302" s="35"/>
      <c r="AX1302" s="35"/>
      <c r="AY1302" s="35"/>
      <c r="AZ1302" s="35"/>
      <c r="BA1302" s="35"/>
      <c r="BB1302" s="35"/>
      <c r="BC1302" s="35"/>
      <c r="BD1302" s="35"/>
      <c r="BE1302" s="35"/>
      <c r="BF1302" s="35"/>
      <c r="BG1302" s="35"/>
    </row>
    <row r="1303" ht="15.75" customHeight="1">
      <c r="A1303" s="35"/>
      <c r="B1303" s="35"/>
      <c r="C1303" s="35"/>
      <c r="D1303" s="35"/>
      <c r="E1303" s="35"/>
      <c r="F1303" s="35"/>
      <c r="G1303" s="35"/>
      <c r="H1303" s="35"/>
      <c r="I1303" s="35"/>
      <c r="J1303" s="35"/>
      <c r="K1303" s="35"/>
      <c r="L1303" s="35"/>
      <c r="M1303" s="35"/>
      <c r="N1303" s="35"/>
      <c r="O1303" s="35"/>
      <c r="P1303" s="35"/>
      <c r="Q1303" s="35"/>
      <c r="R1303" s="35"/>
      <c r="S1303" s="35"/>
      <c r="T1303" s="35"/>
      <c r="U1303" s="35"/>
      <c r="V1303" s="35"/>
      <c r="W1303" s="35"/>
      <c r="X1303" s="35"/>
      <c r="Y1303" s="35"/>
      <c r="Z1303" s="35"/>
      <c r="AA1303" s="35"/>
      <c r="AB1303" s="35"/>
      <c r="AC1303" s="35"/>
      <c r="AD1303" s="35"/>
      <c r="AE1303" s="35"/>
      <c r="AF1303" s="35"/>
      <c r="AG1303" s="35"/>
      <c r="AH1303" s="35"/>
      <c r="AI1303" s="35"/>
      <c r="AJ1303" s="35"/>
      <c r="AK1303" s="35"/>
      <c r="AL1303" s="35"/>
      <c r="AM1303" s="35"/>
      <c r="AN1303" s="35"/>
      <c r="AO1303" s="35"/>
      <c r="AP1303" s="35"/>
      <c r="AQ1303" s="35"/>
      <c r="AR1303" s="35"/>
      <c r="AS1303" s="35"/>
      <c r="AT1303" s="35"/>
      <c r="AU1303" s="35"/>
      <c r="AV1303" s="35"/>
      <c r="AW1303" s="35"/>
      <c r="AX1303" s="35"/>
      <c r="AY1303" s="35"/>
      <c r="AZ1303" s="35"/>
      <c r="BA1303" s="35"/>
      <c r="BB1303" s="35"/>
      <c r="BC1303" s="35"/>
      <c r="BD1303" s="35"/>
      <c r="BE1303" s="35"/>
      <c r="BF1303" s="35"/>
      <c r="BG1303" s="35"/>
    </row>
    <row r="1304" ht="15.75" customHeight="1">
      <c r="A1304" s="35"/>
      <c r="B1304" s="35"/>
      <c r="C1304" s="35"/>
      <c r="D1304" s="35"/>
      <c r="E1304" s="35"/>
      <c r="F1304" s="35"/>
      <c r="G1304" s="35"/>
      <c r="H1304" s="35"/>
      <c r="I1304" s="35"/>
      <c r="J1304" s="35"/>
      <c r="K1304" s="35"/>
      <c r="L1304" s="35"/>
      <c r="M1304" s="35"/>
      <c r="N1304" s="35"/>
      <c r="O1304" s="35"/>
      <c r="P1304" s="35"/>
      <c r="Q1304" s="35"/>
      <c r="R1304" s="35"/>
      <c r="S1304" s="35"/>
      <c r="T1304" s="35"/>
      <c r="U1304" s="35"/>
      <c r="V1304" s="35"/>
      <c r="W1304" s="35"/>
      <c r="X1304" s="35"/>
      <c r="Y1304" s="35"/>
      <c r="Z1304" s="35"/>
      <c r="AA1304" s="35"/>
      <c r="AB1304" s="35"/>
      <c r="AC1304" s="35"/>
      <c r="AD1304" s="35"/>
      <c r="AE1304" s="35"/>
      <c r="AF1304" s="35"/>
      <c r="AG1304" s="35"/>
      <c r="AH1304" s="35"/>
      <c r="AI1304" s="35"/>
      <c r="AJ1304" s="35"/>
      <c r="AK1304" s="35"/>
      <c r="AL1304" s="35"/>
      <c r="AM1304" s="35"/>
      <c r="AN1304" s="35"/>
      <c r="AO1304" s="35"/>
      <c r="AP1304" s="35"/>
      <c r="AQ1304" s="35"/>
      <c r="AR1304" s="35"/>
      <c r="AS1304" s="35"/>
      <c r="AT1304" s="35"/>
      <c r="AU1304" s="35"/>
      <c r="AV1304" s="35"/>
      <c r="AW1304" s="35"/>
      <c r="AX1304" s="35"/>
      <c r="AY1304" s="35"/>
      <c r="AZ1304" s="35"/>
      <c r="BA1304" s="35"/>
      <c r="BB1304" s="35"/>
      <c r="BC1304" s="35"/>
      <c r="BD1304" s="35"/>
      <c r="BE1304" s="35"/>
      <c r="BF1304" s="35"/>
      <c r="BG1304" s="35"/>
    </row>
    <row r="1305" ht="15.75" customHeight="1">
      <c r="A1305" s="35"/>
      <c r="B1305" s="35"/>
      <c r="C1305" s="35"/>
      <c r="D1305" s="35"/>
      <c r="E1305" s="35"/>
      <c r="F1305" s="35"/>
      <c r="G1305" s="35"/>
      <c r="H1305" s="35"/>
      <c r="I1305" s="35"/>
      <c r="J1305" s="35"/>
      <c r="K1305" s="35"/>
      <c r="L1305" s="35"/>
      <c r="M1305" s="35"/>
      <c r="N1305" s="35"/>
      <c r="O1305" s="35"/>
      <c r="P1305" s="35"/>
      <c r="Q1305" s="35"/>
      <c r="R1305" s="35"/>
      <c r="S1305" s="35"/>
      <c r="T1305" s="35"/>
      <c r="U1305" s="35"/>
      <c r="V1305" s="35"/>
      <c r="W1305" s="35"/>
      <c r="X1305" s="35"/>
      <c r="Y1305" s="35"/>
      <c r="Z1305" s="35"/>
      <c r="AA1305" s="35"/>
      <c r="AB1305" s="35"/>
      <c r="AC1305" s="35"/>
      <c r="AD1305" s="35"/>
      <c r="AE1305" s="35"/>
      <c r="AF1305" s="35"/>
      <c r="AG1305" s="35"/>
      <c r="AH1305" s="35"/>
      <c r="AI1305" s="35"/>
      <c r="AJ1305" s="35"/>
      <c r="AK1305" s="35"/>
      <c r="AL1305" s="35"/>
      <c r="AM1305" s="35"/>
      <c r="AN1305" s="35"/>
      <c r="AO1305" s="35"/>
      <c r="AP1305" s="35"/>
      <c r="AQ1305" s="35"/>
      <c r="AR1305" s="35"/>
      <c r="AS1305" s="35"/>
      <c r="AT1305" s="35"/>
      <c r="AU1305" s="35"/>
      <c r="AV1305" s="35"/>
      <c r="AW1305" s="35"/>
      <c r="AX1305" s="35"/>
      <c r="AY1305" s="35"/>
      <c r="AZ1305" s="35"/>
      <c r="BA1305" s="35"/>
      <c r="BB1305" s="35"/>
      <c r="BC1305" s="35"/>
      <c r="BD1305" s="35"/>
      <c r="BE1305" s="35"/>
      <c r="BF1305" s="35"/>
      <c r="BG1305" s="35"/>
    </row>
    <row r="1306" ht="15.75" customHeight="1">
      <c r="A1306" s="35"/>
      <c r="B1306" s="35"/>
      <c r="C1306" s="35"/>
      <c r="D1306" s="35"/>
      <c r="E1306" s="35"/>
      <c r="F1306" s="35"/>
      <c r="G1306" s="35"/>
      <c r="H1306" s="35"/>
      <c r="I1306" s="35"/>
      <c r="J1306" s="35"/>
      <c r="K1306" s="35"/>
      <c r="L1306" s="35"/>
      <c r="M1306" s="35"/>
      <c r="N1306" s="35"/>
      <c r="O1306" s="35"/>
      <c r="P1306" s="35"/>
      <c r="Q1306" s="35"/>
      <c r="R1306" s="35"/>
      <c r="S1306" s="35"/>
      <c r="T1306" s="35"/>
      <c r="U1306" s="35"/>
      <c r="V1306" s="35"/>
      <c r="W1306" s="35"/>
      <c r="X1306" s="35"/>
      <c r="Y1306" s="35"/>
      <c r="Z1306" s="35"/>
      <c r="AA1306" s="35"/>
      <c r="AB1306" s="35"/>
      <c r="AC1306" s="35"/>
      <c r="AD1306" s="35"/>
      <c r="AE1306" s="35"/>
      <c r="AF1306" s="35"/>
      <c r="AG1306" s="35"/>
      <c r="AH1306" s="35"/>
      <c r="AI1306" s="35"/>
      <c r="AJ1306" s="35"/>
      <c r="AK1306" s="35"/>
      <c r="AL1306" s="35"/>
      <c r="AM1306" s="35"/>
      <c r="AN1306" s="35"/>
      <c r="AO1306" s="35"/>
      <c r="AP1306" s="35"/>
      <c r="AQ1306" s="35"/>
      <c r="AR1306" s="35"/>
      <c r="AS1306" s="35"/>
      <c r="AT1306" s="35"/>
      <c r="AU1306" s="35"/>
      <c r="AV1306" s="35"/>
      <c r="AW1306" s="35"/>
      <c r="AX1306" s="35"/>
      <c r="AY1306" s="35"/>
      <c r="AZ1306" s="35"/>
      <c r="BA1306" s="35"/>
      <c r="BB1306" s="35"/>
      <c r="BC1306" s="35"/>
      <c r="BD1306" s="35"/>
      <c r="BE1306" s="35"/>
      <c r="BF1306" s="35"/>
      <c r="BG1306" s="35"/>
    </row>
    <row r="1307" ht="15.75" customHeight="1">
      <c r="A1307" s="35"/>
      <c r="B1307" s="35"/>
      <c r="C1307" s="35"/>
      <c r="D1307" s="35"/>
      <c r="E1307" s="35"/>
      <c r="F1307" s="35"/>
      <c r="G1307" s="35"/>
      <c r="H1307" s="35"/>
      <c r="I1307" s="35"/>
      <c r="J1307" s="35"/>
      <c r="K1307" s="35"/>
      <c r="L1307" s="35"/>
      <c r="M1307" s="35"/>
      <c r="N1307" s="35"/>
      <c r="O1307" s="35"/>
      <c r="P1307" s="35"/>
      <c r="Q1307" s="35"/>
      <c r="R1307" s="35"/>
      <c r="S1307" s="35"/>
      <c r="T1307" s="35"/>
      <c r="U1307" s="35"/>
      <c r="V1307" s="35"/>
      <c r="W1307" s="35"/>
      <c r="X1307" s="35"/>
      <c r="Y1307" s="35"/>
      <c r="Z1307" s="35"/>
      <c r="AA1307" s="35"/>
      <c r="AB1307" s="35"/>
      <c r="AC1307" s="35"/>
      <c r="AD1307" s="35"/>
      <c r="AE1307" s="35"/>
      <c r="AF1307" s="35"/>
      <c r="AG1307" s="35"/>
      <c r="AH1307" s="35"/>
      <c r="AI1307" s="35"/>
      <c r="AJ1307" s="35"/>
      <c r="AK1307" s="35"/>
      <c r="AL1307" s="35"/>
      <c r="AM1307" s="35"/>
      <c r="AN1307" s="35"/>
      <c r="AO1307" s="35"/>
      <c r="AP1307" s="35"/>
      <c r="AQ1307" s="35"/>
      <c r="AR1307" s="35"/>
      <c r="AS1307" s="35"/>
      <c r="AT1307" s="35"/>
      <c r="AU1307" s="35"/>
      <c r="AV1307" s="35"/>
      <c r="AW1307" s="35"/>
      <c r="AX1307" s="35"/>
      <c r="AY1307" s="35"/>
      <c r="AZ1307" s="35"/>
      <c r="BA1307" s="35"/>
      <c r="BB1307" s="35"/>
      <c r="BC1307" s="35"/>
      <c r="BD1307" s="35"/>
      <c r="BE1307" s="35"/>
      <c r="BF1307" s="35"/>
      <c r="BG1307" s="35"/>
    </row>
    <row r="1308" ht="15.75" customHeight="1">
      <c r="A1308" s="35"/>
      <c r="B1308" s="35"/>
      <c r="C1308" s="35"/>
      <c r="D1308" s="35"/>
      <c r="E1308" s="35"/>
      <c r="F1308" s="35"/>
      <c r="G1308" s="35"/>
      <c r="H1308" s="35"/>
      <c r="I1308" s="35"/>
      <c r="J1308" s="35"/>
      <c r="K1308" s="35"/>
      <c r="L1308" s="35"/>
      <c r="M1308" s="35"/>
      <c r="N1308" s="35"/>
      <c r="O1308" s="35"/>
      <c r="P1308" s="35"/>
      <c r="Q1308" s="35"/>
      <c r="R1308" s="35"/>
      <c r="S1308" s="35"/>
      <c r="T1308" s="35"/>
      <c r="U1308" s="35"/>
      <c r="V1308" s="35"/>
      <c r="W1308" s="35"/>
      <c r="X1308" s="35"/>
      <c r="Y1308" s="35"/>
      <c r="Z1308" s="35"/>
      <c r="AA1308" s="35"/>
      <c r="AB1308" s="35"/>
      <c r="AC1308" s="35"/>
      <c r="AD1308" s="35"/>
      <c r="AE1308" s="35"/>
      <c r="AF1308" s="35"/>
      <c r="AG1308" s="35"/>
      <c r="AH1308" s="35"/>
      <c r="AI1308" s="35"/>
      <c r="AJ1308" s="35"/>
      <c r="AK1308" s="35"/>
      <c r="AL1308" s="35"/>
      <c r="AM1308" s="35"/>
      <c r="AN1308" s="35"/>
      <c r="AO1308" s="35"/>
      <c r="AP1308" s="35"/>
      <c r="AQ1308" s="35"/>
      <c r="AR1308" s="35"/>
      <c r="AS1308" s="35"/>
      <c r="AT1308" s="35"/>
      <c r="AU1308" s="35"/>
      <c r="AV1308" s="35"/>
      <c r="AW1308" s="35"/>
      <c r="AX1308" s="35"/>
      <c r="AY1308" s="35"/>
      <c r="AZ1308" s="35"/>
      <c r="BA1308" s="35"/>
      <c r="BB1308" s="35"/>
      <c r="BC1308" s="35"/>
      <c r="BD1308" s="35"/>
      <c r="BE1308" s="35"/>
      <c r="BF1308" s="35"/>
      <c r="BG1308" s="35"/>
    </row>
    <row r="1309" ht="15.75" customHeight="1">
      <c r="A1309" s="35"/>
      <c r="B1309" s="35"/>
      <c r="C1309" s="35"/>
      <c r="D1309" s="35"/>
      <c r="E1309" s="35"/>
      <c r="F1309" s="35"/>
      <c r="G1309" s="35"/>
      <c r="H1309" s="35"/>
      <c r="I1309" s="35"/>
      <c r="J1309" s="35"/>
      <c r="K1309" s="35"/>
      <c r="L1309" s="35"/>
      <c r="M1309" s="35"/>
      <c r="N1309" s="35"/>
      <c r="O1309" s="35"/>
      <c r="P1309" s="35"/>
      <c r="Q1309" s="35"/>
      <c r="R1309" s="35"/>
      <c r="S1309" s="35"/>
      <c r="T1309" s="35"/>
      <c r="U1309" s="35"/>
      <c r="V1309" s="35"/>
      <c r="W1309" s="35"/>
      <c r="X1309" s="35"/>
      <c r="Y1309" s="35"/>
      <c r="Z1309" s="35"/>
      <c r="AA1309" s="35"/>
      <c r="AB1309" s="35"/>
      <c r="AC1309" s="35"/>
      <c r="AD1309" s="35"/>
      <c r="AE1309" s="35"/>
      <c r="AF1309" s="35"/>
      <c r="AG1309" s="35"/>
      <c r="AH1309" s="35"/>
      <c r="AI1309" s="35"/>
      <c r="AJ1309" s="35"/>
      <c r="AK1309" s="35"/>
      <c r="AL1309" s="35"/>
      <c r="AM1309" s="35"/>
      <c r="AN1309" s="35"/>
      <c r="AO1309" s="35"/>
      <c r="AP1309" s="35"/>
      <c r="AQ1309" s="35"/>
      <c r="AR1309" s="35"/>
      <c r="AS1309" s="35"/>
      <c r="AT1309" s="35"/>
      <c r="AU1309" s="35"/>
      <c r="AV1309" s="35"/>
      <c r="AW1309" s="35"/>
      <c r="AX1309" s="35"/>
      <c r="AY1309" s="35"/>
      <c r="AZ1309" s="35"/>
      <c r="BA1309" s="35"/>
      <c r="BB1309" s="35"/>
      <c r="BC1309" s="35"/>
      <c r="BD1309" s="35"/>
      <c r="BE1309" s="35"/>
      <c r="BF1309" s="35"/>
      <c r="BG1309" s="35"/>
    </row>
    <row r="1310" ht="15.75" customHeight="1">
      <c r="A1310" s="35"/>
      <c r="B1310" s="35"/>
      <c r="C1310" s="35"/>
      <c r="D1310" s="35"/>
      <c r="E1310" s="35"/>
      <c r="F1310" s="35"/>
      <c r="G1310" s="35"/>
      <c r="H1310" s="35"/>
      <c r="I1310" s="35"/>
      <c r="J1310" s="35"/>
      <c r="K1310" s="35"/>
      <c r="L1310" s="35"/>
      <c r="M1310" s="35"/>
      <c r="N1310" s="35"/>
      <c r="O1310" s="35"/>
      <c r="P1310" s="35"/>
      <c r="Q1310" s="35"/>
      <c r="R1310" s="35"/>
      <c r="S1310" s="35"/>
      <c r="T1310" s="35"/>
      <c r="U1310" s="35"/>
      <c r="V1310" s="35"/>
      <c r="W1310" s="35"/>
      <c r="X1310" s="35"/>
      <c r="Y1310" s="35"/>
      <c r="Z1310" s="35"/>
      <c r="AA1310" s="35"/>
      <c r="AB1310" s="35"/>
      <c r="AC1310" s="35"/>
      <c r="AD1310" s="35"/>
      <c r="AE1310" s="35"/>
      <c r="AF1310" s="35"/>
      <c r="AG1310" s="35"/>
      <c r="AH1310" s="35"/>
      <c r="AI1310" s="35"/>
      <c r="AJ1310" s="35"/>
      <c r="AK1310" s="35"/>
      <c r="AL1310" s="35"/>
      <c r="AM1310" s="35"/>
      <c r="AN1310" s="35"/>
      <c r="AO1310" s="35"/>
      <c r="AP1310" s="35"/>
      <c r="AQ1310" s="35"/>
      <c r="AR1310" s="35"/>
      <c r="AS1310" s="35"/>
      <c r="AT1310" s="35"/>
      <c r="AU1310" s="35"/>
      <c r="AV1310" s="35"/>
      <c r="AW1310" s="35"/>
      <c r="AX1310" s="35"/>
      <c r="AY1310" s="35"/>
      <c r="AZ1310" s="35"/>
      <c r="BA1310" s="35"/>
      <c r="BB1310" s="35"/>
      <c r="BC1310" s="35"/>
      <c r="BD1310" s="35"/>
      <c r="BE1310" s="35"/>
      <c r="BF1310" s="35"/>
      <c r="BG1310" s="35"/>
    </row>
    <row r="1311" ht="15.75" customHeight="1">
      <c r="A1311" s="35"/>
      <c r="B1311" s="35"/>
      <c r="C1311" s="35"/>
      <c r="D1311" s="35"/>
      <c r="E1311" s="35"/>
      <c r="F1311" s="35"/>
      <c r="G1311" s="35"/>
      <c r="H1311" s="35"/>
      <c r="I1311" s="35"/>
      <c r="J1311" s="35"/>
      <c r="K1311" s="35"/>
      <c r="L1311" s="35"/>
      <c r="M1311" s="35"/>
      <c r="N1311" s="35"/>
      <c r="O1311" s="35"/>
      <c r="P1311" s="35"/>
      <c r="Q1311" s="35"/>
      <c r="R1311" s="35"/>
      <c r="S1311" s="35"/>
      <c r="T1311" s="35"/>
      <c r="U1311" s="35"/>
      <c r="V1311" s="35"/>
      <c r="W1311" s="35"/>
      <c r="X1311" s="35"/>
      <c r="Y1311" s="35"/>
      <c r="Z1311" s="35"/>
      <c r="AA1311" s="35"/>
      <c r="AB1311" s="35"/>
      <c r="AC1311" s="35"/>
      <c r="AD1311" s="35"/>
      <c r="AE1311" s="35"/>
      <c r="AF1311" s="35"/>
      <c r="AG1311" s="35"/>
      <c r="AH1311" s="35"/>
      <c r="AI1311" s="35"/>
      <c r="AJ1311" s="35"/>
      <c r="AK1311" s="35"/>
      <c r="AL1311" s="35"/>
      <c r="AM1311" s="35"/>
      <c r="AN1311" s="35"/>
      <c r="AO1311" s="35"/>
      <c r="AP1311" s="35"/>
      <c r="AQ1311" s="35"/>
      <c r="AR1311" s="35"/>
      <c r="AS1311" s="35"/>
      <c r="AT1311" s="35"/>
      <c r="AU1311" s="35"/>
      <c r="AV1311" s="35"/>
      <c r="AW1311" s="35"/>
      <c r="AX1311" s="35"/>
      <c r="AY1311" s="35"/>
      <c r="AZ1311" s="35"/>
      <c r="BA1311" s="35"/>
      <c r="BB1311" s="35"/>
      <c r="BC1311" s="35"/>
      <c r="BD1311" s="35"/>
      <c r="BE1311" s="35"/>
      <c r="BF1311" s="35"/>
      <c r="BG1311" s="35"/>
    </row>
    <row r="1312" ht="15.75" customHeight="1">
      <c r="A1312" s="35"/>
      <c r="B1312" s="35"/>
      <c r="C1312" s="35"/>
      <c r="D1312" s="35"/>
      <c r="E1312" s="35"/>
      <c r="F1312" s="35"/>
      <c r="G1312" s="35"/>
      <c r="H1312" s="35"/>
      <c r="I1312" s="35"/>
      <c r="J1312" s="35"/>
      <c r="K1312" s="35"/>
      <c r="L1312" s="35"/>
      <c r="M1312" s="35"/>
      <c r="N1312" s="35"/>
      <c r="O1312" s="35"/>
      <c r="P1312" s="35"/>
      <c r="Q1312" s="35"/>
      <c r="R1312" s="35"/>
      <c r="S1312" s="35"/>
      <c r="T1312" s="35"/>
      <c r="U1312" s="35"/>
      <c r="V1312" s="35"/>
      <c r="W1312" s="35"/>
      <c r="X1312" s="35"/>
      <c r="Y1312" s="35"/>
      <c r="Z1312" s="35"/>
      <c r="AA1312" s="35"/>
      <c r="AB1312" s="35"/>
      <c r="AC1312" s="35"/>
      <c r="AD1312" s="35"/>
      <c r="AE1312" s="35"/>
      <c r="AF1312" s="35"/>
      <c r="AG1312" s="35"/>
      <c r="AH1312" s="35"/>
      <c r="AI1312" s="35"/>
      <c r="AJ1312" s="35"/>
      <c r="AK1312" s="35"/>
      <c r="AL1312" s="35"/>
      <c r="AM1312" s="35"/>
      <c r="AN1312" s="35"/>
      <c r="AO1312" s="35"/>
      <c r="AP1312" s="35"/>
      <c r="AQ1312" s="35"/>
      <c r="AR1312" s="35"/>
      <c r="AS1312" s="35"/>
      <c r="AT1312" s="35"/>
      <c r="AU1312" s="35"/>
      <c r="AV1312" s="35"/>
      <c r="AW1312" s="35"/>
      <c r="AX1312" s="35"/>
      <c r="AY1312" s="35"/>
      <c r="AZ1312" s="35"/>
      <c r="BA1312" s="35"/>
      <c r="BB1312" s="35"/>
      <c r="BC1312" s="35"/>
      <c r="BD1312" s="35"/>
      <c r="BE1312" s="35"/>
      <c r="BF1312" s="35"/>
      <c r="BG1312" s="35"/>
    </row>
    <row r="1313" ht="15.75" customHeight="1">
      <c r="A1313" s="35"/>
      <c r="B1313" s="35"/>
      <c r="C1313" s="35"/>
      <c r="D1313" s="35"/>
      <c r="E1313" s="35"/>
      <c r="F1313" s="35"/>
      <c r="G1313" s="35"/>
      <c r="H1313" s="35"/>
      <c r="I1313" s="35"/>
      <c r="J1313" s="35"/>
      <c r="K1313" s="35"/>
      <c r="L1313" s="35"/>
      <c r="M1313" s="35"/>
      <c r="N1313" s="35"/>
      <c r="O1313" s="35"/>
      <c r="P1313" s="35"/>
      <c r="Q1313" s="35"/>
      <c r="R1313" s="35"/>
      <c r="S1313" s="35"/>
      <c r="T1313" s="35"/>
      <c r="U1313" s="35"/>
      <c r="V1313" s="35"/>
      <c r="W1313" s="35"/>
      <c r="X1313" s="35"/>
      <c r="Y1313" s="35"/>
      <c r="Z1313" s="35"/>
      <c r="AA1313" s="35"/>
      <c r="AB1313" s="35"/>
      <c r="AC1313" s="35"/>
      <c r="AD1313" s="35"/>
      <c r="AE1313" s="35"/>
      <c r="AF1313" s="35"/>
      <c r="AG1313" s="35"/>
      <c r="AH1313" s="35"/>
      <c r="AI1313" s="35"/>
      <c r="AJ1313" s="35"/>
      <c r="AK1313" s="35"/>
      <c r="AL1313" s="35"/>
      <c r="AM1313" s="35"/>
      <c r="AN1313" s="35"/>
      <c r="AO1313" s="35"/>
      <c r="AP1313" s="35"/>
      <c r="AQ1313" s="35"/>
      <c r="AR1313" s="35"/>
      <c r="AS1313" s="35"/>
      <c r="AT1313" s="35"/>
      <c r="AU1313" s="35"/>
      <c r="AV1313" s="35"/>
      <c r="AW1313" s="35"/>
      <c r="AX1313" s="35"/>
      <c r="AY1313" s="35"/>
      <c r="AZ1313" s="35"/>
      <c r="BA1313" s="35"/>
      <c r="BB1313" s="35"/>
      <c r="BC1313" s="35"/>
      <c r="BD1313" s="35"/>
      <c r="BE1313" s="35"/>
      <c r="BF1313" s="35"/>
      <c r="BG1313" s="35"/>
    </row>
    <row r="1314" ht="15.75" customHeight="1">
      <c r="A1314" s="35"/>
      <c r="B1314" s="35"/>
      <c r="C1314" s="35"/>
      <c r="D1314" s="35"/>
      <c r="E1314" s="35"/>
      <c r="F1314" s="35"/>
      <c r="G1314" s="35"/>
      <c r="H1314" s="35"/>
      <c r="I1314" s="35"/>
      <c r="J1314" s="35"/>
      <c r="K1314" s="35"/>
      <c r="L1314" s="35"/>
      <c r="M1314" s="35"/>
      <c r="N1314" s="35"/>
      <c r="O1314" s="35"/>
      <c r="P1314" s="35"/>
      <c r="Q1314" s="35"/>
      <c r="R1314" s="35"/>
      <c r="S1314" s="35"/>
      <c r="T1314" s="35"/>
      <c r="U1314" s="35"/>
      <c r="V1314" s="35"/>
      <c r="W1314" s="35"/>
      <c r="X1314" s="35"/>
      <c r="Y1314" s="35"/>
      <c r="Z1314" s="35"/>
      <c r="AA1314" s="35"/>
      <c r="AB1314" s="35"/>
      <c r="AC1314" s="35"/>
      <c r="AD1314" s="35"/>
      <c r="AE1314" s="35"/>
      <c r="AF1314" s="35"/>
      <c r="AG1314" s="35"/>
      <c r="AH1314" s="35"/>
      <c r="AI1314" s="35"/>
      <c r="AJ1314" s="35"/>
      <c r="AK1314" s="35"/>
      <c r="AL1314" s="35"/>
      <c r="AM1314" s="35"/>
      <c r="AN1314" s="35"/>
      <c r="AO1314" s="35"/>
      <c r="AP1314" s="35"/>
      <c r="AQ1314" s="35"/>
      <c r="AR1314" s="35"/>
      <c r="AS1314" s="35"/>
      <c r="AT1314" s="35"/>
      <c r="AU1314" s="35"/>
      <c r="AV1314" s="35"/>
      <c r="AW1314" s="35"/>
      <c r="AX1314" s="35"/>
      <c r="AY1314" s="35"/>
      <c r="AZ1314" s="35"/>
      <c r="BA1314" s="35"/>
      <c r="BB1314" s="35"/>
      <c r="BC1314" s="35"/>
      <c r="BD1314" s="35"/>
      <c r="BE1314" s="35"/>
      <c r="BF1314" s="35"/>
      <c r="BG1314" s="35"/>
    </row>
    <row r="1315" ht="15.75" customHeight="1">
      <c r="A1315" s="35"/>
      <c r="B1315" s="35"/>
      <c r="C1315" s="35"/>
      <c r="D1315" s="35"/>
      <c r="E1315" s="35"/>
      <c r="F1315" s="35"/>
      <c r="G1315" s="35"/>
      <c r="H1315" s="35"/>
      <c r="I1315" s="35"/>
      <c r="J1315" s="35"/>
      <c r="K1315" s="35"/>
      <c r="L1315" s="35"/>
      <c r="M1315" s="35"/>
      <c r="N1315" s="35"/>
      <c r="O1315" s="35"/>
      <c r="P1315" s="35"/>
      <c r="Q1315" s="35"/>
      <c r="R1315" s="35"/>
      <c r="S1315" s="35"/>
      <c r="T1315" s="35"/>
      <c r="U1315" s="35"/>
      <c r="V1315" s="35"/>
      <c r="W1315" s="35"/>
      <c r="X1315" s="35"/>
      <c r="Y1315" s="35"/>
      <c r="Z1315" s="35"/>
      <c r="AA1315" s="35"/>
      <c r="AB1315" s="35"/>
      <c r="AC1315" s="35"/>
      <c r="AD1315" s="35"/>
      <c r="AE1315" s="35"/>
      <c r="AF1315" s="35"/>
      <c r="AG1315" s="35"/>
      <c r="AH1315" s="35"/>
      <c r="AI1315" s="35"/>
      <c r="AJ1315" s="35"/>
      <c r="AK1315" s="35"/>
      <c r="AL1315" s="35"/>
      <c r="AM1315" s="35"/>
      <c r="AN1315" s="35"/>
      <c r="AO1315" s="35"/>
      <c r="AP1315" s="35"/>
      <c r="AQ1315" s="35"/>
      <c r="AR1315" s="35"/>
      <c r="AS1315" s="35"/>
      <c r="AT1315" s="35"/>
      <c r="AU1315" s="35"/>
      <c r="AV1315" s="35"/>
      <c r="AW1315" s="35"/>
      <c r="AX1315" s="35"/>
      <c r="AY1315" s="35"/>
      <c r="AZ1315" s="35"/>
      <c r="BA1315" s="35"/>
      <c r="BB1315" s="35"/>
      <c r="BC1315" s="35"/>
      <c r="BD1315" s="35"/>
      <c r="BE1315" s="35"/>
      <c r="BF1315" s="35"/>
      <c r="BG1315" s="35"/>
    </row>
    <row r="1316" ht="15.75" customHeight="1">
      <c r="A1316" s="35"/>
      <c r="B1316" s="35"/>
      <c r="C1316" s="35"/>
      <c r="D1316" s="35"/>
      <c r="E1316" s="35"/>
      <c r="F1316" s="35"/>
      <c r="G1316" s="35"/>
      <c r="H1316" s="35"/>
      <c r="I1316" s="35"/>
      <c r="J1316" s="35"/>
      <c r="K1316" s="35"/>
      <c r="L1316" s="35"/>
      <c r="M1316" s="35"/>
      <c r="N1316" s="35"/>
      <c r="O1316" s="35"/>
      <c r="P1316" s="35"/>
      <c r="Q1316" s="35"/>
      <c r="R1316" s="35"/>
      <c r="S1316" s="35"/>
      <c r="T1316" s="35"/>
      <c r="U1316" s="35"/>
      <c r="V1316" s="35"/>
      <c r="W1316" s="35"/>
      <c r="X1316" s="35"/>
      <c r="Y1316" s="35"/>
      <c r="Z1316" s="35"/>
      <c r="AA1316" s="35"/>
      <c r="AB1316" s="35"/>
      <c r="AC1316" s="35"/>
      <c r="AD1316" s="35"/>
      <c r="AE1316" s="35"/>
      <c r="AF1316" s="35"/>
      <c r="AG1316" s="35"/>
      <c r="AH1316" s="35"/>
      <c r="AI1316" s="35"/>
      <c r="AJ1316" s="35"/>
      <c r="AK1316" s="35"/>
      <c r="AL1316" s="35"/>
      <c r="AM1316" s="35"/>
      <c r="AN1316" s="35"/>
      <c r="AO1316" s="35"/>
      <c r="AP1316" s="35"/>
      <c r="AQ1316" s="35"/>
      <c r="AR1316" s="35"/>
      <c r="AS1316" s="35"/>
      <c r="AT1316" s="35"/>
      <c r="AU1316" s="35"/>
      <c r="AV1316" s="35"/>
      <c r="AW1316" s="35"/>
      <c r="AX1316" s="35"/>
      <c r="AY1316" s="35"/>
      <c r="AZ1316" s="35"/>
      <c r="BA1316" s="35"/>
      <c r="BB1316" s="35"/>
      <c r="BC1316" s="35"/>
      <c r="BD1316" s="35"/>
      <c r="BE1316" s="35"/>
      <c r="BF1316" s="35"/>
      <c r="BG1316" s="35"/>
    </row>
    <row r="1317" ht="15.75" customHeight="1">
      <c r="A1317" s="35"/>
      <c r="B1317" s="35"/>
      <c r="C1317" s="35"/>
      <c r="D1317" s="35"/>
      <c r="E1317" s="35"/>
      <c r="F1317" s="35"/>
      <c r="G1317" s="35"/>
      <c r="H1317" s="35"/>
      <c r="I1317" s="35"/>
      <c r="J1317" s="35"/>
      <c r="K1317" s="35"/>
      <c r="L1317" s="35"/>
      <c r="M1317" s="35"/>
      <c r="N1317" s="35"/>
      <c r="O1317" s="35"/>
      <c r="P1317" s="35"/>
      <c r="Q1317" s="35"/>
      <c r="R1317" s="35"/>
      <c r="S1317" s="35"/>
      <c r="T1317" s="35"/>
      <c r="U1317" s="35"/>
      <c r="V1317" s="35"/>
      <c r="W1317" s="35"/>
      <c r="X1317" s="35"/>
      <c r="Y1317" s="35"/>
      <c r="Z1317" s="35"/>
      <c r="AA1317" s="35"/>
      <c r="AB1317" s="35"/>
      <c r="AC1317" s="35"/>
      <c r="AD1317" s="35"/>
      <c r="AE1317" s="35"/>
      <c r="AF1317" s="35"/>
      <c r="AG1317" s="35"/>
      <c r="AH1317" s="35"/>
      <c r="AI1317" s="35"/>
      <c r="AJ1317" s="35"/>
      <c r="AK1317" s="35"/>
      <c r="AL1317" s="35"/>
      <c r="AM1317" s="35"/>
      <c r="AN1317" s="35"/>
      <c r="AO1317" s="35"/>
      <c r="AP1317" s="35"/>
      <c r="AQ1317" s="35"/>
      <c r="AR1317" s="35"/>
      <c r="AS1317" s="35"/>
      <c r="AT1317" s="35"/>
      <c r="AU1317" s="35"/>
      <c r="AV1317" s="35"/>
      <c r="AW1317" s="35"/>
      <c r="AX1317" s="35"/>
      <c r="AY1317" s="35"/>
      <c r="AZ1317" s="35"/>
      <c r="BA1317" s="35"/>
      <c r="BB1317" s="35"/>
      <c r="BC1317" s="35"/>
      <c r="BD1317" s="35"/>
      <c r="BE1317" s="35"/>
      <c r="BF1317" s="35"/>
      <c r="BG1317" s="35"/>
    </row>
    <row r="1318" ht="15.75" customHeight="1">
      <c r="A1318" s="35"/>
      <c r="B1318" s="35"/>
      <c r="C1318" s="35"/>
      <c r="D1318" s="35"/>
      <c r="E1318" s="35"/>
      <c r="F1318" s="35"/>
      <c r="G1318" s="35"/>
      <c r="H1318" s="35"/>
      <c r="I1318" s="35"/>
      <c r="J1318" s="35"/>
      <c r="K1318" s="35"/>
      <c r="L1318" s="35"/>
      <c r="M1318" s="35"/>
      <c r="N1318" s="35"/>
      <c r="O1318" s="35"/>
      <c r="P1318" s="35"/>
      <c r="Q1318" s="35"/>
      <c r="R1318" s="35"/>
      <c r="S1318" s="35"/>
      <c r="T1318" s="35"/>
      <c r="U1318" s="35"/>
      <c r="V1318" s="35"/>
      <c r="W1318" s="35"/>
      <c r="X1318" s="35"/>
      <c r="Y1318" s="35"/>
      <c r="Z1318" s="35"/>
      <c r="AA1318" s="35"/>
      <c r="AB1318" s="35"/>
      <c r="AC1318" s="35"/>
      <c r="AD1318" s="35"/>
      <c r="AE1318" s="35"/>
      <c r="AF1318" s="35"/>
      <c r="AG1318" s="35"/>
      <c r="AH1318" s="35"/>
      <c r="AI1318" s="35"/>
      <c r="AJ1318" s="35"/>
      <c r="AK1318" s="35"/>
      <c r="AL1318" s="35"/>
      <c r="AM1318" s="35"/>
      <c r="AN1318" s="35"/>
      <c r="AO1318" s="35"/>
      <c r="AP1318" s="35"/>
      <c r="AQ1318" s="35"/>
      <c r="AR1318" s="35"/>
      <c r="AS1318" s="35"/>
      <c r="AT1318" s="35"/>
      <c r="AU1318" s="35"/>
      <c r="AV1318" s="35"/>
      <c r="AW1318" s="35"/>
      <c r="AX1318" s="35"/>
      <c r="AY1318" s="35"/>
      <c r="AZ1318" s="35"/>
      <c r="BA1318" s="35"/>
      <c r="BB1318" s="35"/>
      <c r="BC1318" s="35"/>
      <c r="BD1318" s="35"/>
      <c r="BE1318" s="35"/>
      <c r="BF1318" s="35"/>
      <c r="BG1318" s="35"/>
    </row>
    <row r="1319" ht="15.75" customHeight="1">
      <c r="A1319" s="35"/>
      <c r="B1319" s="35"/>
      <c r="C1319" s="35"/>
      <c r="D1319" s="35"/>
      <c r="E1319" s="35"/>
      <c r="F1319" s="35"/>
      <c r="G1319" s="35"/>
      <c r="H1319" s="35"/>
      <c r="I1319" s="35"/>
      <c r="J1319" s="35"/>
      <c r="K1319" s="35"/>
      <c r="L1319" s="35"/>
      <c r="M1319" s="35"/>
      <c r="N1319" s="35"/>
      <c r="O1319" s="35"/>
      <c r="P1319" s="35"/>
      <c r="Q1319" s="35"/>
      <c r="R1319" s="35"/>
      <c r="S1319" s="35"/>
      <c r="T1319" s="35"/>
      <c r="U1319" s="35"/>
      <c r="V1319" s="35"/>
      <c r="W1319" s="35"/>
      <c r="X1319" s="35"/>
      <c r="Y1319" s="35"/>
      <c r="Z1319" s="35"/>
      <c r="AA1319" s="35"/>
      <c r="AB1319" s="35"/>
      <c r="AC1319" s="35"/>
      <c r="AD1319" s="35"/>
      <c r="AE1319" s="35"/>
      <c r="AF1319" s="35"/>
      <c r="AG1319" s="35"/>
      <c r="AH1319" s="35"/>
      <c r="AI1319" s="35"/>
      <c r="AJ1319" s="35"/>
      <c r="AK1319" s="35"/>
      <c r="AL1319" s="35"/>
      <c r="AM1319" s="35"/>
      <c r="AN1319" s="35"/>
      <c r="AO1319" s="35"/>
      <c r="AP1319" s="35"/>
      <c r="AQ1319" s="35"/>
      <c r="AR1319" s="35"/>
      <c r="AS1319" s="35"/>
      <c r="AT1319" s="35"/>
      <c r="AU1319" s="35"/>
      <c r="AV1319" s="35"/>
      <c r="AW1319" s="35"/>
      <c r="AX1319" s="35"/>
      <c r="AY1319" s="35"/>
      <c r="AZ1319" s="35"/>
      <c r="BA1319" s="35"/>
      <c r="BB1319" s="35"/>
      <c r="BC1319" s="35"/>
      <c r="BD1319" s="35"/>
      <c r="BE1319" s="35"/>
      <c r="BF1319" s="35"/>
      <c r="BG1319" s="35"/>
    </row>
    <row r="1320" ht="15.75" customHeight="1">
      <c r="A1320" s="35"/>
      <c r="B1320" s="35"/>
      <c r="C1320" s="35"/>
      <c r="D1320" s="35"/>
      <c r="E1320" s="35"/>
      <c r="F1320" s="35"/>
      <c r="G1320" s="35"/>
      <c r="H1320" s="35"/>
      <c r="I1320" s="35"/>
      <c r="J1320" s="35"/>
      <c r="K1320" s="35"/>
      <c r="L1320" s="35"/>
      <c r="M1320" s="35"/>
      <c r="N1320" s="35"/>
      <c r="O1320" s="35"/>
      <c r="P1320" s="35"/>
      <c r="Q1320" s="35"/>
      <c r="R1320" s="35"/>
      <c r="S1320" s="35"/>
      <c r="T1320" s="35"/>
      <c r="U1320" s="35"/>
      <c r="V1320" s="35"/>
      <c r="W1320" s="35"/>
      <c r="X1320" s="35"/>
      <c r="Y1320" s="35"/>
      <c r="Z1320" s="35"/>
      <c r="AA1320" s="35"/>
      <c r="AB1320" s="35"/>
      <c r="AC1320" s="35"/>
      <c r="AD1320" s="35"/>
      <c r="AE1320" s="35"/>
      <c r="AF1320" s="35"/>
      <c r="AG1320" s="35"/>
      <c r="AH1320" s="35"/>
      <c r="AI1320" s="35"/>
      <c r="AJ1320" s="35"/>
      <c r="AK1320" s="35"/>
      <c r="AL1320" s="35"/>
      <c r="AM1320" s="35"/>
      <c r="AN1320" s="35"/>
      <c r="AO1320" s="35"/>
      <c r="AP1320" s="35"/>
      <c r="AQ1320" s="35"/>
      <c r="AR1320" s="35"/>
      <c r="AS1320" s="35"/>
      <c r="AT1320" s="35"/>
      <c r="AU1320" s="35"/>
      <c r="AV1320" s="35"/>
      <c r="AW1320" s="35"/>
      <c r="AX1320" s="35"/>
      <c r="AY1320" s="35"/>
      <c r="AZ1320" s="35"/>
      <c r="BA1320" s="35"/>
      <c r="BB1320" s="35"/>
      <c r="BC1320" s="35"/>
      <c r="BD1320" s="35"/>
      <c r="BE1320" s="35"/>
      <c r="BF1320" s="35"/>
      <c r="BG1320" s="35"/>
    </row>
    <row r="1321" ht="15.75" customHeight="1">
      <c r="A1321" s="35"/>
      <c r="B1321" s="35"/>
      <c r="C1321" s="35"/>
      <c r="D1321" s="35"/>
      <c r="E1321" s="35"/>
      <c r="F1321" s="35"/>
      <c r="G1321" s="35"/>
      <c r="H1321" s="35"/>
      <c r="I1321" s="35"/>
      <c r="J1321" s="35"/>
      <c r="K1321" s="35"/>
      <c r="L1321" s="35"/>
      <c r="M1321" s="35"/>
      <c r="N1321" s="35"/>
      <c r="O1321" s="35"/>
      <c r="P1321" s="35"/>
      <c r="Q1321" s="35"/>
      <c r="R1321" s="35"/>
      <c r="S1321" s="35"/>
      <c r="T1321" s="35"/>
      <c r="U1321" s="35"/>
      <c r="V1321" s="35"/>
      <c r="W1321" s="35"/>
      <c r="X1321" s="35"/>
      <c r="Y1321" s="35"/>
      <c r="Z1321" s="35"/>
      <c r="AA1321" s="35"/>
      <c r="AB1321" s="35"/>
      <c r="AC1321" s="35"/>
      <c r="AD1321" s="35"/>
      <c r="AE1321" s="35"/>
      <c r="AF1321" s="35"/>
      <c r="AG1321" s="35"/>
      <c r="AH1321" s="35"/>
      <c r="AI1321" s="35"/>
      <c r="AJ1321" s="35"/>
      <c r="AK1321" s="35"/>
      <c r="AL1321" s="35"/>
      <c r="AM1321" s="35"/>
      <c r="AN1321" s="35"/>
      <c r="AO1321" s="35"/>
      <c r="AP1321" s="35"/>
      <c r="AQ1321" s="35"/>
      <c r="AR1321" s="35"/>
      <c r="AS1321" s="35"/>
      <c r="AT1321" s="35"/>
      <c r="AU1321" s="35"/>
      <c r="AV1321" s="35"/>
      <c r="AW1321" s="35"/>
      <c r="AX1321" s="35"/>
      <c r="AY1321" s="35"/>
      <c r="AZ1321" s="35"/>
      <c r="BA1321" s="35"/>
      <c r="BB1321" s="35"/>
      <c r="BC1321" s="35"/>
      <c r="BD1321" s="35"/>
      <c r="BE1321" s="35"/>
      <c r="BF1321" s="35"/>
      <c r="BG1321" s="35"/>
    </row>
    <row r="1322" ht="15.75" customHeight="1">
      <c r="A1322" s="35"/>
      <c r="B1322" s="35"/>
      <c r="C1322" s="35"/>
      <c r="D1322" s="35"/>
      <c r="E1322" s="35"/>
      <c r="F1322" s="35"/>
      <c r="G1322" s="35"/>
      <c r="H1322" s="35"/>
      <c r="I1322" s="35"/>
      <c r="J1322" s="35"/>
      <c r="K1322" s="35"/>
      <c r="L1322" s="35"/>
      <c r="M1322" s="35"/>
      <c r="N1322" s="35"/>
      <c r="O1322" s="35"/>
      <c r="P1322" s="35"/>
      <c r="Q1322" s="35"/>
      <c r="R1322" s="35"/>
      <c r="S1322" s="35"/>
      <c r="T1322" s="35"/>
      <c r="U1322" s="35"/>
      <c r="V1322" s="35"/>
      <c r="W1322" s="35"/>
      <c r="X1322" s="35"/>
      <c r="Y1322" s="35"/>
      <c r="Z1322" s="35"/>
      <c r="AA1322" s="35"/>
      <c r="AB1322" s="35"/>
      <c r="AC1322" s="35"/>
      <c r="AD1322" s="35"/>
      <c r="AE1322" s="35"/>
      <c r="AF1322" s="35"/>
      <c r="AG1322" s="35"/>
      <c r="AH1322" s="35"/>
      <c r="AI1322" s="35"/>
      <c r="AJ1322" s="35"/>
      <c r="AK1322" s="35"/>
      <c r="AL1322" s="35"/>
      <c r="AM1322" s="35"/>
      <c r="AN1322" s="35"/>
      <c r="AO1322" s="35"/>
      <c r="AP1322" s="35"/>
      <c r="AQ1322" s="35"/>
      <c r="AR1322" s="35"/>
      <c r="AS1322" s="35"/>
      <c r="AT1322" s="35"/>
      <c r="AU1322" s="35"/>
      <c r="AV1322" s="35"/>
      <c r="AW1322" s="35"/>
      <c r="AX1322" s="35"/>
      <c r="AY1322" s="35"/>
      <c r="AZ1322" s="35"/>
      <c r="BA1322" s="35"/>
      <c r="BB1322" s="35"/>
      <c r="BC1322" s="35"/>
      <c r="BD1322" s="35"/>
      <c r="BE1322" s="35"/>
      <c r="BF1322" s="35"/>
      <c r="BG1322" s="35"/>
    </row>
    <row r="1323" ht="15.75" customHeight="1">
      <c r="A1323" s="35"/>
      <c r="B1323" s="35"/>
      <c r="C1323" s="35"/>
      <c r="D1323" s="35"/>
      <c r="E1323" s="35"/>
      <c r="F1323" s="35"/>
      <c r="G1323" s="35"/>
      <c r="H1323" s="35"/>
      <c r="I1323" s="35"/>
      <c r="J1323" s="35"/>
      <c r="K1323" s="35"/>
      <c r="L1323" s="35"/>
      <c r="M1323" s="35"/>
      <c r="N1323" s="35"/>
      <c r="O1323" s="35"/>
      <c r="P1323" s="35"/>
      <c r="Q1323" s="35"/>
      <c r="R1323" s="35"/>
      <c r="S1323" s="35"/>
      <c r="T1323" s="35"/>
      <c r="U1323" s="35"/>
      <c r="V1323" s="35"/>
      <c r="W1323" s="35"/>
      <c r="X1323" s="35"/>
      <c r="Y1323" s="35"/>
      <c r="Z1323" s="35"/>
      <c r="AA1323" s="35"/>
      <c r="AB1323" s="35"/>
      <c r="AC1323" s="35"/>
      <c r="AD1323" s="35"/>
      <c r="AE1323" s="35"/>
      <c r="AF1323" s="35"/>
      <c r="AG1323" s="35"/>
      <c r="AH1323" s="35"/>
      <c r="AI1323" s="35"/>
      <c r="AJ1323" s="35"/>
      <c r="AK1323" s="35"/>
      <c r="AL1323" s="35"/>
      <c r="AM1323" s="35"/>
      <c r="AN1323" s="35"/>
      <c r="AO1323" s="35"/>
      <c r="AP1323" s="35"/>
      <c r="AQ1323" s="35"/>
      <c r="AR1323" s="35"/>
      <c r="AS1323" s="35"/>
      <c r="AT1323" s="35"/>
      <c r="AU1323" s="35"/>
      <c r="AV1323" s="35"/>
      <c r="AW1323" s="35"/>
      <c r="AX1323" s="35"/>
      <c r="AY1323" s="35"/>
      <c r="AZ1323" s="35"/>
      <c r="BA1323" s="35"/>
      <c r="BB1323" s="35"/>
      <c r="BC1323" s="35"/>
      <c r="BD1323" s="35"/>
      <c r="BE1323" s="35"/>
      <c r="BF1323" s="35"/>
      <c r="BG1323" s="35"/>
    </row>
    <row r="1324" ht="15.75" customHeight="1">
      <c r="A1324" s="35"/>
      <c r="B1324" s="35"/>
      <c r="C1324" s="35"/>
      <c r="D1324" s="35"/>
      <c r="E1324" s="35"/>
      <c r="F1324" s="35"/>
      <c r="G1324" s="35"/>
      <c r="H1324" s="35"/>
      <c r="I1324" s="35"/>
      <c r="J1324" s="35"/>
      <c r="K1324" s="35"/>
      <c r="L1324" s="35"/>
      <c r="M1324" s="35"/>
      <c r="N1324" s="35"/>
      <c r="O1324" s="35"/>
      <c r="P1324" s="35"/>
      <c r="Q1324" s="35"/>
      <c r="R1324" s="35"/>
      <c r="S1324" s="35"/>
      <c r="T1324" s="35"/>
      <c r="U1324" s="35"/>
      <c r="V1324" s="35"/>
      <c r="W1324" s="35"/>
      <c r="X1324" s="35"/>
      <c r="Y1324" s="35"/>
      <c r="Z1324" s="35"/>
      <c r="AA1324" s="35"/>
      <c r="AB1324" s="35"/>
      <c r="AC1324" s="35"/>
      <c r="AD1324" s="35"/>
      <c r="AE1324" s="35"/>
      <c r="AF1324" s="35"/>
      <c r="AG1324" s="35"/>
      <c r="AH1324" s="35"/>
      <c r="AI1324" s="35"/>
      <c r="AJ1324" s="35"/>
      <c r="AK1324" s="35"/>
      <c r="AL1324" s="35"/>
      <c r="AM1324" s="35"/>
      <c r="AN1324" s="35"/>
      <c r="AO1324" s="35"/>
      <c r="AP1324" s="35"/>
      <c r="AQ1324" s="35"/>
      <c r="AR1324" s="35"/>
      <c r="AS1324" s="35"/>
      <c r="AT1324" s="35"/>
      <c r="AU1324" s="35"/>
      <c r="AV1324" s="35"/>
      <c r="AW1324" s="35"/>
      <c r="AX1324" s="35"/>
      <c r="AY1324" s="35"/>
      <c r="AZ1324" s="35"/>
      <c r="BA1324" s="35"/>
      <c r="BB1324" s="35"/>
      <c r="BC1324" s="35"/>
      <c r="BD1324" s="35"/>
      <c r="BE1324" s="35"/>
      <c r="BF1324" s="35"/>
      <c r="BG1324" s="35"/>
    </row>
    <row r="1325" ht="15.75" customHeight="1">
      <c r="A1325" s="35"/>
      <c r="B1325" s="35"/>
      <c r="C1325" s="35"/>
      <c r="D1325" s="35"/>
      <c r="E1325" s="35"/>
      <c r="F1325" s="35"/>
      <c r="G1325" s="35"/>
      <c r="H1325" s="35"/>
      <c r="I1325" s="35"/>
      <c r="J1325" s="35"/>
      <c r="K1325" s="35"/>
      <c r="L1325" s="35"/>
      <c r="M1325" s="35"/>
      <c r="N1325" s="35"/>
      <c r="O1325" s="35"/>
      <c r="P1325" s="35"/>
      <c r="Q1325" s="35"/>
      <c r="R1325" s="35"/>
      <c r="S1325" s="35"/>
      <c r="T1325" s="35"/>
      <c r="U1325" s="35"/>
      <c r="V1325" s="35"/>
      <c r="W1325" s="35"/>
      <c r="X1325" s="35"/>
      <c r="Y1325" s="35"/>
      <c r="Z1325" s="35"/>
      <c r="AA1325" s="35"/>
      <c r="AB1325" s="35"/>
      <c r="AC1325" s="35"/>
      <c r="AD1325" s="35"/>
      <c r="AE1325" s="35"/>
      <c r="AF1325" s="35"/>
      <c r="AG1325" s="35"/>
      <c r="AH1325" s="35"/>
      <c r="AI1325" s="35"/>
      <c r="AJ1325" s="35"/>
      <c r="AK1325" s="35"/>
      <c r="AL1325" s="35"/>
      <c r="AM1325" s="35"/>
      <c r="AN1325" s="35"/>
      <c r="AO1325" s="35"/>
      <c r="AP1325" s="35"/>
      <c r="AQ1325" s="35"/>
      <c r="AR1325" s="35"/>
      <c r="AS1325" s="35"/>
      <c r="AT1325" s="35"/>
      <c r="AU1325" s="35"/>
      <c r="AV1325" s="35"/>
      <c r="AW1325" s="35"/>
      <c r="AX1325" s="35"/>
      <c r="AY1325" s="35"/>
      <c r="AZ1325" s="35"/>
      <c r="BA1325" s="35"/>
      <c r="BB1325" s="35"/>
      <c r="BC1325" s="35"/>
      <c r="BD1325" s="35"/>
      <c r="BE1325" s="35"/>
      <c r="BF1325" s="35"/>
      <c r="BG1325" s="35"/>
    </row>
    <row r="1326" ht="15.75" customHeight="1">
      <c r="A1326" s="35"/>
      <c r="B1326" s="35"/>
      <c r="C1326" s="35"/>
      <c r="D1326" s="35"/>
      <c r="E1326" s="35"/>
      <c r="F1326" s="35"/>
      <c r="G1326" s="35"/>
      <c r="H1326" s="35"/>
      <c r="I1326" s="35"/>
      <c r="J1326" s="35"/>
      <c r="K1326" s="35"/>
      <c r="L1326" s="35"/>
      <c r="M1326" s="35"/>
      <c r="N1326" s="35"/>
      <c r="O1326" s="35"/>
      <c r="P1326" s="35"/>
      <c r="Q1326" s="35"/>
      <c r="R1326" s="35"/>
      <c r="S1326" s="35"/>
      <c r="T1326" s="35"/>
      <c r="U1326" s="35"/>
      <c r="V1326" s="35"/>
      <c r="W1326" s="35"/>
      <c r="X1326" s="35"/>
      <c r="Y1326" s="35"/>
      <c r="Z1326" s="35"/>
      <c r="AA1326" s="35"/>
      <c r="AB1326" s="35"/>
      <c r="AC1326" s="35"/>
      <c r="AD1326" s="35"/>
      <c r="AE1326" s="35"/>
      <c r="AF1326" s="35"/>
      <c r="AG1326" s="35"/>
      <c r="AH1326" s="35"/>
      <c r="AI1326" s="35"/>
      <c r="AJ1326" s="35"/>
      <c r="AK1326" s="35"/>
      <c r="AL1326" s="35"/>
      <c r="AM1326" s="35"/>
      <c r="AN1326" s="35"/>
      <c r="AO1326" s="35"/>
      <c r="AP1326" s="35"/>
      <c r="AQ1326" s="35"/>
      <c r="AR1326" s="35"/>
      <c r="AS1326" s="35"/>
      <c r="AT1326" s="35"/>
      <c r="AU1326" s="35"/>
      <c r="AV1326" s="35"/>
      <c r="AW1326" s="35"/>
      <c r="AX1326" s="35"/>
      <c r="AY1326" s="35"/>
      <c r="AZ1326" s="35"/>
      <c r="BA1326" s="35"/>
      <c r="BB1326" s="35"/>
      <c r="BC1326" s="35"/>
      <c r="BD1326" s="35"/>
      <c r="BE1326" s="35"/>
      <c r="BF1326" s="35"/>
      <c r="BG1326" s="35"/>
    </row>
    <row r="1327" ht="15.75" customHeight="1">
      <c r="A1327" s="35"/>
      <c r="B1327" s="35"/>
      <c r="C1327" s="35"/>
      <c r="D1327" s="35"/>
      <c r="E1327" s="35"/>
      <c r="F1327" s="35"/>
      <c r="G1327" s="35"/>
      <c r="H1327" s="35"/>
      <c r="I1327" s="35"/>
      <c r="J1327" s="35"/>
      <c r="K1327" s="35"/>
      <c r="L1327" s="35"/>
      <c r="M1327" s="35"/>
      <c r="N1327" s="35"/>
      <c r="O1327" s="35"/>
      <c r="P1327" s="35"/>
      <c r="Q1327" s="35"/>
      <c r="R1327" s="35"/>
      <c r="S1327" s="35"/>
      <c r="T1327" s="35"/>
      <c r="U1327" s="35"/>
      <c r="V1327" s="35"/>
      <c r="W1327" s="35"/>
      <c r="X1327" s="35"/>
      <c r="Y1327" s="35"/>
      <c r="Z1327" s="35"/>
      <c r="AA1327" s="35"/>
      <c r="AB1327" s="35"/>
      <c r="AC1327" s="35"/>
      <c r="AD1327" s="35"/>
      <c r="AE1327" s="35"/>
      <c r="AF1327" s="35"/>
      <c r="AG1327" s="35"/>
      <c r="AH1327" s="35"/>
      <c r="AI1327" s="35"/>
      <c r="AJ1327" s="35"/>
      <c r="AK1327" s="35"/>
      <c r="AL1327" s="35"/>
      <c r="AM1327" s="35"/>
      <c r="AN1327" s="35"/>
      <c r="AO1327" s="35"/>
      <c r="AP1327" s="35"/>
      <c r="AQ1327" s="35"/>
      <c r="AR1327" s="35"/>
      <c r="AS1327" s="35"/>
      <c r="AT1327" s="35"/>
      <c r="AU1327" s="35"/>
      <c r="AV1327" s="35"/>
      <c r="AW1327" s="35"/>
      <c r="AX1327" s="35"/>
      <c r="AY1327" s="35"/>
      <c r="AZ1327" s="35"/>
      <c r="BA1327" s="35"/>
      <c r="BB1327" s="35"/>
      <c r="BC1327" s="35"/>
      <c r="BD1327" s="35"/>
      <c r="BE1327" s="35"/>
      <c r="BF1327" s="35"/>
      <c r="BG1327" s="35"/>
    </row>
    <row r="1328" ht="15.75" customHeight="1">
      <c r="A1328" s="35"/>
      <c r="B1328" s="35"/>
      <c r="C1328" s="35"/>
      <c r="D1328" s="35"/>
      <c r="E1328" s="35"/>
      <c r="F1328" s="35"/>
      <c r="G1328" s="35"/>
      <c r="H1328" s="35"/>
      <c r="I1328" s="35"/>
      <c r="J1328" s="35"/>
      <c r="K1328" s="35"/>
      <c r="L1328" s="35"/>
      <c r="M1328" s="35"/>
      <c r="N1328" s="35"/>
      <c r="O1328" s="35"/>
      <c r="P1328" s="35"/>
      <c r="Q1328" s="35"/>
      <c r="R1328" s="35"/>
      <c r="S1328" s="35"/>
      <c r="T1328" s="35"/>
      <c r="U1328" s="35"/>
      <c r="V1328" s="35"/>
      <c r="W1328" s="35"/>
      <c r="X1328" s="35"/>
      <c r="Y1328" s="35"/>
      <c r="Z1328" s="35"/>
      <c r="AA1328" s="35"/>
      <c r="AB1328" s="35"/>
      <c r="AC1328" s="35"/>
      <c r="AD1328" s="35"/>
      <c r="AE1328" s="35"/>
      <c r="AF1328" s="35"/>
      <c r="AG1328" s="35"/>
      <c r="AH1328" s="35"/>
      <c r="AI1328" s="35"/>
      <c r="AJ1328" s="35"/>
      <c r="AK1328" s="35"/>
      <c r="AL1328" s="35"/>
      <c r="AM1328" s="35"/>
      <c r="AN1328" s="35"/>
      <c r="AO1328" s="35"/>
      <c r="AP1328" s="35"/>
      <c r="AQ1328" s="35"/>
      <c r="AR1328" s="35"/>
      <c r="AS1328" s="35"/>
      <c r="AT1328" s="35"/>
      <c r="AU1328" s="35"/>
      <c r="AV1328" s="35"/>
      <c r="AW1328" s="35"/>
      <c r="AX1328" s="35"/>
      <c r="AY1328" s="35"/>
      <c r="AZ1328" s="35"/>
      <c r="BA1328" s="35"/>
      <c r="BB1328" s="35"/>
      <c r="BC1328" s="35"/>
      <c r="BD1328" s="35"/>
      <c r="BE1328" s="35"/>
      <c r="BF1328" s="35"/>
      <c r="BG1328" s="35"/>
    </row>
    <row r="1329" ht="15.75" customHeight="1">
      <c r="A1329" s="35"/>
      <c r="B1329" s="35"/>
      <c r="C1329" s="35"/>
      <c r="D1329" s="35"/>
      <c r="E1329" s="35"/>
      <c r="F1329" s="35"/>
      <c r="G1329" s="35"/>
      <c r="H1329" s="35"/>
      <c r="I1329" s="35"/>
      <c r="J1329" s="35"/>
      <c r="K1329" s="35"/>
      <c r="L1329" s="35"/>
      <c r="M1329" s="35"/>
      <c r="N1329" s="35"/>
      <c r="O1329" s="35"/>
      <c r="P1329" s="35"/>
      <c r="Q1329" s="35"/>
      <c r="R1329" s="35"/>
      <c r="S1329" s="35"/>
      <c r="T1329" s="35"/>
      <c r="U1329" s="35"/>
      <c r="V1329" s="35"/>
      <c r="W1329" s="35"/>
      <c r="X1329" s="35"/>
      <c r="Y1329" s="35"/>
      <c r="Z1329" s="35"/>
      <c r="AA1329" s="35"/>
      <c r="AB1329" s="35"/>
      <c r="AC1329" s="35"/>
      <c r="AD1329" s="35"/>
      <c r="AE1329" s="35"/>
      <c r="AF1329" s="35"/>
      <c r="AG1329" s="35"/>
      <c r="AH1329" s="35"/>
      <c r="AI1329" s="35"/>
      <c r="AJ1329" s="35"/>
      <c r="AK1329" s="35"/>
      <c r="AL1329" s="35"/>
      <c r="AM1329" s="35"/>
      <c r="AN1329" s="35"/>
      <c r="AO1329" s="35"/>
      <c r="AP1329" s="35"/>
      <c r="AQ1329" s="35"/>
      <c r="AR1329" s="35"/>
      <c r="AS1329" s="35"/>
      <c r="AT1329" s="35"/>
      <c r="AU1329" s="35"/>
      <c r="AV1329" s="35"/>
      <c r="AW1329" s="35"/>
      <c r="AX1329" s="35"/>
      <c r="AY1329" s="35"/>
      <c r="AZ1329" s="35"/>
      <c r="BA1329" s="35"/>
      <c r="BB1329" s="35"/>
      <c r="BC1329" s="35"/>
      <c r="BD1329" s="35"/>
      <c r="BE1329" s="35"/>
      <c r="BF1329" s="35"/>
      <c r="BG1329" s="35"/>
    </row>
    <row r="1330" ht="15.75" customHeight="1">
      <c r="A1330" s="35"/>
      <c r="B1330" s="35"/>
      <c r="C1330" s="35"/>
      <c r="D1330" s="35"/>
      <c r="E1330" s="35"/>
      <c r="F1330" s="35"/>
      <c r="G1330" s="35"/>
      <c r="H1330" s="35"/>
      <c r="I1330" s="35"/>
      <c r="J1330" s="35"/>
      <c r="K1330" s="35"/>
      <c r="L1330" s="35"/>
      <c r="M1330" s="35"/>
      <c r="N1330" s="35"/>
      <c r="O1330" s="35"/>
      <c r="P1330" s="35"/>
      <c r="Q1330" s="35"/>
      <c r="R1330" s="35"/>
      <c r="S1330" s="35"/>
      <c r="T1330" s="35"/>
      <c r="U1330" s="35"/>
      <c r="V1330" s="35"/>
      <c r="W1330" s="35"/>
      <c r="X1330" s="35"/>
      <c r="Y1330" s="35"/>
      <c r="Z1330" s="35"/>
      <c r="AA1330" s="35"/>
      <c r="AB1330" s="35"/>
      <c r="AC1330" s="35"/>
      <c r="AD1330" s="35"/>
      <c r="AE1330" s="35"/>
      <c r="AF1330" s="35"/>
      <c r="AG1330" s="35"/>
      <c r="AH1330" s="35"/>
      <c r="AI1330" s="35"/>
      <c r="AJ1330" s="35"/>
      <c r="AK1330" s="35"/>
      <c r="AL1330" s="35"/>
      <c r="AM1330" s="35"/>
      <c r="AN1330" s="35"/>
      <c r="AO1330" s="35"/>
      <c r="AP1330" s="35"/>
      <c r="AQ1330" s="35"/>
      <c r="AR1330" s="35"/>
      <c r="AS1330" s="35"/>
      <c r="AT1330" s="35"/>
      <c r="AU1330" s="35"/>
      <c r="AV1330" s="35"/>
      <c r="AW1330" s="35"/>
      <c r="AX1330" s="35"/>
      <c r="AY1330" s="35"/>
      <c r="AZ1330" s="35"/>
      <c r="BA1330" s="35"/>
      <c r="BB1330" s="35"/>
      <c r="BC1330" s="35"/>
      <c r="BD1330" s="35"/>
      <c r="BE1330" s="35"/>
      <c r="BF1330" s="35"/>
      <c r="BG1330" s="35"/>
    </row>
    <row r="1331" ht="15.75" customHeight="1">
      <c r="A1331" s="35"/>
      <c r="B1331" s="35"/>
      <c r="C1331" s="35"/>
      <c r="D1331" s="35"/>
      <c r="E1331" s="35"/>
      <c r="F1331" s="35"/>
      <c r="G1331" s="35"/>
      <c r="H1331" s="35"/>
      <c r="I1331" s="35"/>
      <c r="J1331" s="35"/>
      <c r="K1331" s="35"/>
      <c r="L1331" s="35"/>
      <c r="M1331" s="35"/>
      <c r="N1331" s="35"/>
      <c r="O1331" s="35"/>
      <c r="P1331" s="35"/>
      <c r="Q1331" s="35"/>
      <c r="R1331" s="35"/>
      <c r="S1331" s="35"/>
      <c r="T1331" s="35"/>
      <c r="U1331" s="35"/>
      <c r="V1331" s="35"/>
      <c r="W1331" s="35"/>
      <c r="X1331" s="35"/>
      <c r="Y1331" s="35"/>
      <c r="Z1331" s="35"/>
      <c r="AA1331" s="35"/>
      <c r="AB1331" s="35"/>
      <c r="AC1331" s="35"/>
      <c r="AD1331" s="35"/>
      <c r="AE1331" s="35"/>
      <c r="AF1331" s="35"/>
      <c r="AG1331" s="35"/>
      <c r="AH1331" s="35"/>
      <c r="AI1331" s="35"/>
      <c r="AJ1331" s="35"/>
      <c r="AK1331" s="35"/>
      <c r="AL1331" s="35"/>
      <c r="AM1331" s="35"/>
      <c r="AN1331" s="35"/>
      <c r="AO1331" s="35"/>
      <c r="AP1331" s="35"/>
      <c r="AQ1331" s="35"/>
      <c r="AR1331" s="35"/>
      <c r="AS1331" s="35"/>
      <c r="AT1331" s="35"/>
      <c r="AU1331" s="35"/>
      <c r="AV1331" s="35"/>
      <c r="AW1331" s="35"/>
      <c r="AX1331" s="35"/>
      <c r="AY1331" s="35"/>
      <c r="AZ1331" s="35"/>
      <c r="BA1331" s="35"/>
      <c r="BB1331" s="35"/>
      <c r="BC1331" s="35"/>
      <c r="BD1331" s="35"/>
      <c r="BE1331" s="35"/>
      <c r="BF1331" s="35"/>
      <c r="BG1331" s="35"/>
    </row>
    <row r="1332" ht="15.75" customHeight="1">
      <c r="A1332" s="35"/>
      <c r="B1332" s="35"/>
      <c r="C1332" s="35"/>
      <c r="D1332" s="35"/>
      <c r="E1332" s="35"/>
      <c r="F1332" s="35"/>
      <c r="G1332" s="35"/>
      <c r="H1332" s="35"/>
      <c r="I1332" s="35"/>
      <c r="J1332" s="35"/>
      <c r="K1332" s="35"/>
      <c r="L1332" s="35"/>
      <c r="M1332" s="35"/>
      <c r="N1332" s="35"/>
      <c r="O1332" s="35"/>
      <c r="P1332" s="35"/>
      <c r="Q1332" s="35"/>
      <c r="R1332" s="35"/>
      <c r="S1332" s="35"/>
      <c r="T1332" s="35"/>
      <c r="U1332" s="35"/>
      <c r="V1332" s="35"/>
      <c r="W1332" s="35"/>
      <c r="X1332" s="35"/>
      <c r="Y1332" s="35"/>
      <c r="Z1332" s="35"/>
      <c r="AA1332" s="35"/>
      <c r="AB1332" s="35"/>
      <c r="AC1332" s="35"/>
      <c r="AD1332" s="35"/>
      <c r="AE1332" s="35"/>
      <c r="AF1332" s="35"/>
      <c r="AG1332" s="35"/>
      <c r="AH1332" s="35"/>
      <c r="AI1332" s="35"/>
      <c r="AJ1332" s="35"/>
      <c r="AK1332" s="35"/>
      <c r="AL1332" s="35"/>
      <c r="AM1332" s="35"/>
      <c r="AN1332" s="35"/>
      <c r="AO1332" s="35"/>
      <c r="AP1332" s="35"/>
      <c r="AQ1332" s="35"/>
      <c r="AR1332" s="35"/>
      <c r="AS1332" s="35"/>
      <c r="AT1332" s="35"/>
      <c r="AU1332" s="35"/>
      <c r="AV1332" s="35"/>
      <c r="AW1332" s="35"/>
      <c r="AX1332" s="35"/>
      <c r="AY1332" s="35"/>
      <c r="AZ1332" s="35"/>
      <c r="BA1332" s="35"/>
      <c r="BB1332" s="35"/>
      <c r="BC1332" s="35"/>
      <c r="BD1332" s="35"/>
      <c r="BE1332" s="35"/>
      <c r="BF1332" s="35"/>
      <c r="BG1332" s="35"/>
    </row>
    <row r="1333" ht="15.75" customHeight="1">
      <c r="A1333" s="35"/>
      <c r="B1333" s="35"/>
      <c r="C1333" s="35"/>
      <c r="D1333" s="35"/>
      <c r="E1333" s="35"/>
      <c r="F1333" s="35"/>
      <c r="G1333" s="35"/>
      <c r="H1333" s="35"/>
      <c r="I1333" s="35"/>
      <c r="J1333" s="35"/>
      <c r="K1333" s="35"/>
      <c r="L1333" s="35"/>
      <c r="M1333" s="35"/>
      <c r="N1333" s="35"/>
      <c r="O1333" s="35"/>
      <c r="P1333" s="35"/>
      <c r="Q1333" s="35"/>
      <c r="R1333" s="35"/>
      <c r="S1333" s="35"/>
      <c r="T1333" s="35"/>
      <c r="U1333" s="35"/>
      <c r="V1333" s="35"/>
      <c r="W1333" s="35"/>
      <c r="X1333" s="35"/>
      <c r="Y1333" s="35"/>
      <c r="Z1333" s="35"/>
      <c r="AA1333" s="35"/>
      <c r="AB1333" s="35"/>
      <c r="AC1333" s="35"/>
      <c r="AD1333" s="35"/>
      <c r="AE1333" s="35"/>
      <c r="AF1333" s="35"/>
      <c r="AG1333" s="35"/>
      <c r="AH1333" s="35"/>
      <c r="AI1333" s="35"/>
      <c r="AJ1333" s="35"/>
      <c r="AK1333" s="35"/>
      <c r="AL1333" s="35"/>
      <c r="AM1333" s="35"/>
      <c r="AN1333" s="35"/>
      <c r="AO1333" s="35"/>
      <c r="AP1333" s="35"/>
      <c r="AQ1333" s="35"/>
      <c r="AR1333" s="35"/>
      <c r="AS1333" s="35"/>
      <c r="AT1333" s="35"/>
      <c r="AU1333" s="35"/>
      <c r="AV1333" s="35"/>
      <c r="AW1333" s="35"/>
      <c r="AX1333" s="35"/>
      <c r="AY1333" s="35"/>
      <c r="AZ1333" s="35"/>
      <c r="BA1333" s="35"/>
      <c r="BB1333" s="35"/>
      <c r="BC1333" s="35"/>
      <c r="BD1333" s="35"/>
      <c r="BE1333" s="35"/>
      <c r="BF1333" s="35"/>
      <c r="BG1333" s="35"/>
    </row>
    <row r="1334" ht="15.75" customHeight="1">
      <c r="A1334" s="35"/>
      <c r="B1334" s="35"/>
      <c r="C1334" s="35"/>
      <c r="D1334" s="35"/>
      <c r="E1334" s="35"/>
      <c r="F1334" s="35"/>
      <c r="G1334" s="35"/>
      <c r="H1334" s="35"/>
      <c r="I1334" s="35"/>
      <c r="J1334" s="35"/>
      <c r="K1334" s="35"/>
      <c r="L1334" s="35"/>
      <c r="M1334" s="35"/>
      <c r="N1334" s="35"/>
      <c r="O1334" s="35"/>
      <c r="P1334" s="35"/>
      <c r="Q1334" s="35"/>
      <c r="R1334" s="35"/>
      <c r="S1334" s="35"/>
      <c r="T1334" s="35"/>
      <c r="U1334" s="35"/>
      <c r="V1334" s="35"/>
      <c r="W1334" s="35"/>
      <c r="X1334" s="35"/>
      <c r="Y1334" s="35"/>
      <c r="Z1334" s="35"/>
      <c r="AA1334" s="35"/>
      <c r="AB1334" s="35"/>
      <c r="AC1334" s="35"/>
      <c r="AD1334" s="35"/>
      <c r="AE1334" s="35"/>
      <c r="AF1334" s="35"/>
      <c r="AG1334" s="35"/>
      <c r="AH1334" s="35"/>
      <c r="AI1334" s="35"/>
      <c r="AJ1334" s="35"/>
      <c r="AK1334" s="35"/>
      <c r="AL1334" s="35"/>
      <c r="AM1334" s="35"/>
      <c r="AN1334" s="35"/>
      <c r="AO1334" s="35"/>
      <c r="AP1334" s="35"/>
      <c r="AQ1334" s="35"/>
      <c r="AR1334" s="35"/>
      <c r="AS1334" s="35"/>
      <c r="AT1334" s="35"/>
      <c r="AU1334" s="35"/>
      <c r="AV1334" s="35"/>
      <c r="AW1334" s="35"/>
      <c r="AX1334" s="35"/>
      <c r="AY1334" s="35"/>
      <c r="AZ1334" s="35"/>
      <c r="BA1334" s="35"/>
      <c r="BB1334" s="35"/>
      <c r="BC1334" s="35"/>
      <c r="BD1334" s="35"/>
      <c r="BE1334" s="35"/>
      <c r="BF1334" s="35"/>
      <c r="BG1334" s="35"/>
    </row>
    <row r="1335" ht="15.75" customHeight="1">
      <c r="A1335" s="35"/>
      <c r="B1335" s="35"/>
      <c r="C1335" s="35"/>
      <c r="D1335" s="35"/>
      <c r="E1335" s="35"/>
      <c r="F1335" s="35"/>
      <c r="G1335" s="35"/>
      <c r="H1335" s="35"/>
      <c r="I1335" s="35"/>
      <c r="J1335" s="35"/>
      <c r="K1335" s="35"/>
      <c r="L1335" s="35"/>
      <c r="M1335" s="35"/>
      <c r="N1335" s="35"/>
      <c r="O1335" s="35"/>
      <c r="P1335" s="35"/>
      <c r="Q1335" s="35"/>
      <c r="R1335" s="35"/>
      <c r="S1335" s="35"/>
      <c r="T1335" s="35"/>
      <c r="U1335" s="35"/>
      <c r="V1335" s="35"/>
      <c r="W1335" s="35"/>
      <c r="X1335" s="35"/>
      <c r="Y1335" s="35"/>
      <c r="Z1335" s="35"/>
      <c r="AA1335" s="35"/>
      <c r="AB1335" s="35"/>
      <c r="AC1335" s="35"/>
      <c r="AD1335" s="35"/>
      <c r="AE1335" s="35"/>
      <c r="AF1335" s="35"/>
      <c r="AG1335" s="35"/>
      <c r="AH1335" s="35"/>
      <c r="AI1335" s="35"/>
      <c r="AJ1335" s="35"/>
      <c r="AK1335" s="35"/>
      <c r="AL1335" s="35"/>
      <c r="AM1335" s="35"/>
      <c r="AN1335" s="35"/>
      <c r="AO1335" s="35"/>
      <c r="AP1335" s="35"/>
      <c r="AQ1335" s="35"/>
      <c r="AR1335" s="35"/>
      <c r="AS1335" s="35"/>
      <c r="AT1335" s="35"/>
      <c r="AU1335" s="35"/>
      <c r="AV1335" s="35"/>
      <c r="AW1335" s="35"/>
      <c r="AX1335" s="35"/>
      <c r="AY1335" s="35"/>
      <c r="AZ1335" s="35"/>
      <c r="BA1335" s="35"/>
      <c r="BB1335" s="35"/>
      <c r="BC1335" s="35"/>
      <c r="BD1335" s="35"/>
      <c r="BE1335" s="35"/>
      <c r="BF1335" s="35"/>
      <c r="BG1335" s="35"/>
    </row>
    <row r="1336" ht="15.75" customHeight="1">
      <c r="A1336" s="35"/>
      <c r="B1336" s="35"/>
      <c r="C1336" s="35"/>
      <c r="D1336" s="35"/>
      <c r="E1336" s="35"/>
      <c r="F1336" s="35"/>
      <c r="G1336" s="35"/>
      <c r="H1336" s="35"/>
      <c r="I1336" s="35"/>
      <c r="J1336" s="35"/>
      <c r="K1336" s="35"/>
      <c r="L1336" s="35"/>
      <c r="M1336" s="35"/>
      <c r="N1336" s="35"/>
      <c r="O1336" s="35"/>
      <c r="P1336" s="35"/>
      <c r="Q1336" s="35"/>
      <c r="R1336" s="35"/>
      <c r="S1336" s="35"/>
      <c r="T1336" s="35"/>
      <c r="U1336" s="35"/>
      <c r="V1336" s="35"/>
      <c r="W1336" s="35"/>
      <c r="X1336" s="35"/>
      <c r="Y1336" s="35"/>
      <c r="Z1336" s="35"/>
      <c r="AA1336" s="35"/>
      <c r="AB1336" s="35"/>
      <c r="AC1336" s="35"/>
      <c r="AD1336" s="35"/>
      <c r="AE1336" s="35"/>
      <c r="AF1336" s="35"/>
      <c r="AG1336" s="35"/>
      <c r="AH1336" s="35"/>
      <c r="AI1336" s="35"/>
      <c r="AJ1336" s="35"/>
      <c r="AK1336" s="35"/>
      <c r="AL1336" s="35"/>
      <c r="AM1336" s="35"/>
      <c r="AN1336" s="35"/>
      <c r="AO1336" s="35"/>
      <c r="AP1336" s="35"/>
      <c r="AQ1336" s="35"/>
      <c r="AR1336" s="35"/>
      <c r="AS1336" s="35"/>
      <c r="AT1336" s="35"/>
      <c r="AU1336" s="35"/>
      <c r="AV1336" s="35"/>
      <c r="AW1336" s="35"/>
      <c r="AX1336" s="35"/>
      <c r="AY1336" s="35"/>
      <c r="AZ1336" s="35"/>
      <c r="BA1336" s="35"/>
      <c r="BB1336" s="35"/>
      <c r="BC1336" s="35"/>
      <c r="BD1336" s="35"/>
      <c r="BE1336" s="35"/>
      <c r="BF1336" s="35"/>
      <c r="BG1336" s="35"/>
    </row>
    <row r="1337" ht="15.75" customHeight="1">
      <c r="A1337" s="35"/>
      <c r="B1337" s="35"/>
      <c r="C1337" s="35"/>
      <c r="D1337" s="35"/>
      <c r="E1337" s="35"/>
      <c r="F1337" s="35"/>
      <c r="G1337" s="35"/>
      <c r="H1337" s="35"/>
      <c r="I1337" s="35"/>
      <c r="J1337" s="35"/>
      <c r="K1337" s="35"/>
      <c r="L1337" s="35"/>
      <c r="M1337" s="35"/>
      <c r="N1337" s="35"/>
      <c r="O1337" s="35"/>
      <c r="P1337" s="35"/>
      <c r="Q1337" s="35"/>
      <c r="R1337" s="35"/>
      <c r="S1337" s="35"/>
      <c r="T1337" s="35"/>
      <c r="U1337" s="35"/>
      <c r="V1337" s="35"/>
      <c r="W1337" s="35"/>
      <c r="X1337" s="35"/>
      <c r="Y1337" s="35"/>
      <c r="Z1337" s="35"/>
      <c r="AA1337" s="35"/>
      <c r="AB1337" s="35"/>
      <c r="AC1337" s="35"/>
      <c r="AD1337" s="35"/>
      <c r="AE1337" s="35"/>
      <c r="AF1337" s="35"/>
      <c r="AG1337" s="35"/>
      <c r="AH1337" s="35"/>
      <c r="AI1337" s="35"/>
      <c r="AJ1337" s="35"/>
      <c r="AK1337" s="35"/>
      <c r="AL1337" s="35"/>
      <c r="AM1337" s="35"/>
      <c r="AN1337" s="35"/>
      <c r="AO1337" s="35"/>
      <c r="AP1337" s="35"/>
      <c r="AQ1337" s="35"/>
      <c r="AR1337" s="35"/>
      <c r="AS1337" s="35"/>
      <c r="AT1337" s="35"/>
      <c r="AU1337" s="35"/>
      <c r="AV1337" s="35"/>
      <c r="AW1337" s="35"/>
      <c r="AX1337" s="35"/>
      <c r="AY1337" s="35"/>
      <c r="AZ1337" s="35"/>
      <c r="BA1337" s="35"/>
      <c r="BB1337" s="35"/>
      <c r="BC1337" s="35"/>
      <c r="BD1337" s="35"/>
      <c r="BE1337" s="35"/>
      <c r="BF1337" s="35"/>
      <c r="BG1337" s="35"/>
    </row>
    <row r="1338" ht="15.75" customHeight="1">
      <c r="A1338" s="35"/>
      <c r="B1338" s="35"/>
      <c r="C1338" s="35"/>
      <c r="D1338" s="35"/>
      <c r="E1338" s="35"/>
      <c r="F1338" s="35"/>
      <c r="G1338" s="35"/>
      <c r="H1338" s="35"/>
      <c r="I1338" s="35"/>
      <c r="J1338" s="35"/>
      <c r="K1338" s="35"/>
      <c r="L1338" s="35"/>
      <c r="M1338" s="35"/>
      <c r="N1338" s="35"/>
      <c r="O1338" s="35"/>
      <c r="P1338" s="35"/>
      <c r="Q1338" s="35"/>
      <c r="R1338" s="35"/>
      <c r="S1338" s="35"/>
      <c r="T1338" s="35"/>
      <c r="U1338" s="35"/>
      <c r="V1338" s="35"/>
      <c r="W1338" s="35"/>
      <c r="X1338" s="35"/>
      <c r="Y1338" s="35"/>
      <c r="Z1338" s="35"/>
      <c r="AA1338" s="35"/>
      <c r="AB1338" s="35"/>
      <c r="AC1338" s="35"/>
      <c r="AD1338" s="35"/>
      <c r="AE1338" s="35"/>
      <c r="AF1338" s="35"/>
      <c r="AG1338" s="35"/>
      <c r="AH1338" s="35"/>
      <c r="AI1338" s="35"/>
      <c r="AJ1338" s="35"/>
      <c r="AK1338" s="35"/>
      <c r="AL1338" s="35"/>
      <c r="AM1338" s="35"/>
      <c r="AN1338" s="35"/>
      <c r="AO1338" s="35"/>
      <c r="AP1338" s="35"/>
      <c r="AQ1338" s="35"/>
      <c r="AR1338" s="35"/>
      <c r="AS1338" s="35"/>
      <c r="AT1338" s="35"/>
      <c r="AU1338" s="35"/>
      <c r="AV1338" s="35"/>
      <c r="AW1338" s="35"/>
      <c r="AX1338" s="35"/>
      <c r="AY1338" s="35"/>
      <c r="AZ1338" s="35"/>
      <c r="BA1338" s="35"/>
      <c r="BB1338" s="35"/>
      <c r="BC1338" s="35"/>
      <c r="BD1338" s="35"/>
      <c r="BE1338" s="35"/>
      <c r="BF1338" s="35"/>
      <c r="BG1338" s="35"/>
    </row>
    <row r="1339" ht="15.75" customHeight="1">
      <c r="A1339" s="35"/>
      <c r="B1339" s="35"/>
      <c r="C1339" s="35"/>
      <c r="D1339" s="35"/>
      <c r="E1339" s="35"/>
      <c r="F1339" s="35"/>
      <c r="G1339" s="35"/>
      <c r="H1339" s="35"/>
      <c r="I1339" s="35"/>
      <c r="J1339" s="35"/>
      <c r="K1339" s="35"/>
      <c r="L1339" s="35"/>
      <c r="M1339" s="35"/>
      <c r="N1339" s="35"/>
      <c r="O1339" s="35"/>
      <c r="P1339" s="35"/>
      <c r="Q1339" s="35"/>
      <c r="R1339" s="35"/>
      <c r="S1339" s="35"/>
      <c r="T1339" s="35"/>
      <c r="U1339" s="35"/>
      <c r="V1339" s="35"/>
      <c r="W1339" s="35"/>
      <c r="X1339" s="35"/>
      <c r="Y1339" s="35"/>
      <c r="Z1339" s="35"/>
      <c r="AA1339" s="35"/>
      <c r="AB1339" s="35"/>
      <c r="AC1339" s="35"/>
      <c r="AD1339" s="35"/>
      <c r="AE1339" s="35"/>
      <c r="AF1339" s="35"/>
      <c r="AG1339" s="35"/>
      <c r="AH1339" s="35"/>
      <c r="AI1339" s="35"/>
      <c r="AJ1339" s="35"/>
      <c r="AK1339" s="35"/>
      <c r="AL1339" s="35"/>
      <c r="AM1339" s="35"/>
      <c r="AN1339" s="35"/>
      <c r="AO1339" s="35"/>
      <c r="AP1339" s="35"/>
      <c r="AQ1339" s="35"/>
      <c r="AR1339" s="35"/>
      <c r="AS1339" s="35"/>
      <c r="AT1339" s="35"/>
      <c r="AU1339" s="35"/>
      <c r="AV1339" s="35"/>
      <c r="AW1339" s="35"/>
      <c r="AX1339" s="35"/>
      <c r="AY1339" s="35"/>
      <c r="AZ1339" s="35"/>
      <c r="BA1339" s="35"/>
      <c r="BB1339" s="35"/>
      <c r="BC1339" s="35"/>
      <c r="BD1339" s="35"/>
      <c r="BE1339" s="35"/>
      <c r="BF1339" s="35"/>
      <c r="BG1339" s="35"/>
    </row>
    <row r="1340" ht="15.75" customHeight="1">
      <c r="A1340" s="35"/>
      <c r="B1340" s="35"/>
      <c r="C1340" s="35"/>
      <c r="D1340" s="35"/>
      <c r="E1340" s="35"/>
      <c r="F1340" s="35"/>
      <c r="G1340" s="35"/>
      <c r="H1340" s="35"/>
      <c r="I1340" s="35"/>
      <c r="J1340" s="35"/>
      <c r="K1340" s="35"/>
      <c r="L1340" s="35"/>
      <c r="M1340" s="35"/>
      <c r="N1340" s="35"/>
      <c r="O1340" s="35"/>
      <c r="P1340" s="35"/>
      <c r="Q1340" s="35"/>
      <c r="R1340" s="35"/>
      <c r="S1340" s="35"/>
      <c r="T1340" s="35"/>
      <c r="U1340" s="35"/>
      <c r="V1340" s="35"/>
      <c r="W1340" s="35"/>
      <c r="X1340" s="35"/>
      <c r="Y1340" s="35"/>
      <c r="Z1340" s="35"/>
      <c r="AA1340" s="35"/>
      <c r="AB1340" s="35"/>
      <c r="AC1340" s="35"/>
      <c r="AD1340" s="35"/>
      <c r="AE1340" s="35"/>
      <c r="AF1340" s="35"/>
      <c r="AG1340" s="35"/>
      <c r="AH1340" s="35"/>
      <c r="AI1340" s="35"/>
      <c r="AJ1340" s="35"/>
      <c r="AK1340" s="35"/>
      <c r="AL1340" s="35"/>
      <c r="AM1340" s="35"/>
      <c r="AN1340" s="35"/>
      <c r="AO1340" s="35"/>
      <c r="AP1340" s="35"/>
      <c r="AQ1340" s="35"/>
      <c r="AR1340" s="35"/>
      <c r="AS1340" s="35"/>
      <c r="AT1340" s="35"/>
      <c r="AU1340" s="35"/>
      <c r="AV1340" s="35"/>
      <c r="AW1340" s="35"/>
      <c r="AX1340" s="35"/>
      <c r="AY1340" s="35"/>
      <c r="AZ1340" s="35"/>
      <c r="BA1340" s="35"/>
      <c r="BB1340" s="35"/>
      <c r="BC1340" s="35"/>
      <c r="BD1340" s="35"/>
      <c r="BE1340" s="35"/>
      <c r="BF1340" s="35"/>
      <c r="BG1340" s="35"/>
    </row>
    <row r="1341" ht="15.75" customHeight="1">
      <c r="A1341" s="35"/>
      <c r="B1341" s="35"/>
      <c r="C1341" s="35"/>
      <c r="D1341" s="35"/>
      <c r="E1341" s="35"/>
      <c r="F1341" s="35"/>
      <c r="G1341" s="35"/>
      <c r="H1341" s="35"/>
      <c r="I1341" s="35"/>
      <c r="J1341" s="35"/>
      <c r="K1341" s="35"/>
      <c r="L1341" s="35"/>
      <c r="M1341" s="35"/>
      <c r="N1341" s="35"/>
      <c r="O1341" s="35"/>
      <c r="P1341" s="35"/>
      <c r="Q1341" s="35"/>
      <c r="R1341" s="35"/>
      <c r="S1341" s="35"/>
      <c r="T1341" s="35"/>
      <c r="U1341" s="35"/>
      <c r="V1341" s="35"/>
      <c r="W1341" s="35"/>
      <c r="X1341" s="35"/>
      <c r="Y1341" s="35"/>
      <c r="Z1341" s="35"/>
      <c r="AA1341" s="35"/>
      <c r="AB1341" s="35"/>
      <c r="AC1341" s="35"/>
      <c r="AD1341" s="35"/>
      <c r="AE1341" s="35"/>
      <c r="AF1341" s="35"/>
      <c r="AG1341" s="35"/>
      <c r="AH1341" s="35"/>
      <c r="AI1341" s="35"/>
      <c r="AJ1341" s="35"/>
      <c r="AK1341" s="35"/>
      <c r="AL1341" s="35"/>
      <c r="AM1341" s="35"/>
      <c r="AN1341" s="35"/>
      <c r="AO1341" s="35"/>
      <c r="AP1341" s="35"/>
      <c r="AQ1341" s="35"/>
      <c r="AR1341" s="35"/>
      <c r="AS1341" s="35"/>
      <c r="AT1341" s="35"/>
      <c r="AU1341" s="35"/>
      <c r="AV1341" s="35"/>
      <c r="AW1341" s="35"/>
      <c r="AX1341" s="35"/>
      <c r="AY1341" s="35"/>
      <c r="AZ1341" s="35"/>
      <c r="BA1341" s="35"/>
      <c r="BB1341" s="35"/>
      <c r="BC1341" s="35"/>
      <c r="BD1341" s="35"/>
      <c r="BE1341" s="35"/>
      <c r="BF1341" s="35"/>
      <c r="BG1341" s="35"/>
    </row>
    <row r="1342" ht="15.75" customHeight="1">
      <c r="A1342" s="35"/>
      <c r="B1342" s="35"/>
      <c r="C1342" s="35"/>
      <c r="D1342" s="35"/>
      <c r="E1342" s="35"/>
      <c r="F1342" s="35"/>
      <c r="G1342" s="35"/>
      <c r="H1342" s="35"/>
      <c r="I1342" s="35"/>
      <c r="J1342" s="35"/>
      <c r="K1342" s="35"/>
      <c r="L1342" s="35"/>
      <c r="M1342" s="35"/>
      <c r="N1342" s="35"/>
      <c r="O1342" s="35"/>
      <c r="P1342" s="35"/>
      <c r="Q1342" s="35"/>
      <c r="R1342" s="35"/>
      <c r="S1342" s="35"/>
      <c r="T1342" s="35"/>
      <c r="U1342" s="35"/>
      <c r="V1342" s="35"/>
      <c r="W1342" s="35"/>
      <c r="X1342" s="35"/>
      <c r="Y1342" s="35"/>
      <c r="Z1342" s="35"/>
      <c r="AA1342" s="35"/>
      <c r="AB1342" s="35"/>
      <c r="AC1342" s="35"/>
      <c r="AD1342" s="35"/>
      <c r="AE1342" s="35"/>
      <c r="AF1342" s="35"/>
      <c r="AG1342" s="35"/>
      <c r="AH1342" s="35"/>
      <c r="AI1342" s="35"/>
      <c r="AJ1342" s="35"/>
      <c r="AK1342" s="35"/>
      <c r="AL1342" s="35"/>
      <c r="AM1342" s="35"/>
      <c r="AN1342" s="35"/>
      <c r="AO1342" s="35"/>
      <c r="AP1342" s="35"/>
      <c r="AQ1342" s="35"/>
      <c r="AR1342" s="35"/>
      <c r="AS1342" s="35"/>
      <c r="AT1342" s="35"/>
      <c r="AU1342" s="35"/>
      <c r="AV1342" s="35"/>
      <c r="AW1342" s="35"/>
      <c r="AX1342" s="35"/>
      <c r="AY1342" s="35"/>
      <c r="AZ1342" s="35"/>
      <c r="BA1342" s="35"/>
      <c r="BB1342" s="35"/>
      <c r="BC1342" s="35"/>
      <c r="BD1342" s="35"/>
      <c r="BE1342" s="35"/>
      <c r="BF1342" s="35"/>
      <c r="BG1342" s="35"/>
    </row>
    <row r="1343" ht="15.75" customHeight="1">
      <c r="A1343" s="35"/>
      <c r="B1343" s="35"/>
      <c r="C1343" s="35"/>
      <c r="D1343" s="35"/>
      <c r="E1343" s="35"/>
      <c r="F1343" s="35"/>
      <c r="G1343" s="35"/>
      <c r="H1343" s="35"/>
      <c r="I1343" s="35"/>
      <c r="J1343" s="35"/>
      <c r="K1343" s="35"/>
      <c r="L1343" s="35"/>
      <c r="M1343" s="35"/>
      <c r="N1343" s="35"/>
      <c r="O1343" s="35"/>
      <c r="P1343" s="35"/>
      <c r="Q1343" s="35"/>
      <c r="R1343" s="35"/>
      <c r="S1343" s="35"/>
      <c r="T1343" s="35"/>
      <c r="U1343" s="35"/>
      <c r="V1343" s="35"/>
      <c r="W1343" s="35"/>
      <c r="X1343" s="35"/>
      <c r="Y1343" s="35"/>
      <c r="Z1343" s="35"/>
      <c r="AA1343" s="35"/>
      <c r="AB1343" s="35"/>
      <c r="AC1343" s="35"/>
      <c r="AD1343" s="35"/>
      <c r="AE1343" s="35"/>
      <c r="AF1343" s="35"/>
      <c r="AG1343" s="35"/>
      <c r="AH1343" s="35"/>
      <c r="AI1343" s="35"/>
      <c r="AJ1343" s="35"/>
      <c r="AK1343" s="35"/>
      <c r="AL1343" s="35"/>
      <c r="AM1343" s="35"/>
      <c r="AN1343" s="35"/>
      <c r="AO1343" s="35"/>
      <c r="AP1343" s="35"/>
      <c r="AQ1343" s="35"/>
      <c r="AR1343" s="35"/>
      <c r="AS1343" s="35"/>
      <c r="AT1343" s="35"/>
      <c r="AU1343" s="35"/>
      <c r="AV1343" s="35"/>
      <c r="AW1343" s="35"/>
      <c r="AX1343" s="35"/>
      <c r="AY1343" s="35"/>
      <c r="AZ1343" s="35"/>
      <c r="BA1343" s="35"/>
      <c r="BB1343" s="35"/>
      <c r="BC1343" s="35"/>
      <c r="BD1343" s="35"/>
      <c r="BE1343" s="35"/>
      <c r="BF1343" s="35"/>
      <c r="BG1343" s="35"/>
    </row>
    <row r="1344" ht="15.75" customHeight="1">
      <c r="A1344" s="35"/>
      <c r="B1344" s="35"/>
      <c r="C1344" s="35"/>
      <c r="D1344" s="35"/>
      <c r="E1344" s="35"/>
      <c r="F1344" s="35"/>
      <c r="G1344" s="35"/>
      <c r="H1344" s="35"/>
      <c r="I1344" s="35"/>
      <c r="J1344" s="35"/>
      <c r="K1344" s="35"/>
      <c r="L1344" s="35"/>
      <c r="M1344" s="35"/>
      <c r="N1344" s="35"/>
      <c r="O1344" s="35"/>
      <c r="P1344" s="35"/>
      <c r="Q1344" s="35"/>
      <c r="R1344" s="35"/>
      <c r="S1344" s="35"/>
      <c r="T1344" s="35"/>
      <c r="U1344" s="35"/>
      <c r="V1344" s="35"/>
      <c r="W1344" s="35"/>
      <c r="X1344" s="35"/>
      <c r="Y1344" s="35"/>
      <c r="Z1344" s="35"/>
      <c r="AA1344" s="35"/>
      <c r="AB1344" s="35"/>
      <c r="AC1344" s="35"/>
      <c r="AD1344" s="35"/>
      <c r="AE1344" s="35"/>
      <c r="AF1344" s="35"/>
      <c r="AG1344" s="35"/>
      <c r="AH1344" s="35"/>
      <c r="AI1344" s="35"/>
      <c r="AJ1344" s="35"/>
      <c r="AK1344" s="35"/>
      <c r="AL1344" s="35"/>
      <c r="AM1344" s="35"/>
      <c r="AN1344" s="35"/>
      <c r="AO1344" s="35"/>
      <c r="AP1344" s="35"/>
      <c r="AQ1344" s="35"/>
      <c r="AR1344" s="35"/>
      <c r="AS1344" s="35"/>
      <c r="AT1344" s="35"/>
      <c r="AU1344" s="35"/>
      <c r="AV1344" s="35"/>
      <c r="AW1344" s="35"/>
      <c r="AX1344" s="35"/>
      <c r="AY1344" s="35"/>
      <c r="AZ1344" s="35"/>
      <c r="BA1344" s="35"/>
      <c r="BB1344" s="35"/>
      <c r="BC1344" s="35"/>
      <c r="BD1344" s="35"/>
      <c r="BE1344" s="35"/>
      <c r="BF1344" s="35"/>
      <c r="BG1344" s="35"/>
    </row>
    <row r="1345" ht="15.75" customHeight="1">
      <c r="A1345" s="35"/>
      <c r="B1345" s="35"/>
      <c r="C1345" s="35"/>
      <c r="D1345" s="35"/>
      <c r="E1345" s="35"/>
      <c r="F1345" s="35"/>
      <c r="G1345" s="35"/>
      <c r="H1345" s="35"/>
      <c r="I1345" s="35"/>
      <c r="J1345" s="35"/>
      <c r="K1345" s="35"/>
      <c r="L1345" s="35"/>
      <c r="M1345" s="35"/>
      <c r="N1345" s="35"/>
      <c r="O1345" s="35"/>
      <c r="P1345" s="35"/>
      <c r="Q1345" s="35"/>
      <c r="R1345" s="35"/>
      <c r="S1345" s="35"/>
      <c r="T1345" s="35"/>
      <c r="U1345" s="35"/>
      <c r="V1345" s="35"/>
      <c r="W1345" s="35"/>
      <c r="X1345" s="35"/>
      <c r="Y1345" s="35"/>
      <c r="Z1345" s="35"/>
      <c r="AA1345" s="35"/>
      <c r="AB1345" s="35"/>
      <c r="AC1345" s="35"/>
      <c r="AD1345" s="35"/>
      <c r="AE1345" s="35"/>
      <c r="AF1345" s="35"/>
      <c r="AG1345" s="35"/>
      <c r="AH1345" s="35"/>
      <c r="AI1345" s="35"/>
      <c r="AJ1345" s="35"/>
      <c r="AK1345" s="35"/>
      <c r="AL1345" s="35"/>
      <c r="AM1345" s="35"/>
      <c r="AN1345" s="35"/>
      <c r="AO1345" s="35"/>
      <c r="AP1345" s="35"/>
      <c r="AQ1345" s="35"/>
      <c r="AR1345" s="35"/>
      <c r="AS1345" s="35"/>
      <c r="AT1345" s="35"/>
      <c r="AU1345" s="35"/>
      <c r="AV1345" s="35"/>
      <c r="AW1345" s="35"/>
      <c r="AX1345" s="35"/>
      <c r="AY1345" s="35"/>
      <c r="AZ1345" s="35"/>
      <c r="BA1345" s="35"/>
      <c r="BB1345" s="35"/>
      <c r="BC1345" s="35"/>
      <c r="BD1345" s="35"/>
      <c r="BE1345" s="35"/>
      <c r="BF1345" s="35"/>
      <c r="BG1345" s="35"/>
    </row>
    <row r="1346" ht="15.75" customHeight="1">
      <c r="A1346" s="35"/>
      <c r="B1346" s="35"/>
      <c r="C1346" s="35"/>
      <c r="D1346" s="35"/>
      <c r="E1346" s="35"/>
      <c r="F1346" s="35"/>
      <c r="G1346" s="35"/>
      <c r="H1346" s="35"/>
      <c r="I1346" s="35"/>
      <c r="J1346" s="35"/>
      <c r="K1346" s="35"/>
      <c r="L1346" s="35"/>
      <c r="M1346" s="35"/>
      <c r="N1346" s="35"/>
      <c r="O1346" s="35"/>
      <c r="P1346" s="35"/>
      <c r="Q1346" s="35"/>
      <c r="R1346" s="35"/>
      <c r="S1346" s="35"/>
      <c r="T1346" s="35"/>
      <c r="U1346" s="35"/>
      <c r="V1346" s="35"/>
      <c r="W1346" s="35"/>
      <c r="X1346" s="35"/>
      <c r="Y1346" s="35"/>
      <c r="Z1346" s="35"/>
      <c r="AA1346" s="35"/>
      <c r="AB1346" s="35"/>
      <c r="AC1346" s="35"/>
      <c r="AD1346" s="35"/>
      <c r="AE1346" s="35"/>
      <c r="AF1346" s="35"/>
      <c r="AG1346" s="35"/>
      <c r="AH1346" s="35"/>
      <c r="AI1346" s="35"/>
      <c r="AJ1346" s="35"/>
      <c r="AK1346" s="35"/>
      <c r="AL1346" s="35"/>
      <c r="AM1346" s="35"/>
      <c r="AN1346" s="35"/>
      <c r="AO1346" s="35"/>
      <c r="AP1346" s="35"/>
      <c r="AQ1346" s="35"/>
      <c r="AR1346" s="35"/>
      <c r="AS1346" s="35"/>
      <c r="AT1346" s="35"/>
      <c r="AU1346" s="35"/>
      <c r="AV1346" s="35"/>
      <c r="AW1346" s="35"/>
      <c r="AX1346" s="35"/>
      <c r="AY1346" s="35"/>
      <c r="AZ1346" s="35"/>
      <c r="BA1346" s="35"/>
      <c r="BB1346" s="35"/>
      <c r="BC1346" s="35"/>
      <c r="BD1346" s="35"/>
      <c r="BE1346" s="35"/>
      <c r="BF1346" s="35"/>
      <c r="BG1346" s="35"/>
    </row>
    <row r="1347" ht="15.75" customHeight="1">
      <c r="A1347" s="35"/>
      <c r="B1347" s="35"/>
      <c r="C1347" s="35"/>
      <c r="D1347" s="35"/>
      <c r="E1347" s="35"/>
      <c r="F1347" s="35"/>
      <c r="G1347" s="35"/>
      <c r="H1347" s="35"/>
      <c r="I1347" s="35"/>
      <c r="J1347" s="35"/>
      <c r="K1347" s="35"/>
      <c r="L1347" s="35"/>
      <c r="M1347" s="35"/>
      <c r="N1347" s="35"/>
      <c r="O1347" s="35"/>
      <c r="P1347" s="35"/>
      <c r="Q1347" s="35"/>
      <c r="R1347" s="35"/>
      <c r="S1347" s="35"/>
      <c r="T1347" s="35"/>
      <c r="U1347" s="35"/>
      <c r="V1347" s="35"/>
      <c r="W1347" s="35"/>
      <c r="X1347" s="35"/>
      <c r="Y1347" s="35"/>
      <c r="Z1347" s="35"/>
      <c r="AA1347" s="35"/>
      <c r="AB1347" s="35"/>
      <c r="AC1347" s="35"/>
      <c r="AD1347" s="35"/>
      <c r="AE1347" s="35"/>
      <c r="AF1347" s="35"/>
      <c r="AG1347" s="35"/>
      <c r="AH1347" s="35"/>
      <c r="AI1347" s="35"/>
      <c r="AJ1347" s="35"/>
      <c r="AK1347" s="35"/>
      <c r="AL1347" s="35"/>
      <c r="AM1347" s="35"/>
      <c r="AN1347" s="35"/>
      <c r="AO1347" s="35"/>
      <c r="AP1347" s="35"/>
      <c r="AQ1347" s="35"/>
      <c r="AR1347" s="35"/>
      <c r="AS1347" s="35"/>
      <c r="AT1347" s="35"/>
      <c r="AU1347" s="35"/>
      <c r="AV1347" s="35"/>
      <c r="AW1347" s="35"/>
      <c r="AX1347" s="35"/>
      <c r="AY1347" s="35"/>
      <c r="AZ1347" s="35"/>
      <c r="BA1347" s="35"/>
      <c r="BB1347" s="35"/>
      <c r="BC1347" s="35"/>
      <c r="BD1347" s="35"/>
      <c r="BE1347" s="35"/>
      <c r="BF1347" s="35"/>
      <c r="BG1347" s="35"/>
    </row>
    <row r="1348" ht="15.75" customHeight="1">
      <c r="A1348" s="35"/>
      <c r="B1348" s="35"/>
      <c r="C1348" s="35"/>
      <c r="D1348" s="35"/>
      <c r="E1348" s="35"/>
      <c r="F1348" s="35"/>
      <c r="G1348" s="35"/>
      <c r="H1348" s="35"/>
      <c r="I1348" s="35"/>
      <c r="J1348" s="35"/>
      <c r="K1348" s="35"/>
      <c r="L1348" s="35"/>
      <c r="M1348" s="35"/>
      <c r="N1348" s="35"/>
      <c r="O1348" s="35"/>
      <c r="P1348" s="35"/>
      <c r="Q1348" s="35"/>
      <c r="R1348" s="35"/>
      <c r="S1348" s="35"/>
      <c r="T1348" s="35"/>
      <c r="U1348" s="35"/>
      <c r="V1348" s="35"/>
      <c r="W1348" s="35"/>
      <c r="X1348" s="35"/>
      <c r="Y1348" s="35"/>
      <c r="Z1348" s="35"/>
      <c r="AA1348" s="35"/>
      <c r="AB1348" s="35"/>
      <c r="AC1348" s="35"/>
      <c r="AD1348" s="35"/>
      <c r="AE1348" s="35"/>
      <c r="AF1348" s="35"/>
      <c r="AG1348" s="35"/>
      <c r="AH1348" s="35"/>
      <c r="AI1348" s="35"/>
      <c r="AJ1348" s="35"/>
      <c r="AK1348" s="35"/>
      <c r="AL1348" s="35"/>
      <c r="AM1348" s="35"/>
      <c r="AN1348" s="35"/>
      <c r="AO1348" s="35"/>
      <c r="AP1348" s="35"/>
      <c r="AQ1348" s="35"/>
      <c r="AR1348" s="35"/>
      <c r="AS1348" s="35"/>
      <c r="AT1348" s="35"/>
      <c r="AU1348" s="35"/>
      <c r="AV1348" s="35"/>
      <c r="AW1348" s="35"/>
      <c r="AX1348" s="35"/>
      <c r="AY1348" s="35"/>
      <c r="AZ1348" s="35"/>
      <c r="BA1348" s="35"/>
      <c r="BB1348" s="35"/>
      <c r="BC1348" s="35"/>
      <c r="BD1348" s="35"/>
      <c r="BE1348" s="35"/>
      <c r="BF1348" s="35"/>
      <c r="BG1348" s="35"/>
    </row>
    <row r="1349" ht="15.75" customHeight="1">
      <c r="A1349" s="35"/>
      <c r="B1349" s="35"/>
      <c r="C1349" s="35"/>
      <c r="D1349" s="35"/>
      <c r="E1349" s="35"/>
      <c r="F1349" s="35"/>
      <c r="G1349" s="35"/>
      <c r="H1349" s="35"/>
      <c r="I1349" s="35"/>
      <c r="J1349" s="35"/>
      <c r="K1349" s="35"/>
      <c r="L1349" s="35"/>
      <c r="M1349" s="35"/>
      <c r="N1349" s="35"/>
      <c r="O1349" s="35"/>
      <c r="P1349" s="35"/>
      <c r="Q1349" s="35"/>
      <c r="R1349" s="35"/>
      <c r="S1349" s="35"/>
      <c r="T1349" s="35"/>
      <c r="U1349" s="35"/>
      <c r="V1349" s="35"/>
      <c r="W1349" s="35"/>
      <c r="X1349" s="35"/>
      <c r="Y1349" s="35"/>
      <c r="Z1349" s="35"/>
      <c r="AA1349" s="35"/>
      <c r="AB1349" s="35"/>
      <c r="AC1349" s="35"/>
      <c r="AD1349" s="35"/>
      <c r="AE1349" s="35"/>
      <c r="AF1349" s="35"/>
      <c r="AG1349" s="35"/>
      <c r="AH1349" s="35"/>
      <c r="AI1349" s="35"/>
      <c r="AJ1349" s="35"/>
      <c r="AK1349" s="35"/>
      <c r="AL1349" s="35"/>
      <c r="AM1349" s="35"/>
      <c r="AN1349" s="35"/>
      <c r="AO1349" s="35"/>
      <c r="AP1349" s="35"/>
      <c r="AQ1349" s="35"/>
      <c r="AR1349" s="35"/>
      <c r="AS1349" s="35"/>
      <c r="AT1349" s="35"/>
      <c r="AU1349" s="35"/>
      <c r="AV1349" s="35"/>
      <c r="AW1349" s="35"/>
      <c r="AX1349" s="35"/>
      <c r="AY1349" s="35"/>
      <c r="AZ1349" s="35"/>
      <c r="BA1349" s="35"/>
      <c r="BB1349" s="35"/>
      <c r="BC1349" s="35"/>
      <c r="BD1349" s="35"/>
      <c r="BE1349" s="35"/>
      <c r="BF1349" s="35"/>
      <c r="BG1349" s="35"/>
    </row>
    <row r="1350" ht="15.75" customHeight="1">
      <c r="A1350" s="35"/>
      <c r="B1350" s="35"/>
      <c r="C1350" s="35"/>
      <c r="D1350" s="35"/>
      <c r="E1350" s="35"/>
      <c r="F1350" s="35"/>
      <c r="G1350" s="35"/>
      <c r="H1350" s="35"/>
      <c r="I1350" s="35"/>
      <c r="J1350" s="35"/>
      <c r="K1350" s="35"/>
      <c r="L1350" s="35"/>
      <c r="M1350" s="35"/>
      <c r="N1350" s="35"/>
      <c r="O1350" s="35"/>
      <c r="P1350" s="35"/>
      <c r="Q1350" s="35"/>
      <c r="R1350" s="35"/>
      <c r="S1350" s="35"/>
      <c r="T1350" s="35"/>
      <c r="U1350" s="35"/>
      <c r="V1350" s="35"/>
      <c r="W1350" s="35"/>
      <c r="X1350" s="35"/>
      <c r="Y1350" s="35"/>
      <c r="Z1350" s="35"/>
      <c r="AA1350" s="35"/>
      <c r="AB1350" s="35"/>
      <c r="AC1350" s="35"/>
      <c r="AD1350" s="35"/>
      <c r="AE1350" s="35"/>
      <c r="AF1350" s="35"/>
      <c r="AG1350" s="35"/>
      <c r="AH1350" s="35"/>
      <c r="AI1350" s="35"/>
      <c r="AJ1350" s="35"/>
      <c r="AK1350" s="35"/>
      <c r="AL1350" s="35"/>
      <c r="AM1350" s="35"/>
      <c r="AN1350" s="35"/>
      <c r="AO1350" s="35"/>
      <c r="AP1350" s="35"/>
      <c r="AQ1350" s="35"/>
      <c r="AR1350" s="35"/>
      <c r="AS1350" s="35"/>
      <c r="AT1350" s="35"/>
      <c r="AU1350" s="35"/>
      <c r="AV1350" s="35"/>
      <c r="AW1350" s="35"/>
      <c r="AX1350" s="35"/>
      <c r="AY1350" s="35"/>
      <c r="AZ1350" s="35"/>
      <c r="BA1350" s="35"/>
      <c r="BB1350" s="35"/>
      <c r="BC1350" s="35"/>
      <c r="BD1350" s="35"/>
      <c r="BE1350" s="35"/>
      <c r="BF1350" s="35"/>
      <c r="BG1350" s="35"/>
    </row>
    <row r="1351" ht="15.75" customHeight="1">
      <c r="A1351" s="35"/>
      <c r="B1351" s="35"/>
      <c r="C1351" s="35"/>
      <c r="D1351" s="35"/>
      <c r="E1351" s="35"/>
      <c r="F1351" s="35"/>
      <c r="G1351" s="35"/>
      <c r="H1351" s="35"/>
      <c r="I1351" s="35"/>
      <c r="J1351" s="35"/>
      <c r="K1351" s="35"/>
      <c r="L1351" s="35"/>
      <c r="M1351" s="35"/>
      <c r="N1351" s="35"/>
      <c r="O1351" s="35"/>
      <c r="P1351" s="35"/>
      <c r="Q1351" s="35"/>
      <c r="R1351" s="35"/>
      <c r="S1351" s="35"/>
      <c r="T1351" s="35"/>
      <c r="U1351" s="35"/>
      <c r="V1351" s="35"/>
      <c r="W1351" s="35"/>
      <c r="X1351" s="35"/>
      <c r="Y1351" s="35"/>
      <c r="Z1351" s="35"/>
      <c r="AA1351" s="35"/>
      <c r="AB1351" s="35"/>
      <c r="AC1351" s="35"/>
      <c r="AD1351" s="35"/>
      <c r="AE1351" s="35"/>
      <c r="AF1351" s="35"/>
      <c r="AG1351" s="35"/>
      <c r="AH1351" s="35"/>
      <c r="AI1351" s="35"/>
      <c r="AJ1351" s="35"/>
      <c r="AK1351" s="35"/>
      <c r="AL1351" s="35"/>
      <c r="AM1351" s="35"/>
      <c r="AN1351" s="35"/>
      <c r="AO1351" s="35"/>
      <c r="AP1351" s="35"/>
      <c r="AQ1351" s="35"/>
      <c r="AR1351" s="35"/>
      <c r="AS1351" s="35"/>
      <c r="AT1351" s="35"/>
      <c r="AU1351" s="35"/>
      <c r="AV1351" s="35"/>
      <c r="AW1351" s="35"/>
      <c r="AX1351" s="35"/>
      <c r="AY1351" s="35"/>
      <c r="AZ1351" s="35"/>
      <c r="BA1351" s="35"/>
      <c r="BB1351" s="35"/>
      <c r="BC1351" s="35"/>
      <c r="BD1351" s="35"/>
      <c r="BE1351" s="35"/>
      <c r="BF1351" s="35"/>
      <c r="BG1351" s="35"/>
    </row>
    <row r="1352" ht="15.75" customHeight="1">
      <c r="A1352" s="35"/>
      <c r="B1352" s="35"/>
      <c r="C1352" s="35"/>
      <c r="D1352" s="35"/>
      <c r="E1352" s="35"/>
      <c r="F1352" s="35"/>
      <c r="G1352" s="35"/>
      <c r="H1352" s="35"/>
      <c r="I1352" s="35"/>
      <c r="J1352" s="35"/>
      <c r="K1352" s="35"/>
      <c r="L1352" s="35"/>
      <c r="M1352" s="35"/>
      <c r="N1352" s="35"/>
      <c r="O1352" s="35"/>
      <c r="P1352" s="35"/>
      <c r="Q1352" s="35"/>
      <c r="R1352" s="35"/>
      <c r="S1352" s="35"/>
      <c r="T1352" s="35"/>
      <c r="U1352" s="35"/>
      <c r="V1352" s="35"/>
      <c r="W1352" s="35"/>
      <c r="X1352" s="35"/>
      <c r="Y1352" s="35"/>
      <c r="Z1352" s="35"/>
      <c r="AA1352" s="35"/>
      <c r="AB1352" s="35"/>
      <c r="AC1352" s="35"/>
      <c r="AD1352" s="35"/>
      <c r="AE1352" s="35"/>
      <c r="AF1352" s="35"/>
      <c r="AG1352" s="35"/>
      <c r="AH1352" s="35"/>
      <c r="AI1352" s="35"/>
      <c r="AJ1352" s="35"/>
      <c r="AK1352" s="35"/>
      <c r="AL1352" s="35"/>
      <c r="AM1352" s="35"/>
      <c r="AN1352" s="35"/>
      <c r="AO1352" s="35"/>
      <c r="AP1352" s="35"/>
      <c r="AQ1352" s="35"/>
      <c r="AR1352" s="35"/>
      <c r="AS1352" s="35"/>
      <c r="AT1352" s="35"/>
      <c r="AU1352" s="35"/>
      <c r="AV1352" s="35"/>
      <c r="AW1352" s="35"/>
      <c r="AX1352" s="35"/>
      <c r="AY1352" s="35"/>
      <c r="AZ1352" s="35"/>
      <c r="BA1352" s="35"/>
      <c r="BB1352" s="35"/>
      <c r="BC1352" s="35"/>
      <c r="BD1352" s="35"/>
      <c r="BE1352" s="35"/>
      <c r="BF1352" s="35"/>
      <c r="BG1352" s="35"/>
    </row>
    <row r="1353" ht="15.75" customHeight="1">
      <c r="A1353" s="35"/>
      <c r="B1353" s="35"/>
      <c r="C1353" s="35"/>
      <c r="D1353" s="35"/>
      <c r="E1353" s="35"/>
      <c r="F1353" s="35"/>
      <c r="G1353" s="35"/>
      <c r="H1353" s="35"/>
      <c r="I1353" s="35"/>
      <c r="J1353" s="35"/>
      <c r="K1353" s="35"/>
      <c r="L1353" s="35"/>
      <c r="M1353" s="35"/>
      <c r="N1353" s="35"/>
      <c r="O1353" s="35"/>
      <c r="P1353" s="35"/>
      <c r="Q1353" s="35"/>
      <c r="R1353" s="35"/>
      <c r="S1353" s="35"/>
      <c r="T1353" s="35"/>
      <c r="U1353" s="35"/>
      <c r="V1353" s="35"/>
      <c r="W1353" s="35"/>
      <c r="X1353" s="35"/>
      <c r="Y1353" s="35"/>
      <c r="Z1353" s="35"/>
      <c r="AA1353" s="35"/>
      <c r="AB1353" s="35"/>
      <c r="AC1353" s="35"/>
      <c r="AD1353" s="35"/>
      <c r="AE1353" s="35"/>
      <c r="AF1353" s="35"/>
      <c r="AG1353" s="35"/>
      <c r="AH1353" s="35"/>
      <c r="AI1353" s="35"/>
      <c r="AJ1353" s="35"/>
      <c r="AK1353" s="35"/>
      <c r="AL1353" s="35"/>
      <c r="AM1353" s="35"/>
      <c r="AN1353" s="35"/>
      <c r="AO1353" s="35"/>
      <c r="AP1353" s="35"/>
      <c r="AQ1353" s="35"/>
      <c r="AR1353" s="35"/>
      <c r="AS1353" s="35"/>
      <c r="AT1353" s="35"/>
      <c r="AU1353" s="35"/>
      <c r="AV1353" s="35"/>
      <c r="AW1353" s="35"/>
      <c r="AX1353" s="35"/>
      <c r="AY1353" s="35"/>
      <c r="AZ1353" s="35"/>
      <c r="BA1353" s="35"/>
      <c r="BB1353" s="35"/>
      <c r="BC1353" s="35"/>
      <c r="BD1353" s="35"/>
      <c r="BE1353" s="35"/>
      <c r="BF1353" s="35"/>
      <c r="BG1353" s="35"/>
    </row>
    <row r="1354" ht="15.75" customHeight="1">
      <c r="A1354" s="35"/>
      <c r="B1354" s="35"/>
      <c r="C1354" s="35"/>
      <c r="D1354" s="35"/>
      <c r="E1354" s="35"/>
      <c r="F1354" s="35"/>
      <c r="G1354" s="35"/>
      <c r="H1354" s="35"/>
      <c r="I1354" s="35"/>
      <c r="J1354" s="35"/>
      <c r="K1354" s="35"/>
      <c r="L1354" s="35"/>
      <c r="M1354" s="35"/>
      <c r="N1354" s="35"/>
      <c r="O1354" s="35"/>
      <c r="P1354" s="35"/>
      <c r="Q1354" s="35"/>
      <c r="R1354" s="35"/>
      <c r="S1354" s="35"/>
      <c r="T1354" s="35"/>
      <c r="U1354" s="35"/>
      <c r="V1354" s="35"/>
      <c r="W1354" s="35"/>
      <c r="X1354" s="35"/>
      <c r="Y1354" s="35"/>
      <c r="Z1354" s="35"/>
      <c r="AA1354" s="35"/>
      <c r="AB1354" s="35"/>
      <c r="AC1354" s="35"/>
      <c r="AD1354" s="35"/>
      <c r="AE1354" s="35"/>
      <c r="AF1354" s="35"/>
      <c r="AG1354" s="35"/>
      <c r="AH1354" s="35"/>
      <c r="AI1354" s="35"/>
      <c r="AJ1354" s="35"/>
      <c r="AK1354" s="35"/>
      <c r="AL1354" s="35"/>
      <c r="AM1354" s="35"/>
      <c r="AN1354" s="35"/>
      <c r="AO1354" s="35"/>
      <c r="AP1354" s="35"/>
      <c r="AQ1354" s="35"/>
      <c r="AR1354" s="35"/>
      <c r="AS1354" s="35"/>
      <c r="AT1354" s="35"/>
      <c r="AU1354" s="35"/>
      <c r="AV1354" s="35"/>
      <c r="AW1354" s="35"/>
      <c r="AX1354" s="35"/>
      <c r="AY1354" s="35"/>
      <c r="AZ1354" s="35"/>
      <c r="BA1354" s="35"/>
      <c r="BB1354" s="35"/>
      <c r="BC1354" s="35"/>
      <c r="BD1354" s="35"/>
      <c r="BE1354" s="35"/>
      <c r="BF1354" s="35"/>
      <c r="BG1354" s="35"/>
    </row>
    <row r="1355" ht="15.75" customHeight="1">
      <c r="A1355" s="35"/>
      <c r="B1355" s="35"/>
      <c r="C1355" s="35"/>
      <c r="D1355" s="35"/>
      <c r="E1355" s="35"/>
      <c r="F1355" s="35"/>
      <c r="G1355" s="35"/>
      <c r="H1355" s="35"/>
      <c r="I1355" s="35"/>
      <c r="J1355" s="35"/>
      <c r="K1355" s="35"/>
      <c r="L1355" s="35"/>
      <c r="M1355" s="35"/>
      <c r="N1355" s="35"/>
      <c r="O1355" s="35"/>
      <c r="P1355" s="35"/>
      <c r="Q1355" s="35"/>
      <c r="R1355" s="35"/>
      <c r="S1355" s="35"/>
      <c r="T1355" s="35"/>
      <c r="U1355" s="35"/>
      <c r="V1355" s="35"/>
      <c r="W1355" s="35"/>
      <c r="X1355" s="35"/>
      <c r="Y1355" s="35"/>
      <c r="Z1355" s="35"/>
      <c r="AA1355" s="35"/>
      <c r="AB1355" s="35"/>
      <c r="AC1355" s="35"/>
      <c r="AD1355" s="35"/>
      <c r="AE1355" s="35"/>
      <c r="AF1355" s="35"/>
      <c r="AG1355" s="35"/>
      <c r="AH1355" s="35"/>
      <c r="AI1355" s="35"/>
      <c r="AJ1355" s="35"/>
      <c r="AK1355" s="35"/>
      <c r="AL1355" s="35"/>
      <c r="AM1355" s="35"/>
      <c r="AN1355" s="35"/>
      <c r="AO1355" s="35"/>
      <c r="AP1355" s="35"/>
      <c r="AQ1355" s="35"/>
      <c r="AR1355" s="35"/>
      <c r="AS1355" s="35"/>
      <c r="AT1355" s="35"/>
      <c r="AU1355" s="35"/>
      <c r="AV1355" s="35"/>
      <c r="AW1355" s="35"/>
      <c r="AX1355" s="35"/>
      <c r="AY1355" s="35"/>
      <c r="AZ1355" s="35"/>
      <c r="BA1355" s="35"/>
      <c r="BB1355" s="35"/>
      <c r="BC1355" s="35"/>
      <c r="BD1355" s="35"/>
      <c r="BE1355" s="35"/>
      <c r="BF1355" s="35"/>
      <c r="BG1355" s="35"/>
    </row>
    <row r="1356" ht="15.75" customHeight="1">
      <c r="A1356" s="35"/>
      <c r="B1356" s="35"/>
      <c r="C1356" s="35"/>
      <c r="D1356" s="35"/>
      <c r="E1356" s="35"/>
      <c r="F1356" s="35"/>
      <c r="G1356" s="35"/>
      <c r="H1356" s="35"/>
      <c r="I1356" s="35"/>
      <c r="J1356" s="35"/>
      <c r="K1356" s="35"/>
      <c r="L1356" s="35"/>
      <c r="M1356" s="35"/>
      <c r="N1356" s="35"/>
      <c r="O1356" s="35"/>
      <c r="P1356" s="35"/>
      <c r="Q1356" s="35"/>
      <c r="R1356" s="35"/>
      <c r="S1356" s="35"/>
      <c r="T1356" s="35"/>
      <c r="U1356" s="35"/>
      <c r="V1356" s="35"/>
      <c r="W1356" s="35"/>
      <c r="X1356" s="35"/>
      <c r="Y1356" s="35"/>
      <c r="Z1356" s="35"/>
      <c r="AA1356" s="35"/>
      <c r="AB1356" s="35"/>
      <c r="AC1356" s="35"/>
      <c r="AD1356" s="35"/>
      <c r="AE1356" s="35"/>
      <c r="AF1356" s="35"/>
      <c r="AG1356" s="35"/>
      <c r="AH1356" s="35"/>
      <c r="AI1356" s="35"/>
      <c r="AJ1356" s="35"/>
      <c r="AK1356" s="35"/>
      <c r="AL1356" s="35"/>
      <c r="AM1356" s="35"/>
      <c r="AN1356" s="35"/>
      <c r="AO1356" s="35"/>
      <c r="AP1356" s="35"/>
      <c r="AQ1356" s="35"/>
      <c r="AR1356" s="35"/>
      <c r="AS1356" s="35"/>
      <c r="AT1356" s="35"/>
      <c r="AU1356" s="35"/>
      <c r="AV1356" s="35"/>
      <c r="AW1356" s="35"/>
      <c r="AX1356" s="35"/>
      <c r="AY1356" s="35"/>
      <c r="AZ1356" s="35"/>
      <c r="BA1356" s="35"/>
      <c r="BB1356" s="35"/>
      <c r="BC1356" s="35"/>
      <c r="BD1356" s="35"/>
      <c r="BE1356" s="35"/>
      <c r="BF1356" s="35"/>
      <c r="BG1356" s="35"/>
    </row>
    <row r="1357" ht="15.75" customHeight="1">
      <c r="A1357" s="35"/>
      <c r="B1357" s="35"/>
      <c r="C1357" s="35"/>
      <c r="D1357" s="35"/>
      <c r="E1357" s="35"/>
      <c r="F1357" s="35"/>
      <c r="G1357" s="35"/>
      <c r="H1357" s="35"/>
      <c r="I1357" s="35"/>
      <c r="J1357" s="35"/>
      <c r="K1357" s="35"/>
      <c r="L1357" s="35"/>
      <c r="M1357" s="35"/>
      <c r="N1357" s="35"/>
      <c r="O1357" s="35"/>
      <c r="P1357" s="35"/>
      <c r="Q1357" s="35"/>
      <c r="R1357" s="35"/>
      <c r="S1357" s="35"/>
      <c r="T1357" s="35"/>
      <c r="U1357" s="35"/>
      <c r="V1357" s="35"/>
      <c r="W1357" s="35"/>
      <c r="X1357" s="35"/>
      <c r="Y1357" s="35"/>
      <c r="Z1357" s="35"/>
      <c r="AA1357" s="35"/>
      <c r="AB1357" s="35"/>
      <c r="AC1357" s="35"/>
      <c r="AD1357" s="35"/>
      <c r="AE1357" s="35"/>
      <c r="AF1357" s="35"/>
      <c r="AG1357" s="35"/>
      <c r="AH1357" s="35"/>
      <c r="AI1357" s="35"/>
      <c r="AJ1357" s="35"/>
      <c r="AK1357" s="35"/>
      <c r="AL1357" s="35"/>
      <c r="AM1357" s="35"/>
      <c r="AN1357" s="35"/>
      <c r="AO1357" s="35"/>
      <c r="AP1357" s="35"/>
      <c r="AQ1357" s="35"/>
      <c r="AR1357" s="35"/>
      <c r="AS1357" s="35"/>
      <c r="AT1357" s="35"/>
      <c r="AU1357" s="35"/>
      <c r="AV1357" s="35"/>
      <c r="AW1357" s="35"/>
      <c r="AX1357" s="35"/>
      <c r="AY1357" s="35"/>
      <c r="AZ1357" s="35"/>
      <c r="BA1357" s="35"/>
      <c r="BB1357" s="35"/>
      <c r="BC1357" s="35"/>
      <c r="BD1357" s="35"/>
      <c r="BE1357" s="35"/>
      <c r="BF1357" s="35"/>
      <c r="BG1357" s="35"/>
    </row>
    <row r="1358" ht="15.75" customHeight="1">
      <c r="A1358" s="35"/>
      <c r="B1358" s="35"/>
      <c r="C1358" s="35"/>
      <c r="D1358" s="35"/>
      <c r="E1358" s="35"/>
      <c r="F1358" s="35"/>
      <c r="G1358" s="35"/>
      <c r="H1358" s="35"/>
      <c r="I1358" s="35"/>
      <c r="J1358" s="35"/>
      <c r="K1358" s="35"/>
      <c r="L1358" s="35"/>
      <c r="M1358" s="35"/>
      <c r="N1358" s="35"/>
      <c r="O1358" s="35"/>
      <c r="P1358" s="35"/>
      <c r="Q1358" s="35"/>
      <c r="R1358" s="35"/>
      <c r="S1358" s="35"/>
      <c r="T1358" s="35"/>
      <c r="U1358" s="35"/>
      <c r="V1358" s="35"/>
      <c r="W1358" s="35"/>
      <c r="X1358" s="35"/>
      <c r="Y1358" s="35"/>
      <c r="Z1358" s="35"/>
      <c r="AA1358" s="35"/>
      <c r="AB1358" s="35"/>
      <c r="AC1358" s="35"/>
      <c r="AD1358" s="35"/>
      <c r="AE1358" s="35"/>
      <c r="AF1358" s="35"/>
      <c r="AG1358" s="35"/>
      <c r="AH1358" s="35"/>
      <c r="AI1358" s="35"/>
      <c r="AJ1358" s="35"/>
      <c r="AK1358" s="35"/>
      <c r="AL1358" s="35"/>
      <c r="AM1358" s="35"/>
      <c r="AN1358" s="35"/>
      <c r="AO1358" s="35"/>
      <c r="AP1358" s="35"/>
      <c r="AQ1358" s="35"/>
      <c r="AR1358" s="35"/>
      <c r="AS1358" s="35"/>
      <c r="AT1358" s="35"/>
      <c r="AU1358" s="35"/>
      <c r="AV1358" s="35"/>
      <c r="AW1358" s="35"/>
      <c r="AX1358" s="35"/>
      <c r="AY1358" s="35"/>
      <c r="AZ1358" s="35"/>
      <c r="BA1358" s="35"/>
      <c r="BB1358" s="35"/>
      <c r="BC1358" s="35"/>
      <c r="BD1358" s="35"/>
      <c r="BE1358" s="35"/>
      <c r="BF1358" s="35"/>
      <c r="BG1358" s="35"/>
    </row>
    <row r="1359" ht="15.75" customHeight="1">
      <c r="A1359" s="35"/>
      <c r="B1359" s="35"/>
      <c r="C1359" s="35"/>
      <c r="D1359" s="35"/>
      <c r="E1359" s="35"/>
      <c r="F1359" s="35"/>
      <c r="G1359" s="35"/>
      <c r="H1359" s="35"/>
      <c r="I1359" s="35"/>
      <c r="J1359" s="35"/>
      <c r="K1359" s="35"/>
      <c r="L1359" s="35"/>
      <c r="M1359" s="35"/>
      <c r="N1359" s="35"/>
      <c r="O1359" s="35"/>
      <c r="P1359" s="35"/>
      <c r="Q1359" s="35"/>
      <c r="R1359" s="35"/>
      <c r="S1359" s="35"/>
      <c r="T1359" s="35"/>
      <c r="U1359" s="35"/>
      <c r="V1359" s="35"/>
      <c r="W1359" s="35"/>
      <c r="X1359" s="35"/>
      <c r="Y1359" s="35"/>
      <c r="Z1359" s="35"/>
      <c r="AA1359" s="35"/>
      <c r="AB1359" s="35"/>
      <c r="AC1359" s="35"/>
      <c r="AD1359" s="35"/>
      <c r="AE1359" s="35"/>
      <c r="AF1359" s="35"/>
      <c r="AG1359" s="35"/>
      <c r="AH1359" s="35"/>
      <c r="AI1359" s="35"/>
      <c r="AJ1359" s="35"/>
      <c r="AK1359" s="35"/>
      <c r="AL1359" s="35"/>
      <c r="AM1359" s="35"/>
      <c r="AN1359" s="35"/>
      <c r="AO1359" s="35"/>
      <c r="AP1359" s="35"/>
      <c r="AQ1359" s="35"/>
      <c r="AR1359" s="35"/>
      <c r="AS1359" s="35"/>
      <c r="AT1359" s="35"/>
      <c r="AU1359" s="35"/>
      <c r="AV1359" s="35"/>
      <c r="AW1359" s="35"/>
      <c r="AX1359" s="35"/>
      <c r="AY1359" s="35"/>
      <c r="AZ1359" s="35"/>
      <c r="BA1359" s="35"/>
      <c r="BB1359" s="35"/>
      <c r="BC1359" s="35"/>
      <c r="BD1359" s="35"/>
      <c r="BE1359" s="35"/>
      <c r="BF1359" s="35"/>
      <c r="BG1359" s="35"/>
    </row>
    <row r="1360" ht="15.75" customHeight="1">
      <c r="A1360" s="35"/>
      <c r="B1360" s="35"/>
      <c r="C1360" s="35"/>
      <c r="D1360" s="35"/>
      <c r="E1360" s="35"/>
      <c r="F1360" s="35"/>
      <c r="G1360" s="35"/>
      <c r="H1360" s="35"/>
      <c r="I1360" s="35"/>
      <c r="J1360" s="35"/>
      <c r="K1360" s="35"/>
      <c r="L1360" s="35"/>
      <c r="M1360" s="35"/>
      <c r="N1360" s="35"/>
      <c r="O1360" s="35"/>
      <c r="P1360" s="35"/>
      <c r="Q1360" s="35"/>
      <c r="R1360" s="35"/>
      <c r="S1360" s="35"/>
      <c r="T1360" s="35"/>
      <c r="U1360" s="35"/>
      <c r="V1360" s="35"/>
      <c r="W1360" s="35"/>
      <c r="X1360" s="35"/>
      <c r="Y1360" s="35"/>
      <c r="Z1360" s="35"/>
      <c r="AA1360" s="35"/>
      <c r="AB1360" s="35"/>
      <c r="AC1360" s="35"/>
      <c r="AD1360" s="35"/>
      <c r="AE1360" s="35"/>
      <c r="AF1360" s="35"/>
      <c r="AG1360" s="35"/>
      <c r="AH1360" s="35"/>
      <c r="AI1360" s="35"/>
      <c r="AJ1360" s="35"/>
      <c r="AK1360" s="35"/>
      <c r="AL1360" s="35"/>
      <c r="AM1360" s="35"/>
      <c r="AN1360" s="35"/>
      <c r="AO1360" s="35"/>
      <c r="AP1360" s="35"/>
      <c r="AQ1360" s="35"/>
      <c r="AR1360" s="35"/>
      <c r="AS1360" s="35"/>
      <c r="AT1360" s="35"/>
      <c r="AU1360" s="35"/>
      <c r="AV1360" s="35"/>
      <c r="AW1360" s="35"/>
      <c r="AX1360" s="35"/>
      <c r="AY1360" s="35"/>
      <c r="AZ1360" s="35"/>
      <c r="BA1360" s="35"/>
      <c r="BB1360" s="35"/>
      <c r="BC1360" s="35"/>
      <c r="BD1360" s="35"/>
      <c r="BE1360" s="35"/>
      <c r="BF1360" s="35"/>
      <c r="BG1360" s="35"/>
    </row>
    <row r="1361" ht="15.75" customHeight="1">
      <c r="A1361" s="35"/>
      <c r="B1361" s="35"/>
      <c r="C1361" s="35"/>
      <c r="D1361" s="35"/>
      <c r="E1361" s="35"/>
      <c r="F1361" s="35"/>
      <c r="G1361" s="35"/>
      <c r="H1361" s="35"/>
      <c r="I1361" s="35"/>
      <c r="J1361" s="35"/>
      <c r="K1361" s="35"/>
      <c r="L1361" s="35"/>
      <c r="M1361" s="35"/>
      <c r="N1361" s="35"/>
      <c r="O1361" s="35"/>
      <c r="P1361" s="35"/>
      <c r="Q1361" s="35"/>
      <c r="R1361" s="35"/>
      <c r="S1361" s="35"/>
      <c r="T1361" s="35"/>
      <c r="U1361" s="35"/>
      <c r="V1361" s="35"/>
      <c r="W1361" s="35"/>
      <c r="X1361" s="35"/>
      <c r="Y1361" s="35"/>
      <c r="Z1361" s="35"/>
      <c r="AA1361" s="35"/>
      <c r="AB1361" s="35"/>
      <c r="AC1361" s="35"/>
      <c r="AD1361" s="35"/>
      <c r="AE1361" s="35"/>
      <c r="AF1361" s="35"/>
      <c r="AG1361" s="35"/>
      <c r="AH1361" s="35"/>
      <c r="AI1361" s="35"/>
      <c r="AJ1361" s="35"/>
      <c r="AK1361" s="35"/>
      <c r="AL1361" s="35"/>
      <c r="AM1361" s="35"/>
      <c r="AN1361" s="35"/>
      <c r="AO1361" s="35"/>
      <c r="AP1361" s="35"/>
      <c r="AQ1361" s="35"/>
      <c r="AR1361" s="35"/>
      <c r="AS1361" s="35"/>
      <c r="AT1361" s="35"/>
      <c r="AU1361" s="35"/>
      <c r="AV1361" s="35"/>
      <c r="AW1361" s="35"/>
      <c r="AX1361" s="35"/>
      <c r="AY1361" s="35"/>
      <c r="AZ1361" s="35"/>
      <c r="BA1361" s="35"/>
      <c r="BB1361" s="35"/>
      <c r="BC1361" s="35"/>
      <c r="BD1361" s="35"/>
      <c r="BE1361" s="35"/>
      <c r="BF1361" s="35"/>
      <c r="BG1361" s="35"/>
    </row>
    <row r="1362" ht="15.75" customHeight="1">
      <c r="A1362" s="35"/>
      <c r="B1362" s="35"/>
      <c r="C1362" s="35"/>
      <c r="D1362" s="35"/>
      <c r="E1362" s="35"/>
      <c r="F1362" s="35"/>
      <c r="G1362" s="35"/>
      <c r="H1362" s="35"/>
      <c r="I1362" s="35"/>
      <c r="J1362" s="35"/>
      <c r="K1362" s="35"/>
      <c r="L1362" s="35"/>
      <c r="M1362" s="35"/>
      <c r="N1362" s="35"/>
      <c r="O1362" s="35"/>
      <c r="P1362" s="35"/>
      <c r="Q1362" s="35"/>
      <c r="R1362" s="35"/>
      <c r="S1362" s="35"/>
      <c r="T1362" s="35"/>
      <c r="U1362" s="35"/>
      <c r="V1362" s="35"/>
      <c r="W1362" s="35"/>
      <c r="X1362" s="35"/>
      <c r="Y1362" s="35"/>
      <c r="Z1362" s="35"/>
      <c r="AA1362" s="35"/>
      <c r="AB1362" s="35"/>
      <c r="AC1362" s="35"/>
      <c r="AD1362" s="35"/>
      <c r="AE1362" s="35"/>
      <c r="AF1362" s="35"/>
      <c r="AG1362" s="35"/>
      <c r="AH1362" s="35"/>
      <c r="AI1362" s="35"/>
      <c r="AJ1362" s="35"/>
      <c r="AK1362" s="35"/>
      <c r="AL1362" s="35"/>
      <c r="AM1362" s="35"/>
      <c r="AN1362" s="35"/>
      <c r="AO1362" s="35"/>
      <c r="AP1362" s="35"/>
      <c r="AQ1362" s="35"/>
      <c r="AR1362" s="35"/>
      <c r="AS1362" s="35"/>
      <c r="AT1362" s="35"/>
      <c r="AU1362" s="35"/>
      <c r="AV1362" s="35"/>
      <c r="AW1362" s="35"/>
      <c r="AX1362" s="35"/>
      <c r="AY1362" s="35"/>
      <c r="AZ1362" s="35"/>
      <c r="BA1362" s="35"/>
      <c r="BB1362" s="35"/>
      <c r="BC1362" s="35"/>
      <c r="BD1362" s="35"/>
      <c r="BE1362" s="35"/>
      <c r="BF1362" s="35"/>
      <c r="BG1362" s="35"/>
    </row>
    <row r="1363" ht="15.75" customHeight="1">
      <c r="A1363" s="35"/>
      <c r="B1363" s="35"/>
      <c r="C1363" s="35"/>
      <c r="D1363" s="35"/>
      <c r="E1363" s="35"/>
      <c r="F1363" s="35"/>
      <c r="G1363" s="35"/>
      <c r="H1363" s="35"/>
      <c r="I1363" s="35"/>
      <c r="J1363" s="35"/>
      <c r="K1363" s="35"/>
      <c r="L1363" s="35"/>
      <c r="M1363" s="35"/>
      <c r="N1363" s="35"/>
      <c r="O1363" s="35"/>
      <c r="P1363" s="35"/>
      <c r="Q1363" s="35"/>
      <c r="R1363" s="35"/>
      <c r="S1363" s="35"/>
      <c r="T1363" s="35"/>
      <c r="U1363" s="35"/>
      <c r="V1363" s="35"/>
      <c r="W1363" s="35"/>
      <c r="X1363" s="35"/>
      <c r="Y1363" s="35"/>
      <c r="Z1363" s="35"/>
      <c r="AA1363" s="35"/>
      <c r="AB1363" s="35"/>
      <c r="AC1363" s="35"/>
      <c r="AD1363" s="35"/>
      <c r="AE1363" s="35"/>
      <c r="AF1363" s="35"/>
      <c r="AG1363" s="35"/>
      <c r="AH1363" s="35"/>
      <c r="AI1363" s="35"/>
      <c r="AJ1363" s="35"/>
      <c r="AK1363" s="35"/>
      <c r="AL1363" s="35"/>
      <c r="AM1363" s="35"/>
      <c r="AN1363" s="35"/>
      <c r="AO1363" s="35"/>
      <c r="AP1363" s="35"/>
      <c r="AQ1363" s="35"/>
      <c r="AR1363" s="35"/>
      <c r="AS1363" s="35"/>
      <c r="AT1363" s="35"/>
      <c r="AU1363" s="35"/>
      <c r="AV1363" s="35"/>
      <c r="AW1363" s="35"/>
      <c r="AX1363" s="35"/>
      <c r="AY1363" s="35"/>
      <c r="AZ1363" s="35"/>
      <c r="BA1363" s="35"/>
      <c r="BB1363" s="35"/>
      <c r="BC1363" s="35"/>
      <c r="BD1363" s="35"/>
      <c r="BE1363" s="35"/>
      <c r="BF1363" s="35"/>
      <c r="BG1363" s="35"/>
    </row>
    <row r="1364" ht="15.75" customHeight="1">
      <c r="A1364" s="35"/>
      <c r="B1364" s="35"/>
      <c r="C1364" s="35"/>
      <c r="D1364" s="35"/>
      <c r="E1364" s="35"/>
      <c r="F1364" s="35"/>
      <c r="G1364" s="35"/>
      <c r="H1364" s="35"/>
      <c r="I1364" s="35"/>
      <c r="J1364" s="35"/>
      <c r="K1364" s="35"/>
      <c r="L1364" s="35"/>
      <c r="M1364" s="35"/>
      <c r="N1364" s="35"/>
      <c r="O1364" s="35"/>
      <c r="P1364" s="35"/>
      <c r="Q1364" s="35"/>
      <c r="R1364" s="35"/>
      <c r="S1364" s="35"/>
      <c r="T1364" s="35"/>
      <c r="U1364" s="35"/>
      <c r="V1364" s="35"/>
      <c r="W1364" s="35"/>
      <c r="X1364" s="35"/>
      <c r="Y1364" s="35"/>
      <c r="Z1364" s="35"/>
      <c r="AA1364" s="35"/>
      <c r="AB1364" s="35"/>
      <c r="AC1364" s="35"/>
      <c r="AD1364" s="35"/>
      <c r="AE1364" s="35"/>
      <c r="AF1364" s="35"/>
      <c r="AG1364" s="35"/>
      <c r="AH1364" s="35"/>
      <c r="AI1364" s="35"/>
      <c r="AJ1364" s="35"/>
      <c r="AK1364" s="35"/>
      <c r="AL1364" s="35"/>
      <c r="AM1364" s="35"/>
      <c r="AN1364" s="35"/>
      <c r="AO1364" s="35"/>
      <c r="AP1364" s="35"/>
      <c r="AQ1364" s="35"/>
      <c r="AR1364" s="35"/>
      <c r="AS1364" s="35"/>
      <c r="AT1364" s="35"/>
      <c r="AU1364" s="35"/>
      <c r="AV1364" s="35"/>
      <c r="AW1364" s="35"/>
      <c r="AX1364" s="35"/>
      <c r="AY1364" s="35"/>
      <c r="AZ1364" s="35"/>
      <c r="BA1364" s="35"/>
      <c r="BB1364" s="35"/>
      <c r="BC1364" s="35"/>
      <c r="BD1364" s="35"/>
      <c r="BE1364" s="35"/>
      <c r="BF1364" s="35"/>
      <c r="BG1364" s="35"/>
    </row>
    <row r="1365" ht="15.75" customHeight="1">
      <c r="A1365" s="35"/>
      <c r="B1365" s="35"/>
      <c r="C1365" s="35"/>
      <c r="D1365" s="35"/>
      <c r="E1365" s="35"/>
      <c r="F1365" s="35"/>
      <c r="G1365" s="35"/>
      <c r="H1365" s="35"/>
      <c r="I1365" s="35"/>
      <c r="J1365" s="35"/>
      <c r="K1365" s="35"/>
      <c r="L1365" s="35"/>
      <c r="M1365" s="35"/>
      <c r="N1365" s="35"/>
      <c r="O1365" s="35"/>
      <c r="P1365" s="35"/>
      <c r="Q1365" s="35"/>
      <c r="R1365" s="35"/>
      <c r="S1365" s="35"/>
      <c r="T1365" s="35"/>
      <c r="U1365" s="35"/>
      <c r="V1365" s="35"/>
      <c r="W1365" s="35"/>
      <c r="X1365" s="35"/>
      <c r="Y1365" s="35"/>
      <c r="Z1365" s="35"/>
      <c r="AA1365" s="35"/>
      <c r="AB1365" s="35"/>
      <c r="AC1365" s="35"/>
      <c r="AD1365" s="35"/>
      <c r="AE1365" s="35"/>
      <c r="AF1365" s="35"/>
      <c r="AG1365" s="35"/>
      <c r="AH1365" s="35"/>
      <c r="AI1365" s="35"/>
      <c r="AJ1365" s="35"/>
      <c r="AK1365" s="35"/>
      <c r="AL1365" s="35"/>
      <c r="AM1365" s="35"/>
      <c r="AN1365" s="35"/>
      <c r="AO1365" s="35"/>
      <c r="AP1365" s="35"/>
      <c r="AQ1365" s="35"/>
      <c r="AR1365" s="35"/>
      <c r="AS1365" s="35"/>
      <c r="AT1365" s="35"/>
      <c r="AU1365" s="35"/>
      <c r="AV1365" s="35"/>
      <c r="AW1365" s="35"/>
      <c r="AX1365" s="35"/>
      <c r="AY1365" s="35"/>
      <c r="AZ1365" s="35"/>
      <c r="BA1365" s="35"/>
      <c r="BB1365" s="35"/>
      <c r="BC1365" s="35"/>
      <c r="BD1365" s="35"/>
      <c r="BE1365" s="35"/>
      <c r="BF1365" s="35"/>
      <c r="BG1365" s="35"/>
    </row>
    <row r="1366" ht="15.75" customHeight="1">
      <c r="A1366" s="35"/>
      <c r="B1366" s="35"/>
      <c r="C1366" s="35"/>
      <c r="D1366" s="35"/>
      <c r="E1366" s="35"/>
      <c r="F1366" s="35"/>
      <c r="G1366" s="35"/>
      <c r="H1366" s="35"/>
      <c r="I1366" s="35"/>
      <c r="J1366" s="35"/>
      <c r="K1366" s="35"/>
      <c r="L1366" s="35"/>
      <c r="M1366" s="35"/>
      <c r="N1366" s="35"/>
      <c r="O1366" s="35"/>
      <c r="P1366" s="35"/>
      <c r="Q1366" s="35"/>
      <c r="R1366" s="35"/>
      <c r="S1366" s="35"/>
      <c r="T1366" s="35"/>
      <c r="U1366" s="35"/>
      <c r="V1366" s="35"/>
      <c r="W1366" s="35"/>
      <c r="X1366" s="35"/>
      <c r="Y1366" s="35"/>
      <c r="Z1366" s="35"/>
      <c r="AA1366" s="35"/>
      <c r="AB1366" s="35"/>
      <c r="AC1366" s="35"/>
      <c r="AD1366" s="35"/>
      <c r="AE1366" s="35"/>
      <c r="AF1366" s="35"/>
      <c r="AG1366" s="35"/>
      <c r="AH1366" s="35"/>
      <c r="AI1366" s="35"/>
      <c r="AJ1366" s="35"/>
      <c r="AK1366" s="35"/>
      <c r="AL1366" s="35"/>
      <c r="AM1366" s="35"/>
      <c r="AN1366" s="35"/>
      <c r="AO1366" s="35"/>
      <c r="AP1366" s="35"/>
      <c r="AQ1366" s="35"/>
      <c r="AR1366" s="35"/>
      <c r="AS1366" s="35"/>
      <c r="AT1366" s="35"/>
      <c r="AU1366" s="35"/>
      <c r="AV1366" s="35"/>
      <c r="AW1366" s="35"/>
      <c r="AX1366" s="35"/>
      <c r="AY1366" s="35"/>
      <c r="AZ1366" s="35"/>
      <c r="BA1366" s="35"/>
      <c r="BB1366" s="35"/>
      <c r="BC1366" s="35"/>
      <c r="BD1366" s="35"/>
      <c r="BE1366" s="35"/>
      <c r="BF1366" s="35"/>
      <c r="BG1366" s="35"/>
    </row>
    <row r="1367" ht="15.75" customHeight="1">
      <c r="A1367" s="35"/>
      <c r="B1367" s="35"/>
      <c r="C1367" s="35"/>
      <c r="D1367" s="35"/>
      <c r="E1367" s="35"/>
      <c r="F1367" s="35"/>
      <c r="G1367" s="35"/>
      <c r="H1367" s="35"/>
      <c r="I1367" s="35"/>
      <c r="J1367" s="35"/>
      <c r="K1367" s="35"/>
      <c r="L1367" s="35"/>
      <c r="M1367" s="35"/>
      <c r="N1367" s="35"/>
      <c r="O1367" s="35"/>
      <c r="P1367" s="35"/>
      <c r="Q1367" s="35"/>
      <c r="R1367" s="35"/>
      <c r="S1367" s="35"/>
      <c r="T1367" s="35"/>
      <c r="U1367" s="35"/>
      <c r="V1367" s="35"/>
      <c r="W1367" s="35"/>
      <c r="X1367" s="35"/>
      <c r="Y1367" s="35"/>
      <c r="Z1367" s="35"/>
      <c r="AA1367" s="35"/>
      <c r="AB1367" s="35"/>
      <c r="AC1367" s="35"/>
      <c r="AD1367" s="35"/>
      <c r="AE1367" s="35"/>
      <c r="AF1367" s="35"/>
      <c r="AG1367" s="35"/>
      <c r="AH1367" s="35"/>
      <c r="AI1367" s="35"/>
      <c r="AJ1367" s="35"/>
      <c r="AK1367" s="35"/>
      <c r="AL1367" s="35"/>
      <c r="AM1367" s="35"/>
      <c r="AN1367" s="35"/>
      <c r="AO1367" s="35"/>
      <c r="AP1367" s="35"/>
      <c r="AQ1367" s="35"/>
      <c r="AR1367" s="35"/>
      <c r="AS1367" s="35"/>
      <c r="AT1367" s="35"/>
      <c r="AU1367" s="35"/>
      <c r="AV1367" s="35"/>
      <c r="AW1367" s="35"/>
      <c r="AX1367" s="35"/>
      <c r="AY1367" s="35"/>
      <c r="AZ1367" s="35"/>
      <c r="BA1367" s="35"/>
      <c r="BB1367" s="35"/>
      <c r="BC1367" s="35"/>
      <c r="BD1367" s="35"/>
      <c r="BE1367" s="35"/>
      <c r="BF1367" s="35"/>
      <c r="BG1367" s="35"/>
    </row>
    <row r="1368" ht="15.75" customHeight="1">
      <c r="A1368" s="35"/>
      <c r="B1368" s="35"/>
      <c r="C1368" s="35"/>
      <c r="D1368" s="35"/>
      <c r="E1368" s="35"/>
      <c r="F1368" s="35"/>
      <c r="G1368" s="35"/>
      <c r="H1368" s="35"/>
      <c r="I1368" s="35"/>
      <c r="J1368" s="35"/>
      <c r="K1368" s="35"/>
      <c r="L1368" s="35"/>
      <c r="M1368" s="35"/>
      <c r="N1368" s="35"/>
      <c r="O1368" s="35"/>
      <c r="P1368" s="35"/>
      <c r="Q1368" s="35"/>
      <c r="R1368" s="35"/>
      <c r="S1368" s="35"/>
      <c r="T1368" s="35"/>
      <c r="U1368" s="35"/>
      <c r="V1368" s="35"/>
      <c r="W1368" s="35"/>
      <c r="X1368" s="35"/>
      <c r="Y1368" s="35"/>
      <c r="Z1368" s="35"/>
      <c r="AA1368" s="35"/>
      <c r="AB1368" s="35"/>
      <c r="AC1368" s="35"/>
      <c r="AD1368" s="35"/>
      <c r="AE1368" s="35"/>
      <c r="AF1368" s="35"/>
      <c r="AG1368" s="35"/>
      <c r="AH1368" s="35"/>
      <c r="AI1368" s="35"/>
      <c r="AJ1368" s="35"/>
      <c r="AK1368" s="35"/>
      <c r="AL1368" s="35"/>
      <c r="AM1368" s="35"/>
      <c r="AN1368" s="35"/>
      <c r="AO1368" s="35"/>
      <c r="AP1368" s="35"/>
      <c r="AQ1368" s="35"/>
      <c r="AR1368" s="35"/>
      <c r="AS1368" s="35"/>
      <c r="AT1368" s="35"/>
      <c r="AU1368" s="35"/>
      <c r="AV1368" s="35"/>
      <c r="AW1368" s="35"/>
      <c r="AX1368" s="35"/>
      <c r="AY1368" s="35"/>
      <c r="AZ1368" s="35"/>
      <c r="BA1368" s="35"/>
      <c r="BB1368" s="35"/>
      <c r="BC1368" s="35"/>
      <c r="BD1368" s="35"/>
      <c r="BE1368" s="35"/>
      <c r="BF1368" s="35"/>
      <c r="BG1368" s="35"/>
    </row>
    <row r="1369" ht="15.75" customHeight="1">
      <c r="A1369" s="35"/>
      <c r="B1369" s="35"/>
      <c r="C1369" s="35"/>
      <c r="D1369" s="35"/>
      <c r="E1369" s="35"/>
      <c r="F1369" s="35"/>
      <c r="G1369" s="35"/>
      <c r="H1369" s="35"/>
      <c r="I1369" s="35"/>
      <c r="J1369" s="35"/>
      <c r="K1369" s="35"/>
      <c r="L1369" s="35"/>
      <c r="M1369" s="35"/>
      <c r="N1369" s="35"/>
      <c r="O1369" s="35"/>
      <c r="P1369" s="35"/>
      <c r="Q1369" s="35"/>
      <c r="R1369" s="35"/>
      <c r="S1369" s="35"/>
      <c r="T1369" s="35"/>
      <c r="U1369" s="35"/>
      <c r="V1369" s="35"/>
      <c r="W1369" s="35"/>
      <c r="X1369" s="35"/>
      <c r="Y1369" s="35"/>
      <c r="Z1369" s="35"/>
      <c r="AA1369" s="35"/>
      <c r="AB1369" s="35"/>
      <c r="AC1369" s="35"/>
      <c r="AD1369" s="35"/>
      <c r="AE1369" s="35"/>
      <c r="AF1369" s="35"/>
      <c r="AG1369" s="35"/>
      <c r="AH1369" s="35"/>
      <c r="AI1369" s="35"/>
      <c r="AJ1369" s="35"/>
      <c r="AK1369" s="35"/>
      <c r="AL1369" s="35"/>
      <c r="AM1369" s="35"/>
      <c r="AN1369" s="35"/>
      <c r="AO1369" s="35"/>
      <c r="AP1369" s="35"/>
      <c r="AQ1369" s="35"/>
      <c r="AR1369" s="35"/>
      <c r="AS1369" s="35"/>
      <c r="AT1369" s="35"/>
      <c r="AU1369" s="35"/>
      <c r="AV1369" s="35"/>
      <c r="AW1369" s="35"/>
      <c r="AX1369" s="35"/>
      <c r="AY1369" s="35"/>
      <c r="AZ1369" s="35"/>
      <c r="BA1369" s="35"/>
      <c r="BB1369" s="35"/>
      <c r="BC1369" s="35"/>
      <c r="BD1369" s="35"/>
      <c r="BE1369" s="35"/>
      <c r="BF1369" s="35"/>
      <c r="BG1369" s="35"/>
    </row>
    <row r="1370" ht="15.75" customHeight="1">
      <c r="A1370" s="35"/>
      <c r="B1370" s="35"/>
      <c r="C1370" s="35"/>
      <c r="D1370" s="35"/>
      <c r="E1370" s="35"/>
      <c r="F1370" s="35"/>
      <c r="G1370" s="35"/>
      <c r="H1370" s="35"/>
      <c r="I1370" s="35"/>
      <c r="J1370" s="35"/>
      <c r="K1370" s="35"/>
      <c r="L1370" s="35"/>
      <c r="M1370" s="35"/>
      <c r="N1370" s="35"/>
      <c r="O1370" s="35"/>
      <c r="P1370" s="35"/>
      <c r="Q1370" s="35"/>
      <c r="R1370" s="35"/>
      <c r="S1370" s="35"/>
      <c r="T1370" s="35"/>
      <c r="U1370" s="35"/>
      <c r="V1370" s="35"/>
      <c r="W1370" s="35"/>
      <c r="X1370" s="35"/>
      <c r="Y1370" s="35"/>
      <c r="Z1370" s="35"/>
      <c r="AA1370" s="35"/>
      <c r="AB1370" s="35"/>
      <c r="AC1370" s="35"/>
      <c r="AD1370" s="35"/>
      <c r="AE1370" s="35"/>
      <c r="AF1370" s="35"/>
      <c r="AG1370" s="35"/>
      <c r="AH1370" s="35"/>
      <c r="AI1370" s="35"/>
      <c r="AJ1370" s="35"/>
      <c r="AK1370" s="35"/>
      <c r="AL1370" s="35"/>
      <c r="AM1370" s="35"/>
      <c r="AN1370" s="35"/>
      <c r="AO1370" s="35"/>
      <c r="AP1370" s="35"/>
      <c r="AQ1370" s="35"/>
      <c r="AR1370" s="35"/>
      <c r="AS1370" s="35"/>
      <c r="AT1370" s="35"/>
      <c r="AU1370" s="35"/>
      <c r="AV1370" s="35"/>
      <c r="AW1370" s="35"/>
      <c r="AX1370" s="35"/>
      <c r="AY1370" s="35"/>
      <c r="AZ1370" s="35"/>
      <c r="BA1370" s="35"/>
      <c r="BB1370" s="35"/>
      <c r="BC1370" s="35"/>
      <c r="BD1370" s="35"/>
      <c r="BE1370" s="35"/>
      <c r="BF1370" s="35"/>
      <c r="BG1370" s="35"/>
    </row>
    <row r="1371" ht="15.75" customHeight="1">
      <c r="A1371" s="35"/>
      <c r="B1371" s="35"/>
      <c r="C1371" s="35"/>
      <c r="D1371" s="35"/>
      <c r="E1371" s="35"/>
      <c r="F1371" s="35"/>
      <c r="G1371" s="35"/>
      <c r="H1371" s="35"/>
      <c r="I1371" s="35"/>
      <c r="J1371" s="35"/>
      <c r="K1371" s="35"/>
      <c r="L1371" s="35"/>
      <c r="M1371" s="35"/>
      <c r="N1371" s="35"/>
      <c r="O1371" s="35"/>
      <c r="P1371" s="35"/>
      <c r="Q1371" s="35"/>
      <c r="R1371" s="35"/>
      <c r="S1371" s="35"/>
      <c r="T1371" s="35"/>
      <c r="U1371" s="35"/>
      <c r="V1371" s="35"/>
      <c r="W1371" s="35"/>
      <c r="X1371" s="35"/>
      <c r="Y1371" s="35"/>
      <c r="Z1371" s="35"/>
      <c r="AA1371" s="35"/>
      <c r="AB1371" s="35"/>
      <c r="AC1371" s="35"/>
      <c r="AD1371" s="35"/>
      <c r="AE1371" s="35"/>
      <c r="AF1371" s="35"/>
      <c r="AG1371" s="35"/>
      <c r="AH1371" s="35"/>
      <c r="AI1371" s="35"/>
      <c r="AJ1371" s="35"/>
      <c r="AK1371" s="35"/>
      <c r="AL1371" s="35"/>
      <c r="AM1371" s="35"/>
      <c r="AN1371" s="35"/>
      <c r="AO1371" s="35"/>
      <c r="AP1371" s="35"/>
      <c r="AQ1371" s="35"/>
      <c r="AR1371" s="35"/>
      <c r="AS1371" s="35"/>
      <c r="AT1371" s="35"/>
      <c r="AU1371" s="35"/>
      <c r="AV1371" s="35"/>
      <c r="AW1371" s="35"/>
      <c r="AX1371" s="35"/>
      <c r="AY1371" s="35"/>
      <c r="AZ1371" s="35"/>
      <c r="BA1371" s="35"/>
      <c r="BB1371" s="35"/>
      <c r="BC1371" s="35"/>
      <c r="BD1371" s="35"/>
      <c r="BE1371" s="35"/>
      <c r="BF1371" s="35"/>
      <c r="BG1371" s="35"/>
    </row>
    <row r="1372" ht="15.75" customHeight="1">
      <c r="A1372" s="35"/>
      <c r="B1372" s="35"/>
      <c r="C1372" s="35"/>
      <c r="D1372" s="35"/>
      <c r="E1372" s="35"/>
      <c r="F1372" s="35"/>
      <c r="G1372" s="35"/>
      <c r="H1372" s="35"/>
      <c r="I1372" s="35"/>
      <c r="J1372" s="35"/>
      <c r="K1372" s="35"/>
      <c r="L1372" s="35"/>
      <c r="M1372" s="35"/>
      <c r="N1372" s="35"/>
      <c r="O1372" s="35"/>
      <c r="P1372" s="35"/>
      <c r="Q1372" s="35"/>
      <c r="R1372" s="35"/>
      <c r="S1372" s="35"/>
      <c r="T1372" s="35"/>
      <c r="U1372" s="35"/>
      <c r="V1372" s="35"/>
      <c r="W1372" s="35"/>
      <c r="X1372" s="35"/>
      <c r="Y1372" s="35"/>
      <c r="Z1372" s="35"/>
      <c r="AA1372" s="35"/>
      <c r="AB1372" s="35"/>
      <c r="AC1372" s="35"/>
      <c r="AD1372" s="35"/>
      <c r="AE1372" s="35"/>
      <c r="AF1372" s="35"/>
      <c r="AG1372" s="35"/>
      <c r="AH1372" s="35"/>
      <c r="AI1372" s="35"/>
      <c r="AJ1372" s="35"/>
      <c r="AK1372" s="35"/>
      <c r="AL1372" s="35"/>
      <c r="AM1372" s="35"/>
      <c r="AN1372" s="35"/>
      <c r="AO1372" s="35"/>
      <c r="AP1372" s="35"/>
      <c r="AQ1372" s="35"/>
      <c r="AR1372" s="35"/>
      <c r="AS1372" s="35"/>
      <c r="AT1372" s="35"/>
      <c r="AU1372" s="35"/>
      <c r="AV1372" s="35"/>
      <c r="AW1372" s="35"/>
      <c r="AX1372" s="35"/>
      <c r="AY1372" s="35"/>
      <c r="AZ1372" s="35"/>
      <c r="BA1372" s="35"/>
      <c r="BB1372" s="35"/>
      <c r="BC1372" s="35"/>
      <c r="BD1372" s="35"/>
      <c r="BE1372" s="35"/>
      <c r="BF1372" s="35"/>
      <c r="BG1372" s="35"/>
    </row>
    <row r="1373" ht="15.75" customHeight="1">
      <c r="A1373" s="35"/>
      <c r="B1373" s="35"/>
      <c r="C1373" s="35"/>
      <c r="D1373" s="35"/>
      <c r="E1373" s="35"/>
      <c r="F1373" s="35"/>
      <c r="G1373" s="35"/>
      <c r="H1373" s="35"/>
      <c r="I1373" s="35"/>
      <c r="J1373" s="35"/>
      <c r="K1373" s="35"/>
      <c r="L1373" s="35"/>
      <c r="M1373" s="35"/>
      <c r="N1373" s="35"/>
      <c r="O1373" s="35"/>
      <c r="P1373" s="35"/>
      <c r="Q1373" s="35"/>
      <c r="R1373" s="35"/>
      <c r="S1373" s="35"/>
      <c r="T1373" s="35"/>
      <c r="U1373" s="35"/>
      <c r="V1373" s="35"/>
      <c r="W1373" s="35"/>
      <c r="X1373" s="35"/>
      <c r="Y1373" s="35"/>
      <c r="Z1373" s="35"/>
      <c r="AA1373" s="35"/>
      <c r="AB1373" s="35"/>
      <c r="AC1373" s="35"/>
      <c r="AD1373" s="35"/>
      <c r="AE1373" s="35"/>
      <c r="AF1373" s="35"/>
      <c r="AG1373" s="35"/>
      <c r="AH1373" s="35"/>
      <c r="AI1373" s="35"/>
      <c r="AJ1373" s="35"/>
      <c r="AK1373" s="35"/>
      <c r="AL1373" s="35"/>
      <c r="AM1373" s="35"/>
      <c r="AN1373" s="35"/>
      <c r="AO1373" s="35"/>
      <c r="AP1373" s="35"/>
      <c r="AQ1373" s="35"/>
      <c r="AR1373" s="35"/>
      <c r="AS1373" s="35"/>
      <c r="AT1373" s="35"/>
      <c r="AU1373" s="35"/>
      <c r="AV1373" s="35"/>
      <c r="AW1373" s="35"/>
      <c r="AX1373" s="35"/>
      <c r="AY1373" s="35"/>
      <c r="AZ1373" s="35"/>
      <c r="BA1373" s="35"/>
      <c r="BB1373" s="35"/>
      <c r="BC1373" s="35"/>
      <c r="BD1373" s="35"/>
      <c r="BE1373" s="35"/>
      <c r="BF1373" s="35"/>
      <c r="BG1373" s="35"/>
    </row>
    <row r="1374" ht="15.75" customHeight="1">
      <c r="A1374" s="35"/>
      <c r="B1374" s="35"/>
      <c r="C1374" s="35"/>
      <c r="D1374" s="35"/>
      <c r="E1374" s="35"/>
      <c r="F1374" s="35"/>
      <c r="G1374" s="35"/>
      <c r="H1374" s="35"/>
      <c r="I1374" s="35"/>
      <c r="J1374" s="35"/>
      <c r="K1374" s="35"/>
      <c r="L1374" s="35"/>
      <c r="M1374" s="35"/>
      <c r="N1374" s="35"/>
      <c r="O1374" s="35"/>
      <c r="P1374" s="35"/>
      <c r="Q1374" s="35"/>
      <c r="R1374" s="35"/>
      <c r="S1374" s="35"/>
      <c r="T1374" s="35"/>
      <c r="U1374" s="35"/>
      <c r="V1374" s="35"/>
      <c r="W1374" s="35"/>
      <c r="X1374" s="35"/>
      <c r="Y1374" s="35"/>
      <c r="Z1374" s="35"/>
      <c r="AA1374" s="35"/>
      <c r="AB1374" s="35"/>
      <c r="AC1374" s="35"/>
      <c r="AD1374" s="35"/>
      <c r="AE1374" s="35"/>
      <c r="AF1374" s="35"/>
      <c r="AG1374" s="35"/>
      <c r="AH1374" s="35"/>
      <c r="AI1374" s="35"/>
      <c r="AJ1374" s="35"/>
      <c r="AK1374" s="35"/>
      <c r="AL1374" s="35"/>
      <c r="AM1374" s="35"/>
      <c r="AN1374" s="35"/>
      <c r="AO1374" s="35"/>
      <c r="AP1374" s="35"/>
      <c r="AQ1374" s="35"/>
      <c r="AR1374" s="35"/>
      <c r="AS1374" s="35"/>
      <c r="AT1374" s="35"/>
      <c r="AU1374" s="35"/>
      <c r="AV1374" s="35"/>
      <c r="AW1374" s="35"/>
      <c r="AX1374" s="35"/>
      <c r="AY1374" s="35"/>
      <c r="AZ1374" s="35"/>
      <c r="BA1374" s="35"/>
      <c r="BB1374" s="35"/>
      <c r="BC1374" s="35"/>
      <c r="BD1374" s="35"/>
      <c r="BE1374" s="35"/>
      <c r="BF1374" s="35"/>
      <c r="BG1374" s="35"/>
    </row>
    <row r="1375" ht="15.75" customHeight="1">
      <c r="A1375" s="35"/>
      <c r="B1375" s="35"/>
      <c r="C1375" s="35"/>
      <c r="D1375" s="35"/>
      <c r="E1375" s="35"/>
      <c r="F1375" s="35"/>
      <c r="G1375" s="35"/>
      <c r="H1375" s="35"/>
      <c r="I1375" s="35"/>
      <c r="J1375" s="35"/>
      <c r="K1375" s="35"/>
      <c r="L1375" s="35"/>
      <c r="M1375" s="35"/>
      <c r="N1375" s="35"/>
      <c r="O1375" s="35"/>
      <c r="P1375" s="35"/>
      <c r="Q1375" s="35"/>
      <c r="R1375" s="35"/>
      <c r="S1375" s="35"/>
      <c r="T1375" s="35"/>
      <c r="U1375" s="35"/>
      <c r="V1375" s="35"/>
      <c r="W1375" s="35"/>
      <c r="X1375" s="35"/>
      <c r="Y1375" s="35"/>
      <c r="Z1375" s="35"/>
      <c r="AA1375" s="35"/>
      <c r="AB1375" s="35"/>
      <c r="AC1375" s="35"/>
      <c r="AD1375" s="35"/>
      <c r="AE1375" s="35"/>
      <c r="AF1375" s="35"/>
      <c r="AG1375" s="35"/>
      <c r="AH1375" s="35"/>
      <c r="AI1375" s="35"/>
      <c r="AJ1375" s="35"/>
      <c r="AK1375" s="35"/>
      <c r="AL1375" s="35"/>
      <c r="AM1375" s="35"/>
      <c r="AN1375" s="35"/>
      <c r="AO1375" s="35"/>
      <c r="AP1375" s="35"/>
      <c r="AQ1375" s="35"/>
      <c r="AR1375" s="35"/>
      <c r="AS1375" s="35"/>
      <c r="AT1375" s="35"/>
      <c r="AU1375" s="35"/>
      <c r="AV1375" s="35"/>
      <c r="AW1375" s="35"/>
      <c r="AX1375" s="35"/>
      <c r="AY1375" s="35"/>
      <c r="AZ1375" s="35"/>
      <c r="BA1375" s="35"/>
      <c r="BB1375" s="35"/>
      <c r="BC1375" s="35"/>
      <c r="BD1375" s="35"/>
      <c r="BE1375" s="35"/>
      <c r="BF1375" s="35"/>
      <c r="BG1375" s="35"/>
    </row>
    <row r="1376" ht="15.75" customHeight="1">
      <c r="A1376" s="35"/>
      <c r="B1376" s="35"/>
      <c r="C1376" s="35"/>
      <c r="D1376" s="35"/>
      <c r="E1376" s="35"/>
      <c r="F1376" s="35"/>
      <c r="G1376" s="35"/>
      <c r="H1376" s="35"/>
      <c r="I1376" s="35"/>
      <c r="J1376" s="35"/>
      <c r="K1376" s="35"/>
      <c r="L1376" s="35"/>
      <c r="M1376" s="35"/>
      <c r="N1376" s="35"/>
      <c r="O1376" s="35"/>
      <c r="P1376" s="35"/>
      <c r="Q1376" s="35"/>
      <c r="R1376" s="35"/>
      <c r="S1376" s="35"/>
      <c r="T1376" s="35"/>
      <c r="U1376" s="35"/>
      <c r="V1376" s="35"/>
      <c r="W1376" s="35"/>
      <c r="X1376" s="35"/>
      <c r="Y1376" s="35"/>
      <c r="Z1376" s="35"/>
      <c r="AA1376" s="35"/>
      <c r="AB1376" s="35"/>
      <c r="AC1376" s="35"/>
      <c r="AD1376" s="35"/>
      <c r="AE1376" s="35"/>
      <c r="AF1376" s="35"/>
      <c r="AG1376" s="35"/>
      <c r="AH1376" s="35"/>
      <c r="AI1376" s="35"/>
      <c r="AJ1376" s="35"/>
      <c r="AK1376" s="35"/>
      <c r="AL1376" s="35"/>
      <c r="AM1376" s="35"/>
      <c r="AN1376" s="35"/>
      <c r="AO1376" s="35"/>
      <c r="AP1376" s="35"/>
      <c r="AQ1376" s="35"/>
      <c r="AR1376" s="35"/>
      <c r="AS1376" s="35"/>
      <c r="AT1376" s="35"/>
      <c r="AU1376" s="35"/>
      <c r="AV1376" s="35"/>
      <c r="AW1376" s="35"/>
      <c r="AX1376" s="35"/>
      <c r="AY1376" s="35"/>
      <c r="AZ1376" s="35"/>
      <c r="BA1376" s="35"/>
      <c r="BB1376" s="35"/>
      <c r="BC1376" s="35"/>
      <c r="BD1376" s="35"/>
      <c r="BE1376" s="35"/>
      <c r="BF1376" s="35"/>
      <c r="BG1376" s="35"/>
    </row>
    <row r="1377" ht="15.75" customHeight="1">
      <c r="A1377" s="35"/>
      <c r="B1377" s="35"/>
      <c r="C1377" s="35"/>
      <c r="D1377" s="35"/>
      <c r="E1377" s="35"/>
      <c r="F1377" s="35"/>
      <c r="G1377" s="35"/>
      <c r="H1377" s="35"/>
      <c r="I1377" s="35"/>
      <c r="J1377" s="35"/>
      <c r="K1377" s="35"/>
      <c r="L1377" s="35"/>
      <c r="M1377" s="35"/>
      <c r="N1377" s="35"/>
      <c r="O1377" s="35"/>
      <c r="P1377" s="35"/>
      <c r="Q1377" s="35"/>
      <c r="R1377" s="35"/>
      <c r="S1377" s="35"/>
      <c r="T1377" s="35"/>
      <c r="U1377" s="35"/>
      <c r="V1377" s="35"/>
      <c r="W1377" s="35"/>
      <c r="X1377" s="35"/>
      <c r="Y1377" s="35"/>
      <c r="Z1377" s="35"/>
      <c r="AA1377" s="35"/>
      <c r="AB1377" s="35"/>
      <c r="AC1377" s="35"/>
      <c r="AD1377" s="35"/>
      <c r="AE1377" s="35"/>
      <c r="AF1377" s="35"/>
      <c r="AG1377" s="35"/>
      <c r="AH1377" s="35"/>
      <c r="AI1377" s="35"/>
      <c r="AJ1377" s="35"/>
      <c r="AK1377" s="35"/>
      <c r="AL1377" s="35"/>
      <c r="AM1377" s="35"/>
      <c r="AN1377" s="35"/>
      <c r="AO1377" s="35"/>
      <c r="AP1377" s="35"/>
      <c r="AQ1377" s="35"/>
      <c r="AR1377" s="35"/>
      <c r="AS1377" s="35"/>
      <c r="AT1377" s="35"/>
      <c r="AU1377" s="35"/>
      <c r="AV1377" s="35"/>
      <c r="AW1377" s="35"/>
      <c r="AX1377" s="35"/>
      <c r="AY1377" s="35"/>
      <c r="AZ1377" s="35"/>
      <c r="BA1377" s="35"/>
      <c r="BB1377" s="35"/>
      <c r="BC1377" s="35"/>
      <c r="BD1377" s="35"/>
      <c r="BE1377" s="35"/>
      <c r="BF1377" s="35"/>
      <c r="BG1377" s="35"/>
    </row>
    <row r="1378" ht="15.75" customHeight="1">
      <c r="A1378" s="35"/>
      <c r="B1378" s="35"/>
      <c r="C1378" s="35"/>
      <c r="D1378" s="35"/>
      <c r="E1378" s="35"/>
      <c r="F1378" s="35"/>
      <c r="G1378" s="35"/>
      <c r="H1378" s="35"/>
      <c r="I1378" s="35"/>
      <c r="J1378" s="35"/>
      <c r="K1378" s="35"/>
      <c r="L1378" s="35"/>
      <c r="M1378" s="35"/>
      <c r="N1378" s="35"/>
      <c r="O1378" s="35"/>
      <c r="P1378" s="35"/>
      <c r="Q1378" s="35"/>
      <c r="R1378" s="35"/>
      <c r="S1378" s="35"/>
      <c r="T1378" s="35"/>
      <c r="U1378" s="35"/>
      <c r="V1378" s="35"/>
      <c r="W1378" s="35"/>
      <c r="X1378" s="35"/>
      <c r="Y1378" s="35"/>
      <c r="Z1378" s="35"/>
      <c r="AA1378" s="35"/>
      <c r="AB1378" s="35"/>
      <c r="AC1378" s="35"/>
      <c r="AD1378" s="35"/>
      <c r="AE1378" s="35"/>
      <c r="AF1378" s="35"/>
      <c r="AG1378" s="35"/>
      <c r="AH1378" s="35"/>
      <c r="AI1378" s="35"/>
      <c r="AJ1378" s="35"/>
      <c r="AK1378" s="35"/>
      <c r="AL1378" s="35"/>
      <c r="AM1378" s="35"/>
      <c r="AN1378" s="35"/>
      <c r="AO1378" s="35"/>
      <c r="AP1378" s="35"/>
      <c r="AQ1378" s="35"/>
      <c r="AR1378" s="35"/>
      <c r="AS1378" s="35"/>
      <c r="AT1378" s="35"/>
      <c r="AU1378" s="35"/>
      <c r="AV1378" s="35"/>
      <c r="AW1378" s="35"/>
      <c r="AX1378" s="35"/>
      <c r="AY1378" s="35"/>
      <c r="AZ1378" s="35"/>
      <c r="BA1378" s="35"/>
      <c r="BB1378" s="35"/>
      <c r="BC1378" s="35"/>
      <c r="BD1378" s="35"/>
      <c r="BE1378" s="35"/>
      <c r="BF1378" s="35"/>
      <c r="BG1378" s="35"/>
    </row>
    <row r="1379" ht="15.75" customHeight="1">
      <c r="A1379" s="35"/>
      <c r="B1379" s="35"/>
      <c r="C1379" s="35"/>
      <c r="D1379" s="35"/>
      <c r="E1379" s="35"/>
      <c r="F1379" s="35"/>
      <c r="G1379" s="35"/>
      <c r="H1379" s="35"/>
      <c r="I1379" s="35"/>
      <c r="J1379" s="35"/>
      <c r="K1379" s="35"/>
      <c r="L1379" s="35"/>
      <c r="M1379" s="35"/>
      <c r="N1379" s="35"/>
      <c r="O1379" s="35"/>
      <c r="P1379" s="35"/>
      <c r="Q1379" s="35"/>
      <c r="R1379" s="35"/>
      <c r="S1379" s="35"/>
      <c r="T1379" s="35"/>
      <c r="U1379" s="35"/>
      <c r="V1379" s="35"/>
      <c r="W1379" s="35"/>
      <c r="X1379" s="35"/>
      <c r="Y1379" s="35"/>
      <c r="Z1379" s="35"/>
      <c r="AA1379" s="35"/>
      <c r="AB1379" s="35"/>
      <c r="AC1379" s="35"/>
      <c r="AD1379" s="35"/>
      <c r="AE1379" s="35"/>
      <c r="AF1379" s="35"/>
      <c r="AG1379" s="35"/>
      <c r="AH1379" s="35"/>
      <c r="AI1379" s="35"/>
      <c r="AJ1379" s="35"/>
      <c r="AK1379" s="35"/>
      <c r="AL1379" s="35"/>
      <c r="AM1379" s="35"/>
      <c r="AN1379" s="35"/>
      <c r="AO1379" s="35"/>
      <c r="AP1379" s="35"/>
      <c r="AQ1379" s="35"/>
      <c r="AR1379" s="35"/>
      <c r="AS1379" s="35"/>
      <c r="AT1379" s="35"/>
      <c r="AU1379" s="35"/>
      <c r="AV1379" s="35"/>
      <c r="AW1379" s="35"/>
      <c r="AX1379" s="35"/>
      <c r="AY1379" s="35"/>
      <c r="AZ1379" s="35"/>
      <c r="BA1379" s="35"/>
      <c r="BB1379" s="35"/>
      <c r="BC1379" s="35"/>
      <c r="BD1379" s="35"/>
      <c r="BE1379" s="35"/>
      <c r="BF1379" s="35"/>
      <c r="BG1379" s="35"/>
    </row>
    <row r="1380" ht="15.75" customHeight="1">
      <c r="A1380" s="35"/>
      <c r="B1380" s="35"/>
      <c r="C1380" s="35"/>
      <c r="D1380" s="35"/>
      <c r="E1380" s="35"/>
      <c r="F1380" s="35"/>
      <c r="G1380" s="35"/>
      <c r="H1380" s="35"/>
      <c r="I1380" s="35"/>
      <c r="J1380" s="35"/>
      <c r="K1380" s="35"/>
      <c r="L1380" s="35"/>
      <c r="M1380" s="35"/>
      <c r="N1380" s="35"/>
      <c r="O1380" s="35"/>
      <c r="P1380" s="35"/>
      <c r="Q1380" s="35"/>
      <c r="R1380" s="35"/>
      <c r="S1380" s="35"/>
      <c r="T1380" s="35"/>
      <c r="U1380" s="35"/>
      <c r="V1380" s="35"/>
      <c r="W1380" s="35"/>
      <c r="X1380" s="35"/>
      <c r="Y1380" s="35"/>
      <c r="Z1380" s="35"/>
      <c r="AA1380" s="35"/>
      <c r="AB1380" s="35"/>
      <c r="AC1380" s="35"/>
      <c r="AD1380" s="35"/>
      <c r="AE1380" s="35"/>
      <c r="AF1380" s="35"/>
      <c r="AG1380" s="35"/>
      <c r="AH1380" s="35"/>
      <c r="AI1380" s="35"/>
      <c r="AJ1380" s="35"/>
      <c r="AK1380" s="35"/>
      <c r="AL1380" s="35"/>
      <c r="AM1380" s="35"/>
      <c r="AN1380" s="35"/>
      <c r="AO1380" s="35"/>
      <c r="AP1380" s="35"/>
      <c r="AQ1380" s="35"/>
      <c r="AR1380" s="35"/>
      <c r="AS1380" s="35"/>
      <c r="AT1380" s="35"/>
      <c r="AU1380" s="35"/>
      <c r="AV1380" s="35"/>
      <c r="AW1380" s="35"/>
      <c r="AX1380" s="35"/>
      <c r="AY1380" s="35"/>
      <c r="AZ1380" s="35"/>
      <c r="BA1380" s="35"/>
      <c r="BB1380" s="35"/>
      <c r="BC1380" s="35"/>
      <c r="BD1380" s="35"/>
      <c r="BE1380" s="35"/>
      <c r="BF1380" s="35"/>
      <c r="BG1380" s="35"/>
    </row>
    <row r="1381" ht="15.75" customHeight="1">
      <c r="A1381" s="35"/>
      <c r="B1381" s="35"/>
      <c r="C1381" s="35"/>
      <c r="D1381" s="35"/>
      <c r="E1381" s="35"/>
      <c r="F1381" s="35"/>
      <c r="G1381" s="35"/>
      <c r="H1381" s="35"/>
      <c r="I1381" s="35"/>
      <c r="J1381" s="35"/>
      <c r="K1381" s="35"/>
      <c r="L1381" s="35"/>
      <c r="M1381" s="35"/>
      <c r="N1381" s="35"/>
      <c r="O1381" s="35"/>
      <c r="P1381" s="35"/>
      <c r="Q1381" s="35"/>
      <c r="R1381" s="35"/>
      <c r="S1381" s="35"/>
      <c r="T1381" s="35"/>
      <c r="U1381" s="35"/>
      <c r="V1381" s="35"/>
      <c r="W1381" s="35"/>
      <c r="X1381" s="35"/>
      <c r="Y1381" s="35"/>
      <c r="Z1381" s="35"/>
      <c r="AA1381" s="35"/>
      <c r="AB1381" s="35"/>
      <c r="AC1381" s="35"/>
      <c r="AD1381" s="35"/>
      <c r="AE1381" s="35"/>
      <c r="AF1381" s="35"/>
      <c r="AG1381" s="35"/>
      <c r="AH1381" s="35"/>
      <c r="AI1381" s="35"/>
      <c r="AJ1381" s="35"/>
      <c r="AK1381" s="35"/>
      <c r="AL1381" s="35"/>
      <c r="AM1381" s="35"/>
      <c r="AN1381" s="35"/>
      <c r="AO1381" s="35"/>
      <c r="AP1381" s="35"/>
      <c r="AQ1381" s="35"/>
      <c r="AR1381" s="35"/>
      <c r="AS1381" s="35"/>
      <c r="AT1381" s="35"/>
      <c r="AU1381" s="35"/>
      <c r="AV1381" s="35"/>
      <c r="AW1381" s="35"/>
      <c r="AX1381" s="35"/>
      <c r="AY1381" s="35"/>
      <c r="AZ1381" s="35"/>
      <c r="BA1381" s="35"/>
      <c r="BB1381" s="35"/>
      <c r="BC1381" s="35"/>
      <c r="BD1381" s="35"/>
      <c r="BE1381" s="35"/>
      <c r="BF1381" s="35"/>
      <c r="BG1381" s="35"/>
    </row>
    <row r="1382" ht="15.75" customHeight="1">
      <c r="A1382" s="35"/>
      <c r="B1382" s="35"/>
      <c r="C1382" s="35"/>
      <c r="D1382" s="35"/>
      <c r="E1382" s="35"/>
      <c r="F1382" s="35"/>
      <c r="G1382" s="35"/>
      <c r="H1382" s="35"/>
      <c r="I1382" s="35"/>
      <c r="J1382" s="35"/>
      <c r="K1382" s="35"/>
      <c r="L1382" s="35"/>
      <c r="M1382" s="35"/>
      <c r="N1382" s="35"/>
      <c r="O1382" s="35"/>
      <c r="P1382" s="35"/>
      <c r="Q1382" s="35"/>
      <c r="R1382" s="35"/>
      <c r="S1382" s="35"/>
      <c r="T1382" s="35"/>
      <c r="U1382" s="35"/>
      <c r="V1382" s="35"/>
      <c r="W1382" s="35"/>
      <c r="X1382" s="35"/>
      <c r="Y1382" s="35"/>
      <c r="Z1382" s="35"/>
      <c r="AA1382" s="35"/>
      <c r="AB1382" s="35"/>
      <c r="AC1382" s="35"/>
      <c r="AD1382" s="35"/>
      <c r="AE1382" s="35"/>
      <c r="AF1382" s="35"/>
      <c r="AG1382" s="35"/>
      <c r="AH1382" s="35"/>
      <c r="AI1382" s="35"/>
      <c r="AJ1382" s="35"/>
      <c r="AK1382" s="35"/>
      <c r="AL1382" s="35"/>
      <c r="AM1382" s="35"/>
      <c r="AN1382" s="35"/>
      <c r="AO1382" s="35"/>
      <c r="AP1382" s="35"/>
      <c r="AQ1382" s="35"/>
      <c r="AR1382" s="35"/>
      <c r="AS1382" s="35"/>
      <c r="AT1382" s="35"/>
      <c r="AU1382" s="35"/>
      <c r="AV1382" s="35"/>
      <c r="AW1382" s="35"/>
      <c r="AX1382" s="35"/>
      <c r="AY1382" s="35"/>
      <c r="AZ1382" s="35"/>
      <c r="BA1382" s="35"/>
      <c r="BB1382" s="35"/>
      <c r="BC1382" s="35"/>
      <c r="BD1382" s="35"/>
      <c r="BE1382" s="35"/>
      <c r="BF1382" s="35"/>
      <c r="BG1382" s="35"/>
    </row>
    <row r="1383" ht="15.75" customHeight="1">
      <c r="A1383" s="35"/>
      <c r="B1383" s="35"/>
      <c r="C1383" s="35"/>
      <c r="D1383" s="35"/>
      <c r="E1383" s="35"/>
      <c r="F1383" s="35"/>
      <c r="G1383" s="35"/>
      <c r="H1383" s="35"/>
      <c r="I1383" s="35"/>
      <c r="J1383" s="35"/>
      <c r="K1383" s="35"/>
      <c r="L1383" s="35"/>
      <c r="M1383" s="35"/>
      <c r="N1383" s="35"/>
      <c r="O1383" s="35"/>
      <c r="P1383" s="35"/>
      <c r="Q1383" s="35"/>
      <c r="R1383" s="35"/>
      <c r="S1383" s="35"/>
      <c r="T1383" s="35"/>
      <c r="U1383" s="35"/>
      <c r="V1383" s="35"/>
      <c r="W1383" s="35"/>
      <c r="X1383" s="35"/>
      <c r="Y1383" s="35"/>
      <c r="Z1383" s="35"/>
      <c r="AA1383" s="35"/>
      <c r="AB1383" s="35"/>
      <c r="AC1383" s="35"/>
      <c r="AD1383" s="35"/>
      <c r="AE1383" s="35"/>
      <c r="AF1383" s="35"/>
      <c r="AG1383" s="35"/>
      <c r="AH1383" s="35"/>
      <c r="AI1383" s="35"/>
      <c r="AJ1383" s="35"/>
      <c r="AK1383" s="35"/>
      <c r="AL1383" s="35"/>
      <c r="AM1383" s="35"/>
      <c r="AN1383" s="35"/>
      <c r="AO1383" s="35"/>
      <c r="AP1383" s="35"/>
      <c r="AQ1383" s="35"/>
      <c r="AR1383" s="35"/>
      <c r="AS1383" s="35"/>
      <c r="AT1383" s="35"/>
      <c r="AU1383" s="35"/>
      <c r="AV1383" s="35"/>
      <c r="AW1383" s="35"/>
      <c r="AX1383" s="35"/>
      <c r="AY1383" s="35"/>
      <c r="AZ1383" s="35"/>
      <c r="BA1383" s="35"/>
      <c r="BB1383" s="35"/>
      <c r="BC1383" s="35"/>
      <c r="BD1383" s="35"/>
      <c r="BE1383" s="35"/>
      <c r="BF1383" s="35"/>
      <c r="BG1383" s="35"/>
    </row>
    <row r="1384" ht="15.75" customHeight="1">
      <c r="A1384" s="35"/>
      <c r="B1384" s="35"/>
      <c r="C1384" s="35"/>
      <c r="D1384" s="35"/>
      <c r="E1384" s="35"/>
      <c r="F1384" s="35"/>
      <c r="G1384" s="35"/>
      <c r="H1384" s="35"/>
      <c r="I1384" s="35"/>
      <c r="J1384" s="35"/>
      <c r="K1384" s="35"/>
      <c r="L1384" s="35"/>
      <c r="M1384" s="35"/>
      <c r="N1384" s="35"/>
      <c r="O1384" s="35"/>
      <c r="P1384" s="35"/>
      <c r="Q1384" s="35"/>
      <c r="R1384" s="35"/>
      <c r="S1384" s="35"/>
      <c r="T1384" s="35"/>
      <c r="U1384" s="35"/>
      <c r="V1384" s="35"/>
      <c r="W1384" s="35"/>
      <c r="X1384" s="35"/>
      <c r="Y1384" s="35"/>
      <c r="Z1384" s="35"/>
      <c r="AA1384" s="35"/>
      <c r="AB1384" s="35"/>
      <c r="AC1384" s="35"/>
      <c r="AD1384" s="35"/>
      <c r="AE1384" s="35"/>
      <c r="AF1384" s="35"/>
      <c r="AG1384" s="35"/>
      <c r="AH1384" s="35"/>
      <c r="AI1384" s="35"/>
      <c r="AJ1384" s="35"/>
      <c r="AK1384" s="35"/>
      <c r="AL1384" s="35"/>
      <c r="AM1384" s="35"/>
      <c r="AN1384" s="35"/>
      <c r="AO1384" s="35"/>
      <c r="AP1384" s="35"/>
      <c r="AQ1384" s="35"/>
      <c r="AR1384" s="35"/>
      <c r="AS1384" s="35"/>
      <c r="AT1384" s="35"/>
      <c r="AU1384" s="35"/>
      <c r="AV1384" s="35"/>
      <c r="AW1384" s="35"/>
      <c r="AX1384" s="35"/>
      <c r="AY1384" s="35"/>
      <c r="AZ1384" s="35"/>
      <c r="BA1384" s="35"/>
      <c r="BB1384" s="35"/>
      <c r="BC1384" s="35"/>
      <c r="BD1384" s="35"/>
      <c r="BE1384" s="35"/>
      <c r="BF1384" s="35"/>
      <c r="BG1384" s="35"/>
    </row>
    <row r="1385" ht="15.75" customHeight="1">
      <c r="A1385" s="35"/>
      <c r="B1385" s="35"/>
      <c r="C1385" s="35"/>
      <c r="D1385" s="35"/>
      <c r="E1385" s="35"/>
      <c r="F1385" s="35"/>
      <c r="G1385" s="35"/>
      <c r="H1385" s="35"/>
      <c r="I1385" s="35"/>
      <c r="J1385" s="35"/>
      <c r="K1385" s="35"/>
      <c r="L1385" s="35"/>
      <c r="M1385" s="35"/>
      <c r="N1385" s="35"/>
      <c r="O1385" s="35"/>
      <c r="P1385" s="35"/>
      <c r="Q1385" s="35"/>
      <c r="R1385" s="35"/>
      <c r="S1385" s="35"/>
      <c r="T1385" s="35"/>
      <c r="U1385" s="35"/>
      <c r="V1385" s="35"/>
      <c r="W1385" s="35"/>
      <c r="X1385" s="35"/>
      <c r="Y1385" s="35"/>
      <c r="Z1385" s="35"/>
      <c r="AA1385" s="35"/>
      <c r="AB1385" s="35"/>
      <c r="AC1385" s="35"/>
      <c r="AD1385" s="35"/>
      <c r="AE1385" s="35"/>
      <c r="AF1385" s="35"/>
      <c r="AG1385" s="35"/>
      <c r="AH1385" s="35"/>
      <c r="AI1385" s="35"/>
      <c r="AJ1385" s="35"/>
      <c r="AK1385" s="35"/>
      <c r="AL1385" s="35"/>
      <c r="AM1385" s="35"/>
      <c r="AN1385" s="35"/>
      <c r="AO1385" s="35"/>
      <c r="AP1385" s="35"/>
      <c r="AQ1385" s="35"/>
      <c r="AR1385" s="35"/>
      <c r="AS1385" s="35"/>
      <c r="AT1385" s="35"/>
      <c r="AU1385" s="35"/>
      <c r="AV1385" s="35"/>
      <c r="AW1385" s="35"/>
      <c r="AX1385" s="35"/>
      <c r="AY1385" s="35"/>
      <c r="AZ1385" s="35"/>
      <c r="BA1385" s="35"/>
      <c r="BB1385" s="35"/>
      <c r="BC1385" s="35"/>
      <c r="BD1385" s="35"/>
      <c r="BE1385" s="35"/>
      <c r="BF1385" s="35"/>
      <c r="BG1385" s="35"/>
    </row>
    <row r="1386" ht="15.75" customHeight="1">
      <c r="A1386" s="35"/>
      <c r="B1386" s="35"/>
      <c r="C1386" s="35"/>
      <c r="D1386" s="35"/>
      <c r="E1386" s="35"/>
      <c r="F1386" s="35"/>
      <c r="G1386" s="35"/>
      <c r="H1386" s="35"/>
      <c r="I1386" s="35"/>
      <c r="J1386" s="35"/>
      <c r="K1386" s="35"/>
      <c r="L1386" s="35"/>
      <c r="M1386" s="35"/>
      <c r="N1386" s="35"/>
      <c r="O1386" s="35"/>
      <c r="P1386" s="35"/>
      <c r="Q1386" s="35"/>
      <c r="R1386" s="35"/>
      <c r="S1386" s="35"/>
      <c r="T1386" s="35"/>
      <c r="U1386" s="35"/>
      <c r="V1386" s="35"/>
      <c r="W1386" s="35"/>
      <c r="X1386" s="35"/>
      <c r="Y1386" s="35"/>
      <c r="Z1386" s="35"/>
      <c r="AA1386" s="35"/>
      <c r="AB1386" s="35"/>
      <c r="AC1386" s="35"/>
      <c r="AD1386" s="35"/>
      <c r="AE1386" s="35"/>
      <c r="AF1386" s="35"/>
      <c r="AG1386" s="35"/>
      <c r="AH1386" s="35"/>
      <c r="AI1386" s="35"/>
      <c r="AJ1386" s="35"/>
      <c r="AK1386" s="35"/>
      <c r="AL1386" s="35"/>
      <c r="AM1386" s="35"/>
      <c r="AN1386" s="35"/>
      <c r="AO1386" s="35"/>
      <c r="AP1386" s="35"/>
      <c r="AQ1386" s="35"/>
      <c r="AR1386" s="35"/>
      <c r="AS1386" s="35"/>
      <c r="AT1386" s="35"/>
      <c r="AU1386" s="35"/>
      <c r="AV1386" s="35"/>
      <c r="AW1386" s="35"/>
      <c r="AX1386" s="35"/>
      <c r="AY1386" s="35"/>
      <c r="AZ1386" s="35"/>
      <c r="BA1386" s="35"/>
      <c r="BB1386" s="35"/>
      <c r="BC1386" s="35"/>
      <c r="BD1386" s="35"/>
      <c r="BE1386" s="35"/>
      <c r="BF1386" s="35"/>
      <c r="BG1386" s="35"/>
    </row>
    <row r="1387" ht="15.75" customHeight="1">
      <c r="A1387" s="35"/>
      <c r="B1387" s="35"/>
      <c r="C1387" s="35"/>
      <c r="D1387" s="35"/>
      <c r="E1387" s="35"/>
      <c r="F1387" s="35"/>
      <c r="G1387" s="35"/>
      <c r="H1387" s="35"/>
      <c r="I1387" s="35"/>
      <c r="J1387" s="35"/>
      <c r="K1387" s="35"/>
      <c r="L1387" s="35"/>
      <c r="M1387" s="35"/>
      <c r="N1387" s="35"/>
      <c r="O1387" s="35"/>
      <c r="P1387" s="35"/>
      <c r="Q1387" s="35"/>
      <c r="R1387" s="35"/>
      <c r="S1387" s="35"/>
      <c r="T1387" s="35"/>
      <c r="U1387" s="35"/>
      <c r="V1387" s="35"/>
      <c r="W1387" s="35"/>
      <c r="X1387" s="35"/>
      <c r="Y1387" s="35"/>
      <c r="Z1387" s="35"/>
      <c r="AA1387" s="35"/>
      <c r="AB1387" s="35"/>
      <c r="AC1387" s="35"/>
      <c r="AD1387" s="35"/>
      <c r="AE1387" s="35"/>
      <c r="AF1387" s="35"/>
      <c r="AG1387" s="35"/>
      <c r="AH1387" s="35"/>
      <c r="AI1387" s="35"/>
      <c r="AJ1387" s="35"/>
      <c r="AK1387" s="35"/>
      <c r="AL1387" s="35"/>
      <c r="AM1387" s="35"/>
      <c r="AN1387" s="35"/>
      <c r="AO1387" s="35"/>
      <c r="AP1387" s="35"/>
      <c r="AQ1387" s="35"/>
      <c r="AR1387" s="35"/>
      <c r="AS1387" s="35"/>
      <c r="AT1387" s="35"/>
      <c r="AU1387" s="35"/>
      <c r="AV1387" s="35"/>
      <c r="AW1387" s="35"/>
      <c r="AX1387" s="35"/>
      <c r="AY1387" s="35"/>
      <c r="AZ1387" s="35"/>
      <c r="BA1387" s="35"/>
      <c r="BB1387" s="35"/>
      <c r="BC1387" s="35"/>
      <c r="BD1387" s="35"/>
      <c r="BE1387" s="35"/>
      <c r="BF1387" s="35"/>
      <c r="BG1387" s="35"/>
    </row>
    <row r="1388" ht="15.75" customHeight="1">
      <c r="A1388" s="35"/>
      <c r="B1388" s="35"/>
      <c r="C1388" s="35"/>
      <c r="D1388" s="35"/>
      <c r="E1388" s="35"/>
      <c r="F1388" s="35"/>
      <c r="G1388" s="35"/>
      <c r="H1388" s="35"/>
      <c r="I1388" s="35"/>
      <c r="J1388" s="35"/>
      <c r="K1388" s="35"/>
      <c r="L1388" s="35"/>
      <c r="M1388" s="35"/>
      <c r="N1388" s="35"/>
      <c r="O1388" s="35"/>
      <c r="P1388" s="35"/>
      <c r="Q1388" s="35"/>
      <c r="R1388" s="35"/>
      <c r="S1388" s="35"/>
      <c r="T1388" s="35"/>
      <c r="U1388" s="35"/>
      <c r="V1388" s="35"/>
      <c r="W1388" s="35"/>
      <c r="X1388" s="35"/>
      <c r="Y1388" s="35"/>
      <c r="Z1388" s="35"/>
      <c r="AA1388" s="35"/>
      <c r="AB1388" s="35"/>
      <c r="AC1388" s="35"/>
      <c r="AD1388" s="35"/>
      <c r="AE1388" s="35"/>
      <c r="AF1388" s="35"/>
      <c r="AG1388" s="35"/>
      <c r="AH1388" s="35"/>
      <c r="AI1388" s="35"/>
      <c r="AJ1388" s="35"/>
      <c r="AK1388" s="35"/>
      <c r="AL1388" s="35"/>
      <c r="AM1388" s="35"/>
      <c r="AN1388" s="35"/>
      <c r="AO1388" s="35"/>
      <c r="AP1388" s="35"/>
      <c r="AQ1388" s="35"/>
      <c r="AR1388" s="35"/>
      <c r="AS1388" s="35"/>
      <c r="AT1388" s="35"/>
      <c r="AU1388" s="35"/>
      <c r="AV1388" s="35"/>
      <c r="AW1388" s="35"/>
      <c r="AX1388" s="35"/>
      <c r="AY1388" s="35"/>
      <c r="AZ1388" s="35"/>
      <c r="BA1388" s="35"/>
      <c r="BB1388" s="35"/>
      <c r="BC1388" s="35"/>
      <c r="BD1388" s="35"/>
      <c r="BE1388" s="35"/>
      <c r="BF1388" s="35"/>
      <c r="BG1388" s="35"/>
    </row>
    <row r="1389" ht="15.75" customHeight="1">
      <c r="A1389" s="35"/>
      <c r="B1389" s="35"/>
      <c r="C1389" s="35"/>
      <c r="D1389" s="35"/>
      <c r="E1389" s="35"/>
      <c r="F1389" s="35"/>
      <c r="G1389" s="35"/>
      <c r="H1389" s="35"/>
      <c r="I1389" s="35"/>
      <c r="J1389" s="35"/>
      <c r="K1389" s="35"/>
      <c r="L1389" s="35"/>
      <c r="M1389" s="35"/>
      <c r="N1389" s="35"/>
      <c r="O1389" s="35"/>
      <c r="P1389" s="35"/>
      <c r="Q1389" s="35"/>
      <c r="R1389" s="35"/>
      <c r="S1389" s="35"/>
      <c r="T1389" s="35"/>
      <c r="U1389" s="35"/>
      <c r="V1389" s="35"/>
      <c r="W1389" s="35"/>
      <c r="X1389" s="35"/>
      <c r="Y1389" s="35"/>
      <c r="Z1389" s="35"/>
      <c r="AA1389" s="35"/>
      <c r="AB1389" s="35"/>
      <c r="AC1389" s="35"/>
      <c r="AD1389" s="35"/>
      <c r="AE1389" s="35"/>
      <c r="AF1389" s="35"/>
      <c r="AG1389" s="35"/>
      <c r="AH1389" s="35"/>
      <c r="AI1389" s="35"/>
      <c r="AJ1389" s="35"/>
      <c r="AK1389" s="35"/>
      <c r="AL1389" s="35"/>
      <c r="AM1389" s="35"/>
      <c r="AN1389" s="35"/>
      <c r="AO1389" s="35"/>
      <c r="AP1389" s="35"/>
      <c r="AQ1389" s="35"/>
      <c r="AR1389" s="35"/>
      <c r="AS1389" s="35"/>
      <c r="AT1389" s="35"/>
      <c r="AU1389" s="35"/>
      <c r="AV1389" s="35"/>
      <c r="AW1389" s="35"/>
      <c r="AX1389" s="35"/>
      <c r="AY1389" s="35"/>
      <c r="AZ1389" s="35"/>
      <c r="BA1389" s="35"/>
      <c r="BB1389" s="35"/>
      <c r="BC1389" s="35"/>
      <c r="BD1389" s="35"/>
      <c r="BE1389" s="35"/>
      <c r="BF1389" s="35"/>
      <c r="BG1389" s="35"/>
    </row>
    <row r="1390" ht="15.75" customHeight="1">
      <c r="A1390" s="35"/>
      <c r="B1390" s="35"/>
      <c r="C1390" s="35"/>
      <c r="D1390" s="35"/>
      <c r="E1390" s="35"/>
      <c r="F1390" s="35"/>
      <c r="G1390" s="35"/>
      <c r="H1390" s="35"/>
      <c r="I1390" s="35"/>
      <c r="J1390" s="35"/>
      <c r="K1390" s="35"/>
      <c r="L1390" s="35"/>
      <c r="M1390" s="35"/>
      <c r="N1390" s="35"/>
      <c r="O1390" s="35"/>
      <c r="P1390" s="35"/>
      <c r="Q1390" s="35"/>
      <c r="R1390" s="35"/>
      <c r="S1390" s="35"/>
      <c r="T1390" s="35"/>
      <c r="U1390" s="35"/>
      <c r="V1390" s="35"/>
      <c r="W1390" s="35"/>
      <c r="X1390" s="35"/>
      <c r="Y1390" s="35"/>
      <c r="Z1390" s="35"/>
      <c r="AA1390" s="35"/>
      <c r="AB1390" s="35"/>
      <c r="AC1390" s="35"/>
      <c r="AD1390" s="35"/>
      <c r="AE1390" s="35"/>
      <c r="AF1390" s="35"/>
      <c r="AG1390" s="35"/>
      <c r="AH1390" s="35"/>
      <c r="AI1390" s="35"/>
      <c r="AJ1390" s="35"/>
      <c r="AK1390" s="35"/>
      <c r="AL1390" s="35"/>
      <c r="AM1390" s="35"/>
      <c r="AN1390" s="35"/>
      <c r="AO1390" s="35"/>
      <c r="AP1390" s="35"/>
      <c r="AQ1390" s="35"/>
      <c r="AR1390" s="35"/>
      <c r="AS1390" s="35"/>
      <c r="AT1390" s="35"/>
      <c r="AU1390" s="35"/>
      <c r="AV1390" s="35"/>
      <c r="AW1390" s="35"/>
      <c r="AX1390" s="35"/>
      <c r="AY1390" s="35"/>
      <c r="AZ1390" s="35"/>
      <c r="BA1390" s="35"/>
      <c r="BB1390" s="35"/>
      <c r="BC1390" s="35"/>
      <c r="BD1390" s="35"/>
      <c r="BE1390" s="35"/>
      <c r="BF1390" s="35"/>
      <c r="BG1390" s="35"/>
    </row>
    <row r="1391" ht="15.75" customHeight="1">
      <c r="A1391" s="35"/>
      <c r="B1391" s="35"/>
      <c r="C1391" s="35"/>
      <c r="D1391" s="35"/>
      <c r="E1391" s="35"/>
      <c r="F1391" s="35"/>
      <c r="G1391" s="35"/>
      <c r="H1391" s="35"/>
      <c r="I1391" s="35"/>
      <c r="J1391" s="35"/>
      <c r="K1391" s="35"/>
      <c r="L1391" s="35"/>
      <c r="M1391" s="35"/>
      <c r="N1391" s="35"/>
      <c r="O1391" s="35"/>
      <c r="P1391" s="35"/>
      <c r="Q1391" s="35"/>
      <c r="R1391" s="35"/>
      <c r="S1391" s="35"/>
      <c r="T1391" s="35"/>
      <c r="U1391" s="35"/>
      <c r="V1391" s="35"/>
      <c r="W1391" s="35"/>
      <c r="X1391" s="35"/>
      <c r="Y1391" s="35"/>
      <c r="Z1391" s="35"/>
      <c r="AA1391" s="35"/>
      <c r="AB1391" s="35"/>
      <c r="AC1391" s="35"/>
      <c r="AD1391" s="35"/>
      <c r="AE1391" s="35"/>
      <c r="AF1391" s="35"/>
      <c r="AG1391" s="35"/>
      <c r="AH1391" s="35"/>
      <c r="AI1391" s="35"/>
      <c r="AJ1391" s="35"/>
      <c r="AK1391" s="35"/>
      <c r="AL1391" s="35"/>
      <c r="AM1391" s="35"/>
      <c r="AN1391" s="35"/>
      <c r="AO1391" s="35"/>
      <c r="AP1391" s="35"/>
      <c r="AQ1391" s="35"/>
      <c r="AR1391" s="35"/>
      <c r="AS1391" s="35"/>
      <c r="AT1391" s="35"/>
      <c r="AU1391" s="35"/>
      <c r="AV1391" s="35"/>
      <c r="AW1391" s="35"/>
      <c r="AX1391" s="35"/>
      <c r="AY1391" s="35"/>
      <c r="AZ1391" s="35"/>
      <c r="BA1391" s="35"/>
      <c r="BB1391" s="35"/>
      <c r="BC1391" s="35"/>
      <c r="BD1391" s="35"/>
      <c r="BE1391" s="35"/>
      <c r="BF1391" s="35"/>
      <c r="BG1391" s="35"/>
    </row>
    <row r="1392" ht="15.75" customHeight="1">
      <c r="A1392" s="35"/>
      <c r="B1392" s="35"/>
      <c r="C1392" s="35"/>
      <c r="D1392" s="35"/>
      <c r="E1392" s="35"/>
      <c r="F1392" s="35"/>
      <c r="G1392" s="35"/>
      <c r="H1392" s="35"/>
      <c r="I1392" s="35"/>
      <c r="J1392" s="35"/>
      <c r="K1392" s="35"/>
      <c r="L1392" s="35"/>
      <c r="M1392" s="35"/>
      <c r="N1392" s="35"/>
      <c r="O1392" s="35"/>
      <c r="P1392" s="35"/>
      <c r="Q1392" s="35"/>
      <c r="R1392" s="35"/>
      <c r="S1392" s="35"/>
      <c r="T1392" s="35"/>
      <c r="U1392" s="35"/>
      <c r="V1392" s="35"/>
      <c r="W1392" s="35"/>
      <c r="X1392" s="35"/>
      <c r="Y1392" s="35"/>
      <c r="Z1392" s="35"/>
      <c r="AA1392" s="35"/>
      <c r="AB1392" s="35"/>
      <c r="AC1392" s="35"/>
      <c r="AD1392" s="35"/>
      <c r="AE1392" s="35"/>
      <c r="AF1392" s="35"/>
      <c r="AG1392" s="35"/>
      <c r="AH1392" s="35"/>
      <c r="AI1392" s="35"/>
      <c r="AJ1392" s="35"/>
      <c r="AK1392" s="35"/>
      <c r="AL1392" s="35"/>
      <c r="AM1392" s="35"/>
      <c r="AN1392" s="35"/>
      <c r="AO1392" s="35"/>
      <c r="AP1392" s="35"/>
      <c r="AQ1392" s="35"/>
      <c r="AR1392" s="35"/>
      <c r="AS1392" s="35"/>
      <c r="AT1392" s="35"/>
      <c r="AU1392" s="35"/>
      <c r="AV1392" s="35"/>
      <c r="AW1392" s="35"/>
      <c r="AX1392" s="35"/>
      <c r="AY1392" s="35"/>
      <c r="AZ1392" s="35"/>
      <c r="BA1392" s="35"/>
      <c r="BB1392" s="35"/>
      <c r="BC1392" s="35"/>
      <c r="BD1392" s="35"/>
      <c r="BE1392" s="35"/>
      <c r="BF1392" s="35"/>
      <c r="BG1392" s="35"/>
    </row>
    <row r="1393" ht="15.75" customHeight="1">
      <c r="A1393" s="35"/>
      <c r="B1393" s="35"/>
      <c r="C1393" s="35"/>
      <c r="D1393" s="35"/>
      <c r="E1393" s="35"/>
      <c r="F1393" s="35"/>
      <c r="G1393" s="35"/>
      <c r="H1393" s="35"/>
      <c r="I1393" s="35"/>
      <c r="J1393" s="35"/>
      <c r="K1393" s="35"/>
      <c r="L1393" s="35"/>
      <c r="M1393" s="35"/>
      <c r="N1393" s="35"/>
      <c r="O1393" s="35"/>
      <c r="P1393" s="35"/>
      <c r="Q1393" s="35"/>
      <c r="R1393" s="35"/>
      <c r="S1393" s="35"/>
      <c r="T1393" s="35"/>
      <c r="U1393" s="35"/>
      <c r="V1393" s="35"/>
      <c r="W1393" s="35"/>
      <c r="X1393" s="35"/>
      <c r="Y1393" s="35"/>
      <c r="Z1393" s="35"/>
      <c r="AA1393" s="35"/>
      <c r="AB1393" s="35"/>
      <c r="AC1393" s="35"/>
      <c r="AD1393" s="35"/>
      <c r="AE1393" s="35"/>
      <c r="AF1393" s="35"/>
      <c r="AG1393" s="35"/>
      <c r="AH1393" s="35"/>
      <c r="AI1393" s="35"/>
      <c r="AJ1393" s="35"/>
      <c r="AK1393" s="35"/>
      <c r="AL1393" s="35"/>
      <c r="AM1393" s="35"/>
      <c r="AN1393" s="35"/>
      <c r="AO1393" s="35"/>
      <c r="AP1393" s="35"/>
      <c r="AQ1393" s="35"/>
      <c r="AR1393" s="35"/>
      <c r="AS1393" s="35"/>
      <c r="AT1393" s="35"/>
      <c r="AU1393" s="35"/>
      <c r="AV1393" s="35"/>
      <c r="AW1393" s="35"/>
      <c r="AX1393" s="35"/>
      <c r="AY1393" s="35"/>
      <c r="AZ1393" s="35"/>
      <c r="BA1393" s="35"/>
      <c r="BB1393" s="35"/>
      <c r="BC1393" s="35"/>
      <c r="BD1393" s="35"/>
      <c r="BE1393" s="35"/>
      <c r="BF1393" s="35"/>
      <c r="BG1393" s="35"/>
    </row>
    <row r="1394" ht="15.75" customHeight="1">
      <c r="A1394" s="35"/>
      <c r="B1394" s="35"/>
      <c r="C1394" s="35"/>
      <c r="D1394" s="35"/>
      <c r="E1394" s="35"/>
      <c r="F1394" s="35"/>
      <c r="G1394" s="35"/>
      <c r="H1394" s="35"/>
      <c r="I1394" s="35"/>
      <c r="J1394" s="35"/>
      <c r="K1394" s="35"/>
      <c r="L1394" s="35"/>
      <c r="M1394" s="35"/>
      <c r="N1394" s="35"/>
      <c r="O1394" s="35"/>
      <c r="P1394" s="35"/>
      <c r="Q1394" s="35"/>
      <c r="R1394" s="35"/>
      <c r="S1394" s="35"/>
      <c r="T1394" s="35"/>
      <c r="U1394" s="35"/>
      <c r="V1394" s="35"/>
      <c r="W1394" s="35"/>
      <c r="X1394" s="35"/>
      <c r="Y1394" s="35"/>
      <c r="Z1394" s="35"/>
      <c r="AA1394" s="35"/>
      <c r="AB1394" s="35"/>
      <c r="AC1394" s="35"/>
      <c r="AD1394" s="35"/>
      <c r="AE1394" s="35"/>
      <c r="AF1394" s="35"/>
      <c r="AG1394" s="35"/>
      <c r="AH1394" s="35"/>
      <c r="AI1394" s="35"/>
      <c r="AJ1394" s="35"/>
      <c r="AK1394" s="35"/>
      <c r="AL1394" s="35"/>
      <c r="AM1394" s="35"/>
      <c r="AN1394" s="35"/>
      <c r="AO1394" s="35"/>
      <c r="AP1394" s="35"/>
      <c r="AQ1394" s="35"/>
      <c r="AR1394" s="35"/>
      <c r="AS1394" s="35"/>
      <c r="AT1394" s="35"/>
      <c r="AU1394" s="35"/>
      <c r="AV1394" s="35"/>
      <c r="AW1394" s="35"/>
      <c r="AX1394" s="35"/>
      <c r="AY1394" s="35"/>
      <c r="AZ1394" s="35"/>
      <c r="BA1394" s="35"/>
      <c r="BB1394" s="35"/>
      <c r="BC1394" s="35"/>
      <c r="BD1394" s="35"/>
      <c r="BE1394" s="35"/>
      <c r="BF1394" s="35"/>
      <c r="BG1394" s="35"/>
    </row>
    <row r="1395" ht="15.75" customHeight="1">
      <c r="A1395" s="35"/>
      <c r="B1395" s="35"/>
      <c r="C1395" s="35"/>
      <c r="D1395" s="35"/>
      <c r="E1395" s="35"/>
      <c r="F1395" s="35"/>
      <c r="G1395" s="35"/>
      <c r="H1395" s="35"/>
      <c r="I1395" s="35"/>
      <c r="J1395" s="35"/>
      <c r="K1395" s="35"/>
      <c r="L1395" s="35"/>
      <c r="M1395" s="35"/>
      <c r="N1395" s="35"/>
      <c r="O1395" s="35"/>
      <c r="P1395" s="35"/>
      <c r="Q1395" s="35"/>
      <c r="R1395" s="35"/>
      <c r="S1395" s="35"/>
      <c r="T1395" s="35"/>
      <c r="U1395" s="35"/>
      <c r="V1395" s="35"/>
      <c r="W1395" s="35"/>
      <c r="X1395" s="35"/>
      <c r="Y1395" s="35"/>
      <c r="Z1395" s="35"/>
      <c r="AA1395" s="35"/>
      <c r="AB1395" s="35"/>
      <c r="AC1395" s="35"/>
      <c r="AD1395" s="35"/>
      <c r="AE1395" s="35"/>
      <c r="AF1395" s="35"/>
      <c r="AG1395" s="35"/>
      <c r="AH1395" s="35"/>
      <c r="AI1395" s="35"/>
      <c r="AJ1395" s="35"/>
      <c r="AK1395" s="35"/>
      <c r="AL1395" s="35"/>
      <c r="AM1395" s="35"/>
      <c r="AN1395" s="35"/>
      <c r="AO1395" s="35"/>
      <c r="AP1395" s="35"/>
      <c r="AQ1395" s="35"/>
      <c r="AR1395" s="35"/>
      <c r="AS1395" s="35"/>
      <c r="AT1395" s="35"/>
      <c r="AU1395" s="35"/>
      <c r="AV1395" s="35"/>
      <c r="AW1395" s="35"/>
      <c r="AX1395" s="35"/>
      <c r="AY1395" s="35"/>
      <c r="AZ1395" s="35"/>
      <c r="BA1395" s="35"/>
      <c r="BB1395" s="35"/>
      <c r="BC1395" s="35"/>
      <c r="BD1395" s="35"/>
      <c r="BE1395" s="35"/>
      <c r="BF1395" s="35"/>
      <c r="BG1395" s="35"/>
    </row>
    <row r="1396" ht="15.75" customHeight="1">
      <c r="A1396" s="35"/>
      <c r="B1396" s="35"/>
      <c r="C1396" s="35"/>
      <c r="D1396" s="35"/>
      <c r="E1396" s="35"/>
      <c r="F1396" s="35"/>
      <c r="G1396" s="35"/>
      <c r="H1396" s="35"/>
      <c r="I1396" s="35"/>
      <c r="J1396" s="35"/>
      <c r="K1396" s="35"/>
      <c r="L1396" s="35"/>
      <c r="M1396" s="35"/>
      <c r="N1396" s="35"/>
      <c r="O1396" s="35"/>
      <c r="P1396" s="35"/>
      <c r="Q1396" s="35"/>
      <c r="R1396" s="35"/>
      <c r="S1396" s="35"/>
      <c r="T1396" s="35"/>
      <c r="U1396" s="35"/>
      <c r="V1396" s="35"/>
      <c r="W1396" s="35"/>
      <c r="X1396" s="35"/>
      <c r="Y1396" s="35"/>
      <c r="Z1396" s="35"/>
      <c r="AA1396" s="35"/>
      <c r="AB1396" s="35"/>
      <c r="AC1396" s="35"/>
      <c r="AD1396" s="35"/>
      <c r="AE1396" s="35"/>
      <c r="AF1396" s="35"/>
      <c r="AG1396" s="35"/>
      <c r="AH1396" s="35"/>
      <c r="AI1396" s="35"/>
      <c r="AJ1396" s="35"/>
      <c r="AK1396" s="35"/>
      <c r="AL1396" s="35"/>
      <c r="AM1396" s="35"/>
      <c r="AN1396" s="35"/>
      <c r="AO1396" s="35"/>
      <c r="AP1396" s="35"/>
      <c r="AQ1396" s="35"/>
      <c r="AR1396" s="35"/>
      <c r="AS1396" s="35"/>
      <c r="AT1396" s="35"/>
      <c r="AU1396" s="35"/>
      <c r="AV1396" s="35"/>
      <c r="AW1396" s="35"/>
      <c r="AX1396" s="35"/>
      <c r="AY1396" s="35"/>
      <c r="AZ1396" s="35"/>
      <c r="BA1396" s="35"/>
      <c r="BB1396" s="35"/>
      <c r="BC1396" s="35"/>
      <c r="BD1396" s="35"/>
      <c r="BE1396" s="35"/>
      <c r="BF1396" s="35"/>
      <c r="BG1396" s="35"/>
    </row>
    <row r="1397" ht="15.75" customHeight="1">
      <c r="A1397" s="35"/>
      <c r="B1397" s="35"/>
      <c r="C1397" s="35"/>
      <c r="D1397" s="35"/>
      <c r="E1397" s="35"/>
      <c r="F1397" s="35"/>
      <c r="G1397" s="35"/>
      <c r="H1397" s="35"/>
      <c r="I1397" s="35"/>
      <c r="J1397" s="35"/>
      <c r="K1397" s="35"/>
      <c r="L1397" s="35"/>
      <c r="M1397" s="35"/>
      <c r="N1397" s="35"/>
      <c r="O1397" s="35"/>
      <c r="P1397" s="35"/>
      <c r="Q1397" s="35"/>
      <c r="R1397" s="35"/>
      <c r="S1397" s="35"/>
      <c r="T1397" s="35"/>
      <c r="U1397" s="35"/>
      <c r="V1397" s="35"/>
      <c r="W1397" s="35"/>
      <c r="X1397" s="35"/>
      <c r="Y1397" s="35"/>
      <c r="Z1397" s="35"/>
      <c r="AA1397" s="35"/>
      <c r="AB1397" s="35"/>
      <c r="AC1397" s="35"/>
      <c r="AD1397" s="35"/>
      <c r="AE1397" s="35"/>
      <c r="AF1397" s="35"/>
      <c r="AG1397" s="35"/>
      <c r="AH1397" s="35"/>
      <c r="AI1397" s="35"/>
      <c r="AJ1397" s="35"/>
      <c r="AK1397" s="35"/>
      <c r="AL1397" s="35"/>
      <c r="AM1397" s="35"/>
      <c r="AN1397" s="35"/>
      <c r="AO1397" s="35"/>
      <c r="AP1397" s="35"/>
      <c r="AQ1397" s="35"/>
      <c r="AR1397" s="35"/>
      <c r="AS1397" s="35"/>
      <c r="AT1397" s="35"/>
      <c r="AU1397" s="35"/>
      <c r="AV1397" s="35"/>
      <c r="AW1397" s="35"/>
      <c r="AX1397" s="35"/>
      <c r="AY1397" s="35"/>
      <c r="AZ1397" s="35"/>
      <c r="BA1397" s="35"/>
      <c r="BB1397" s="35"/>
      <c r="BC1397" s="35"/>
      <c r="BD1397" s="35"/>
      <c r="BE1397" s="35"/>
      <c r="BF1397" s="35"/>
      <c r="BG1397" s="35"/>
    </row>
    <row r="1398" ht="15.75" customHeight="1">
      <c r="A1398" s="35"/>
      <c r="B1398" s="35"/>
      <c r="C1398" s="35"/>
      <c r="D1398" s="35"/>
      <c r="E1398" s="35"/>
      <c r="F1398" s="35"/>
      <c r="G1398" s="35"/>
      <c r="H1398" s="35"/>
      <c r="I1398" s="35"/>
      <c r="J1398" s="35"/>
      <c r="K1398" s="35"/>
      <c r="L1398" s="35"/>
      <c r="M1398" s="35"/>
      <c r="N1398" s="35"/>
      <c r="O1398" s="35"/>
      <c r="P1398" s="35"/>
      <c r="Q1398" s="35"/>
      <c r="R1398" s="35"/>
      <c r="S1398" s="35"/>
      <c r="T1398" s="35"/>
      <c r="U1398" s="35"/>
      <c r="V1398" s="35"/>
      <c r="W1398" s="35"/>
      <c r="X1398" s="35"/>
      <c r="Y1398" s="35"/>
      <c r="Z1398" s="35"/>
      <c r="AA1398" s="35"/>
      <c r="AB1398" s="35"/>
      <c r="AC1398" s="35"/>
      <c r="AD1398" s="35"/>
      <c r="AE1398" s="35"/>
      <c r="AF1398" s="35"/>
      <c r="AG1398" s="35"/>
      <c r="AH1398" s="35"/>
      <c r="AI1398" s="35"/>
      <c r="AJ1398" s="35"/>
      <c r="AK1398" s="35"/>
      <c r="AL1398" s="35"/>
      <c r="AM1398" s="35"/>
      <c r="AN1398" s="35"/>
      <c r="AO1398" s="35"/>
      <c r="AP1398" s="35"/>
      <c r="AQ1398" s="35"/>
      <c r="AR1398" s="35"/>
      <c r="AS1398" s="35"/>
      <c r="AT1398" s="35"/>
      <c r="AU1398" s="35"/>
      <c r="AV1398" s="35"/>
      <c r="AW1398" s="35"/>
      <c r="AX1398" s="35"/>
      <c r="AY1398" s="35"/>
      <c r="AZ1398" s="35"/>
      <c r="BA1398" s="35"/>
      <c r="BB1398" s="35"/>
      <c r="BC1398" s="35"/>
      <c r="BD1398" s="35"/>
      <c r="BE1398" s="35"/>
      <c r="BF1398" s="35"/>
      <c r="BG1398" s="35"/>
    </row>
    <row r="1399" ht="15.75" customHeight="1">
      <c r="A1399" s="35"/>
      <c r="B1399" s="35"/>
      <c r="C1399" s="35"/>
      <c r="D1399" s="35"/>
      <c r="E1399" s="35"/>
      <c r="F1399" s="35"/>
      <c r="G1399" s="35"/>
      <c r="H1399" s="35"/>
      <c r="I1399" s="35"/>
      <c r="J1399" s="35"/>
      <c r="K1399" s="35"/>
      <c r="L1399" s="35"/>
      <c r="M1399" s="35"/>
      <c r="N1399" s="35"/>
      <c r="O1399" s="35"/>
      <c r="P1399" s="35"/>
      <c r="Q1399" s="35"/>
      <c r="R1399" s="35"/>
      <c r="S1399" s="35"/>
      <c r="T1399" s="35"/>
      <c r="U1399" s="35"/>
      <c r="V1399" s="35"/>
      <c r="W1399" s="35"/>
      <c r="X1399" s="35"/>
      <c r="Y1399" s="35"/>
      <c r="Z1399" s="35"/>
      <c r="AA1399" s="35"/>
      <c r="AB1399" s="35"/>
      <c r="AC1399" s="35"/>
      <c r="AD1399" s="35"/>
      <c r="AE1399" s="35"/>
      <c r="AF1399" s="35"/>
      <c r="AG1399" s="35"/>
      <c r="AH1399" s="35"/>
      <c r="AI1399" s="35"/>
      <c r="AJ1399" s="35"/>
      <c r="AK1399" s="35"/>
      <c r="AL1399" s="35"/>
      <c r="AM1399" s="35"/>
      <c r="AN1399" s="35"/>
      <c r="AO1399" s="35"/>
      <c r="AP1399" s="35"/>
      <c r="AQ1399" s="35"/>
      <c r="AR1399" s="35"/>
      <c r="AS1399" s="35"/>
      <c r="AT1399" s="35"/>
      <c r="AU1399" s="35"/>
      <c r="AV1399" s="35"/>
      <c r="AW1399" s="35"/>
      <c r="AX1399" s="35"/>
      <c r="AY1399" s="35"/>
      <c r="AZ1399" s="35"/>
      <c r="BA1399" s="35"/>
      <c r="BB1399" s="35"/>
      <c r="BC1399" s="35"/>
      <c r="BD1399" s="35"/>
      <c r="BE1399" s="35"/>
      <c r="BF1399" s="35"/>
      <c r="BG1399" s="35"/>
    </row>
    <row r="1400" ht="15.75" customHeight="1">
      <c r="A1400" s="35"/>
      <c r="B1400" s="35"/>
      <c r="C1400" s="35"/>
      <c r="D1400" s="35"/>
      <c r="E1400" s="35"/>
      <c r="F1400" s="35"/>
      <c r="G1400" s="35"/>
      <c r="H1400" s="35"/>
      <c r="I1400" s="35"/>
      <c r="J1400" s="35"/>
      <c r="K1400" s="35"/>
      <c r="L1400" s="35"/>
      <c r="M1400" s="35"/>
      <c r="N1400" s="35"/>
      <c r="O1400" s="35"/>
      <c r="P1400" s="35"/>
      <c r="Q1400" s="35"/>
      <c r="R1400" s="35"/>
      <c r="S1400" s="35"/>
      <c r="T1400" s="35"/>
      <c r="U1400" s="35"/>
      <c r="V1400" s="35"/>
      <c r="W1400" s="35"/>
      <c r="X1400" s="35"/>
      <c r="Y1400" s="35"/>
      <c r="Z1400" s="35"/>
      <c r="AA1400" s="35"/>
      <c r="AB1400" s="35"/>
      <c r="AC1400" s="35"/>
      <c r="AD1400" s="35"/>
      <c r="AE1400" s="35"/>
      <c r="AF1400" s="35"/>
      <c r="AG1400" s="35"/>
      <c r="AH1400" s="35"/>
      <c r="AI1400" s="35"/>
      <c r="AJ1400" s="35"/>
      <c r="AK1400" s="35"/>
      <c r="AL1400" s="35"/>
      <c r="AM1400" s="35"/>
      <c r="AN1400" s="35"/>
      <c r="AO1400" s="35"/>
      <c r="AP1400" s="35"/>
      <c r="AQ1400" s="35"/>
      <c r="AR1400" s="35"/>
      <c r="AS1400" s="35"/>
      <c r="AT1400" s="35"/>
      <c r="AU1400" s="35"/>
      <c r="AV1400" s="35"/>
      <c r="AW1400" s="35"/>
      <c r="AX1400" s="35"/>
      <c r="AY1400" s="35"/>
      <c r="AZ1400" s="35"/>
      <c r="BA1400" s="35"/>
      <c r="BB1400" s="35"/>
      <c r="BC1400" s="35"/>
      <c r="BD1400" s="35"/>
      <c r="BE1400" s="35"/>
      <c r="BF1400" s="35"/>
      <c r="BG1400" s="35"/>
    </row>
    <row r="1401" ht="15.75" customHeight="1">
      <c r="A1401" s="35"/>
      <c r="B1401" s="35"/>
      <c r="C1401" s="35"/>
      <c r="D1401" s="35"/>
      <c r="E1401" s="35"/>
      <c r="F1401" s="35"/>
      <c r="G1401" s="35"/>
      <c r="H1401" s="35"/>
      <c r="I1401" s="35"/>
      <c r="J1401" s="35"/>
      <c r="K1401" s="35"/>
      <c r="L1401" s="35"/>
      <c r="M1401" s="35"/>
      <c r="N1401" s="35"/>
      <c r="O1401" s="35"/>
      <c r="P1401" s="35"/>
      <c r="Q1401" s="35"/>
      <c r="R1401" s="35"/>
      <c r="S1401" s="35"/>
      <c r="T1401" s="35"/>
      <c r="U1401" s="35"/>
      <c r="V1401" s="35"/>
      <c r="W1401" s="35"/>
      <c r="X1401" s="35"/>
      <c r="Y1401" s="35"/>
      <c r="Z1401" s="35"/>
      <c r="AA1401" s="35"/>
      <c r="AB1401" s="35"/>
      <c r="AC1401" s="35"/>
      <c r="AD1401" s="35"/>
      <c r="AE1401" s="35"/>
      <c r="AF1401" s="35"/>
      <c r="AG1401" s="35"/>
      <c r="AH1401" s="35"/>
      <c r="AI1401" s="35"/>
      <c r="AJ1401" s="35"/>
      <c r="AK1401" s="35"/>
      <c r="AL1401" s="35"/>
      <c r="AM1401" s="35"/>
      <c r="AN1401" s="35"/>
      <c r="AO1401" s="35"/>
      <c r="AP1401" s="35"/>
      <c r="AQ1401" s="35"/>
      <c r="AR1401" s="35"/>
      <c r="AS1401" s="35"/>
      <c r="AT1401" s="35"/>
      <c r="AU1401" s="35"/>
      <c r="AV1401" s="35"/>
      <c r="AW1401" s="35"/>
      <c r="AX1401" s="35"/>
      <c r="AY1401" s="35"/>
      <c r="AZ1401" s="35"/>
      <c r="BA1401" s="35"/>
      <c r="BB1401" s="35"/>
      <c r="BC1401" s="35"/>
      <c r="BD1401" s="35"/>
      <c r="BE1401" s="35"/>
      <c r="BF1401" s="35"/>
      <c r="BG1401" s="35"/>
    </row>
    <row r="1402" ht="15.75" customHeight="1">
      <c r="A1402" s="35"/>
      <c r="B1402" s="35"/>
      <c r="C1402" s="35"/>
      <c r="D1402" s="35"/>
      <c r="E1402" s="35"/>
      <c r="F1402" s="35"/>
      <c r="G1402" s="35"/>
      <c r="H1402" s="35"/>
      <c r="I1402" s="35"/>
      <c r="J1402" s="35"/>
      <c r="K1402" s="35"/>
      <c r="L1402" s="35"/>
      <c r="M1402" s="35"/>
      <c r="N1402" s="35"/>
      <c r="O1402" s="35"/>
      <c r="P1402" s="35"/>
      <c r="Q1402" s="35"/>
      <c r="R1402" s="35"/>
      <c r="S1402" s="35"/>
      <c r="T1402" s="35"/>
      <c r="U1402" s="35"/>
      <c r="V1402" s="35"/>
      <c r="W1402" s="35"/>
      <c r="X1402" s="35"/>
      <c r="Y1402" s="35"/>
      <c r="Z1402" s="35"/>
      <c r="AA1402" s="35"/>
      <c r="AB1402" s="35"/>
      <c r="AC1402" s="35"/>
      <c r="AD1402" s="35"/>
      <c r="AE1402" s="35"/>
      <c r="AF1402" s="35"/>
      <c r="AG1402" s="35"/>
      <c r="AH1402" s="35"/>
      <c r="AI1402" s="35"/>
      <c r="AJ1402" s="35"/>
      <c r="AK1402" s="35"/>
      <c r="AL1402" s="35"/>
      <c r="AM1402" s="35"/>
      <c r="AN1402" s="35"/>
      <c r="AO1402" s="35"/>
      <c r="AP1402" s="35"/>
      <c r="AQ1402" s="35"/>
      <c r="AR1402" s="35"/>
      <c r="AS1402" s="35"/>
      <c r="AT1402" s="35"/>
      <c r="AU1402" s="35"/>
      <c r="AV1402" s="35"/>
      <c r="AW1402" s="35"/>
      <c r="AX1402" s="35"/>
      <c r="AY1402" s="35"/>
      <c r="AZ1402" s="35"/>
      <c r="BA1402" s="35"/>
      <c r="BB1402" s="35"/>
      <c r="BC1402" s="35"/>
      <c r="BD1402" s="35"/>
      <c r="BE1402" s="35"/>
      <c r="BF1402" s="35"/>
      <c r="BG1402" s="35"/>
    </row>
    <row r="1403" ht="15.75" customHeight="1">
      <c r="A1403" s="35"/>
      <c r="B1403" s="35"/>
      <c r="C1403" s="35"/>
      <c r="D1403" s="35"/>
      <c r="E1403" s="35"/>
      <c r="F1403" s="35"/>
      <c r="G1403" s="35"/>
      <c r="H1403" s="35"/>
      <c r="I1403" s="35"/>
      <c r="J1403" s="35"/>
      <c r="K1403" s="35"/>
      <c r="L1403" s="35"/>
      <c r="M1403" s="35"/>
      <c r="N1403" s="35"/>
      <c r="O1403" s="35"/>
      <c r="P1403" s="35"/>
      <c r="Q1403" s="35"/>
      <c r="R1403" s="35"/>
      <c r="S1403" s="35"/>
      <c r="T1403" s="35"/>
      <c r="U1403" s="35"/>
      <c r="V1403" s="35"/>
      <c r="W1403" s="35"/>
      <c r="X1403" s="35"/>
      <c r="Y1403" s="35"/>
      <c r="Z1403" s="35"/>
      <c r="AA1403" s="35"/>
      <c r="AB1403" s="35"/>
      <c r="AC1403" s="35"/>
      <c r="AD1403" s="35"/>
      <c r="AE1403" s="35"/>
      <c r="AF1403" s="35"/>
      <c r="AG1403" s="35"/>
      <c r="AH1403" s="35"/>
      <c r="AI1403" s="35"/>
      <c r="AJ1403" s="35"/>
      <c r="AK1403" s="35"/>
      <c r="AL1403" s="35"/>
      <c r="AM1403" s="35"/>
      <c r="AN1403" s="35"/>
      <c r="AO1403" s="35"/>
      <c r="AP1403" s="35"/>
      <c r="AQ1403" s="35"/>
      <c r="AR1403" s="35"/>
      <c r="AS1403" s="35"/>
      <c r="AT1403" s="35"/>
      <c r="AU1403" s="35"/>
      <c r="AV1403" s="35"/>
      <c r="AW1403" s="35"/>
      <c r="AX1403" s="35"/>
      <c r="AY1403" s="35"/>
      <c r="AZ1403" s="35"/>
      <c r="BA1403" s="35"/>
      <c r="BB1403" s="35"/>
      <c r="BC1403" s="35"/>
      <c r="BD1403" s="35"/>
      <c r="BE1403" s="35"/>
      <c r="BF1403" s="35"/>
      <c r="BG1403" s="35"/>
    </row>
    <row r="1404" ht="15.75" customHeight="1">
      <c r="A1404" s="35"/>
      <c r="B1404" s="35"/>
      <c r="C1404" s="35"/>
      <c r="D1404" s="35"/>
      <c r="E1404" s="35"/>
      <c r="F1404" s="35"/>
      <c r="G1404" s="35"/>
      <c r="H1404" s="35"/>
      <c r="I1404" s="35"/>
      <c r="J1404" s="35"/>
      <c r="K1404" s="35"/>
      <c r="L1404" s="35"/>
      <c r="M1404" s="35"/>
      <c r="N1404" s="35"/>
      <c r="O1404" s="35"/>
      <c r="P1404" s="35"/>
      <c r="Q1404" s="35"/>
      <c r="R1404" s="35"/>
      <c r="S1404" s="35"/>
      <c r="T1404" s="35"/>
      <c r="U1404" s="35"/>
      <c r="V1404" s="35"/>
      <c r="W1404" s="35"/>
      <c r="X1404" s="35"/>
      <c r="Y1404" s="35"/>
      <c r="Z1404" s="35"/>
      <c r="AA1404" s="35"/>
      <c r="AB1404" s="35"/>
      <c r="AC1404" s="35"/>
      <c r="AD1404" s="35"/>
      <c r="AE1404" s="35"/>
      <c r="AF1404" s="35"/>
      <c r="AG1404" s="35"/>
      <c r="AH1404" s="35"/>
      <c r="AI1404" s="35"/>
      <c r="AJ1404" s="35"/>
      <c r="AK1404" s="35"/>
      <c r="AL1404" s="35"/>
      <c r="AM1404" s="35"/>
      <c r="AN1404" s="35"/>
      <c r="AO1404" s="35"/>
      <c r="AP1404" s="35"/>
      <c r="AQ1404" s="35"/>
      <c r="AR1404" s="35"/>
      <c r="AS1404" s="35"/>
      <c r="AT1404" s="35"/>
      <c r="AU1404" s="35"/>
      <c r="AV1404" s="35"/>
      <c r="AW1404" s="35"/>
      <c r="AX1404" s="35"/>
      <c r="AY1404" s="35"/>
      <c r="AZ1404" s="35"/>
      <c r="BA1404" s="35"/>
      <c r="BB1404" s="35"/>
      <c r="BC1404" s="35"/>
      <c r="BD1404" s="35"/>
      <c r="BE1404" s="35"/>
      <c r="BF1404" s="35"/>
      <c r="BG1404" s="35"/>
    </row>
    <row r="1405" ht="15.75" customHeight="1">
      <c r="A1405" s="35"/>
      <c r="B1405" s="35"/>
      <c r="C1405" s="35"/>
      <c r="D1405" s="35"/>
      <c r="E1405" s="35"/>
      <c r="F1405" s="35"/>
      <c r="G1405" s="35"/>
      <c r="H1405" s="35"/>
      <c r="I1405" s="35"/>
      <c r="J1405" s="35"/>
      <c r="K1405" s="35"/>
      <c r="L1405" s="35"/>
      <c r="M1405" s="35"/>
      <c r="N1405" s="35"/>
      <c r="O1405" s="35"/>
      <c r="P1405" s="35"/>
      <c r="Q1405" s="35"/>
      <c r="R1405" s="35"/>
      <c r="S1405" s="35"/>
      <c r="T1405" s="35"/>
      <c r="U1405" s="35"/>
      <c r="V1405" s="35"/>
      <c r="W1405" s="35"/>
      <c r="X1405" s="35"/>
      <c r="Y1405" s="35"/>
      <c r="Z1405" s="35"/>
      <c r="AA1405" s="35"/>
      <c r="AB1405" s="35"/>
      <c r="AC1405" s="35"/>
      <c r="AD1405" s="35"/>
      <c r="AE1405" s="35"/>
      <c r="AF1405" s="35"/>
      <c r="AG1405" s="35"/>
      <c r="AH1405" s="35"/>
      <c r="AI1405" s="35"/>
      <c r="AJ1405" s="35"/>
      <c r="AK1405" s="35"/>
      <c r="AL1405" s="35"/>
      <c r="AM1405" s="35"/>
      <c r="AN1405" s="35"/>
      <c r="AO1405" s="35"/>
      <c r="AP1405" s="35"/>
      <c r="AQ1405" s="35"/>
      <c r="AR1405" s="35"/>
      <c r="AS1405" s="35"/>
      <c r="AT1405" s="35"/>
      <c r="AU1405" s="35"/>
      <c r="AV1405" s="35"/>
      <c r="AW1405" s="35"/>
      <c r="AX1405" s="35"/>
      <c r="AY1405" s="35"/>
      <c r="AZ1405" s="35"/>
      <c r="BA1405" s="35"/>
      <c r="BB1405" s="35"/>
      <c r="BC1405" s="35"/>
      <c r="BD1405" s="35"/>
      <c r="BE1405" s="35"/>
      <c r="BF1405" s="35"/>
      <c r="BG1405" s="35"/>
    </row>
    <row r="1406" ht="15.75" customHeight="1">
      <c r="A1406" s="35"/>
      <c r="B1406" s="35"/>
      <c r="C1406" s="35"/>
      <c r="D1406" s="35"/>
      <c r="E1406" s="35"/>
      <c r="F1406" s="35"/>
      <c r="G1406" s="35"/>
      <c r="H1406" s="35"/>
      <c r="I1406" s="35"/>
      <c r="J1406" s="35"/>
      <c r="K1406" s="35"/>
      <c r="L1406" s="35"/>
      <c r="M1406" s="35"/>
      <c r="N1406" s="35"/>
      <c r="O1406" s="35"/>
      <c r="P1406" s="35"/>
      <c r="Q1406" s="35"/>
      <c r="R1406" s="35"/>
      <c r="S1406" s="35"/>
      <c r="T1406" s="35"/>
      <c r="U1406" s="35"/>
      <c r="V1406" s="35"/>
      <c r="W1406" s="35"/>
      <c r="X1406" s="35"/>
      <c r="Y1406" s="35"/>
      <c r="Z1406" s="35"/>
      <c r="AA1406" s="35"/>
      <c r="AB1406" s="35"/>
      <c r="AC1406" s="35"/>
      <c r="AD1406" s="35"/>
      <c r="AE1406" s="35"/>
      <c r="AF1406" s="35"/>
      <c r="AG1406" s="35"/>
      <c r="AH1406" s="35"/>
      <c r="AI1406" s="35"/>
      <c r="AJ1406" s="35"/>
      <c r="AK1406" s="35"/>
      <c r="AL1406" s="35"/>
      <c r="AM1406" s="35"/>
      <c r="AN1406" s="35"/>
      <c r="AO1406" s="35"/>
      <c r="AP1406" s="35"/>
      <c r="AQ1406" s="35"/>
      <c r="AR1406" s="35"/>
      <c r="AS1406" s="35"/>
      <c r="AT1406" s="35"/>
      <c r="AU1406" s="35"/>
      <c r="AV1406" s="35"/>
      <c r="AW1406" s="35"/>
      <c r="AX1406" s="35"/>
      <c r="AY1406" s="35"/>
      <c r="AZ1406" s="35"/>
      <c r="BA1406" s="35"/>
      <c r="BB1406" s="35"/>
      <c r="BC1406" s="35"/>
      <c r="BD1406" s="35"/>
      <c r="BE1406" s="35"/>
      <c r="BF1406" s="35"/>
      <c r="BG1406" s="35"/>
    </row>
    <row r="1407" ht="15.75" customHeight="1">
      <c r="A1407" s="35"/>
      <c r="B1407" s="35"/>
      <c r="C1407" s="35"/>
      <c r="D1407" s="35"/>
      <c r="E1407" s="35"/>
      <c r="F1407" s="35"/>
      <c r="G1407" s="35"/>
      <c r="H1407" s="35"/>
      <c r="I1407" s="35"/>
      <c r="J1407" s="35"/>
      <c r="K1407" s="35"/>
      <c r="L1407" s="35"/>
      <c r="M1407" s="35"/>
      <c r="N1407" s="35"/>
      <c r="O1407" s="35"/>
      <c r="P1407" s="35"/>
      <c r="Q1407" s="35"/>
      <c r="R1407" s="35"/>
      <c r="S1407" s="35"/>
      <c r="T1407" s="35"/>
      <c r="U1407" s="35"/>
      <c r="V1407" s="35"/>
      <c r="W1407" s="35"/>
      <c r="X1407" s="35"/>
      <c r="Y1407" s="35"/>
      <c r="Z1407" s="35"/>
      <c r="AA1407" s="35"/>
      <c r="AB1407" s="35"/>
      <c r="AC1407" s="35"/>
      <c r="AD1407" s="35"/>
      <c r="AE1407" s="35"/>
      <c r="AF1407" s="35"/>
      <c r="AG1407" s="35"/>
      <c r="AH1407" s="35"/>
      <c r="AI1407" s="35"/>
      <c r="AJ1407" s="35"/>
      <c r="AK1407" s="35"/>
      <c r="AL1407" s="35"/>
      <c r="AM1407" s="35"/>
      <c r="AN1407" s="35"/>
      <c r="AO1407" s="35"/>
      <c r="AP1407" s="35"/>
      <c r="AQ1407" s="35"/>
      <c r="AR1407" s="35"/>
      <c r="AS1407" s="35"/>
      <c r="AT1407" s="35"/>
      <c r="AU1407" s="35"/>
      <c r="AV1407" s="35"/>
      <c r="AW1407" s="35"/>
      <c r="AX1407" s="35"/>
      <c r="AY1407" s="35"/>
      <c r="AZ1407" s="35"/>
      <c r="BA1407" s="35"/>
      <c r="BB1407" s="35"/>
      <c r="BC1407" s="35"/>
      <c r="BD1407" s="35"/>
      <c r="BE1407" s="35"/>
      <c r="BF1407" s="35"/>
      <c r="BG1407" s="35"/>
    </row>
    <row r="1408" ht="15.75" customHeight="1">
      <c r="A1408" s="35"/>
      <c r="B1408" s="35"/>
      <c r="C1408" s="35"/>
      <c r="D1408" s="35"/>
      <c r="E1408" s="35"/>
      <c r="F1408" s="35"/>
      <c r="G1408" s="35"/>
      <c r="H1408" s="35"/>
      <c r="I1408" s="35"/>
      <c r="J1408" s="35"/>
      <c r="K1408" s="35"/>
      <c r="L1408" s="35"/>
      <c r="M1408" s="35"/>
      <c r="N1408" s="35"/>
      <c r="O1408" s="35"/>
      <c r="P1408" s="35"/>
      <c r="Q1408" s="35"/>
      <c r="R1408" s="35"/>
      <c r="S1408" s="35"/>
      <c r="T1408" s="35"/>
      <c r="U1408" s="35"/>
      <c r="V1408" s="35"/>
      <c r="W1408" s="35"/>
      <c r="X1408" s="35"/>
      <c r="Y1408" s="35"/>
      <c r="Z1408" s="35"/>
      <c r="AA1408" s="35"/>
      <c r="AB1408" s="35"/>
      <c r="AC1408" s="35"/>
      <c r="AD1408" s="35"/>
      <c r="AE1408" s="35"/>
      <c r="AF1408" s="35"/>
      <c r="AG1408" s="35"/>
      <c r="AH1408" s="35"/>
      <c r="AI1408" s="35"/>
      <c r="AJ1408" s="35"/>
      <c r="AK1408" s="35"/>
      <c r="AL1408" s="35"/>
      <c r="AM1408" s="35"/>
      <c r="AN1408" s="35"/>
      <c r="AO1408" s="35"/>
      <c r="AP1408" s="35"/>
      <c r="AQ1408" s="35"/>
      <c r="AR1408" s="35"/>
      <c r="AS1408" s="35"/>
      <c r="AT1408" s="35"/>
      <c r="AU1408" s="35"/>
      <c r="AV1408" s="35"/>
      <c r="AW1408" s="35"/>
      <c r="AX1408" s="35"/>
      <c r="AY1408" s="35"/>
      <c r="AZ1408" s="35"/>
      <c r="BA1408" s="35"/>
      <c r="BB1408" s="35"/>
      <c r="BC1408" s="35"/>
      <c r="BD1408" s="35"/>
      <c r="BE1408" s="35"/>
      <c r="BF1408" s="35"/>
      <c r="BG1408" s="35"/>
    </row>
    <row r="1409" ht="15.75" customHeight="1">
      <c r="A1409" s="35"/>
      <c r="B1409" s="35"/>
      <c r="C1409" s="35"/>
      <c r="D1409" s="35"/>
      <c r="E1409" s="35"/>
      <c r="F1409" s="35"/>
      <c r="G1409" s="35"/>
      <c r="H1409" s="35"/>
      <c r="I1409" s="35"/>
      <c r="J1409" s="35"/>
      <c r="K1409" s="35"/>
      <c r="L1409" s="35"/>
      <c r="M1409" s="35"/>
      <c r="N1409" s="35"/>
      <c r="O1409" s="35"/>
      <c r="P1409" s="35"/>
      <c r="Q1409" s="35"/>
      <c r="R1409" s="35"/>
      <c r="S1409" s="35"/>
      <c r="T1409" s="35"/>
      <c r="U1409" s="35"/>
      <c r="V1409" s="35"/>
      <c r="W1409" s="35"/>
      <c r="X1409" s="35"/>
      <c r="Y1409" s="35"/>
      <c r="Z1409" s="35"/>
      <c r="AA1409" s="35"/>
      <c r="AB1409" s="35"/>
      <c r="AC1409" s="35"/>
      <c r="AD1409" s="35"/>
      <c r="AE1409" s="35"/>
      <c r="AF1409" s="35"/>
      <c r="AG1409" s="35"/>
      <c r="AH1409" s="35"/>
      <c r="AI1409" s="35"/>
      <c r="AJ1409" s="35"/>
      <c r="AK1409" s="35"/>
      <c r="AL1409" s="35"/>
      <c r="AM1409" s="35"/>
      <c r="AN1409" s="35"/>
      <c r="AO1409" s="35"/>
      <c r="AP1409" s="35"/>
      <c r="AQ1409" s="35"/>
      <c r="AR1409" s="35"/>
      <c r="AS1409" s="35"/>
      <c r="AT1409" s="35"/>
      <c r="AU1409" s="35"/>
      <c r="AV1409" s="35"/>
      <c r="AW1409" s="35"/>
      <c r="AX1409" s="35"/>
      <c r="AY1409" s="35"/>
      <c r="AZ1409" s="35"/>
      <c r="BA1409" s="35"/>
      <c r="BB1409" s="35"/>
      <c r="BC1409" s="35"/>
      <c r="BD1409" s="35"/>
      <c r="BE1409" s="35"/>
      <c r="BF1409" s="35"/>
      <c r="BG1409" s="35"/>
    </row>
    <row r="1410" ht="15.75" customHeight="1">
      <c r="A1410" s="35"/>
      <c r="B1410" s="35"/>
      <c r="C1410" s="35"/>
      <c r="D1410" s="35"/>
      <c r="E1410" s="35"/>
      <c r="F1410" s="35"/>
      <c r="G1410" s="35"/>
      <c r="H1410" s="35"/>
      <c r="I1410" s="35"/>
      <c r="J1410" s="35"/>
      <c r="K1410" s="35"/>
      <c r="L1410" s="35"/>
      <c r="M1410" s="35"/>
      <c r="N1410" s="35"/>
      <c r="O1410" s="35"/>
      <c r="P1410" s="35"/>
      <c r="Q1410" s="35"/>
      <c r="R1410" s="35"/>
      <c r="S1410" s="35"/>
      <c r="T1410" s="35"/>
      <c r="U1410" s="35"/>
      <c r="V1410" s="35"/>
      <c r="W1410" s="35"/>
      <c r="X1410" s="35"/>
      <c r="Y1410" s="35"/>
      <c r="Z1410" s="35"/>
      <c r="AA1410" s="35"/>
      <c r="AB1410" s="35"/>
      <c r="AC1410" s="35"/>
      <c r="AD1410" s="35"/>
      <c r="AE1410" s="35"/>
      <c r="AF1410" s="35"/>
      <c r="AG1410" s="35"/>
      <c r="AH1410" s="35"/>
      <c r="AI1410" s="35"/>
      <c r="AJ1410" s="35"/>
      <c r="AK1410" s="35"/>
      <c r="AL1410" s="35"/>
      <c r="AM1410" s="35"/>
      <c r="AN1410" s="35"/>
      <c r="AO1410" s="35"/>
      <c r="AP1410" s="35"/>
      <c r="AQ1410" s="35"/>
      <c r="AR1410" s="35"/>
      <c r="AS1410" s="35"/>
      <c r="AT1410" s="35"/>
      <c r="AU1410" s="35"/>
      <c r="AV1410" s="35"/>
      <c r="AW1410" s="35"/>
      <c r="AX1410" s="35"/>
      <c r="AY1410" s="35"/>
      <c r="AZ1410" s="35"/>
      <c r="BA1410" s="35"/>
      <c r="BB1410" s="35"/>
      <c r="BC1410" s="35"/>
      <c r="BD1410" s="35"/>
      <c r="BE1410" s="35"/>
      <c r="BF1410" s="35"/>
      <c r="BG1410" s="35"/>
    </row>
    <row r="1411" ht="15.75" customHeight="1">
      <c r="A1411" s="35"/>
      <c r="B1411" s="35"/>
      <c r="C1411" s="35"/>
      <c r="D1411" s="35"/>
      <c r="E1411" s="35"/>
      <c r="F1411" s="35"/>
      <c r="G1411" s="35"/>
      <c r="H1411" s="35"/>
      <c r="I1411" s="35"/>
      <c r="J1411" s="35"/>
      <c r="K1411" s="35"/>
      <c r="L1411" s="35"/>
      <c r="M1411" s="35"/>
      <c r="N1411" s="35"/>
      <c r="O1411" s="35"/>
      <c r="P1411" s="35"/>
      <c r="Q1411" s="35"/>
      <c r="R1411" s="35"/>
      <c r="S1411" s="35"/>
      <c r="T1411" s="35"/>
      <c r="U1411" s="35"/>
      <c r="V1411" s="35"/>
      <c r="W1411" s="35"/>
      <c r="X1411" s="35"/>
      <c r="Y1411" s="35"/>
      <c r="Z1411" s="35"/>
      <c r="AA1411" s="35"/>
      <c r="AB1411" s="35"/>
      <c r="AC1411" s="35"/>
      <c r="AD1411" s="35"/>
      <c r="AE1411" s="35"/>
      <c r="AF1411" s="35"/>
      <c r="AG1411" s="35"/>
      <c r="AH1411" s="35"/>
      <c r="AI1411" s="35"/>
      <c r="AJ1411" s="35"/>
      <c r="AK1411" s="35"/>
      <c r="AL1411" s="35"/>
      <c r="AM1411" s="35"/>
      <c r="AN1411" s="35"/>
      <c r="AO1411" s="35"/>
      <c r="AP1411" s="35"/>
      <c r="AQ1411" s="35"/>
      <c r="AR1411" s="35"/>
      <c r="AS1411" s="35"/>
      <c r="AT1411" s="35"/>
      <c r="AU1411" s="35"/>
      <c r="AV1411" s="35"/>
      <c r="AW1411" s="35"/>
      <c r="AX1411" s="35"/>
      <c r="AY1411" s="35"/>
      <c r="AZ1411" s="35"/>
      <c r="BA1411" s="35"/>
      <c r="BB1411" s="35"/>
      <c r="BC1411" s="35"/>
      <c r="BD1411" s="35"/>
      <c r="BE1411" s="35"/>
      <c r="BF1411" s="35"/>
      <c r="BG1411" s="35"/>
    </row>
    <row r="1412" ht="15.75" customHeight="1">
      <c r="A1412" s="35"/>
      <c r="B1412" s="35"/>
      <c r="C1412" s="35"/>
      <c r="D1412" s="35"/>
      <c r="E1412" s="35"/>
      <c r="F1412" s="35"/>
      <c r="G1412" s="35"/>
      <c r="H1412" s="35"/>
      <c r="I1412" s="35"/>
      <c r="J1412" s="35"/>
      <c r="K1412" s="35"/>
      <c r="L1412" s="35"/>
      <c r="M1412" s="35"/>
      <c r="N1412" s="35"/>
      <c r="O1412" s="35"/>
      <c r="P1412" s="35"/>
      <c r="Q1412" s="35"/>
      <c r="R1412" s="35"/>
      <c r="S1412" s="35"/>
      <c r="T1412" s="35"/>
      <c r="U1412" s="35"/>
      <c r="V1412" s="35"/>
      <c r="W1412" s="35"/>
      <c r="X1412" s="35"/>
      <c r="Y1412" s="35"/>
      <c r="Z1412" s="35"/>
      <c r="AA1412" s="35"/>
      <c r="AB1412" s="35"/>
      <c r="AC1412" s="35"/>
      <c r="AD1412" s="35"/>
      <c r="AE1412" s="35"/>
      <c r="AF1412" s="35"/>
      <c r="AG1412" s="35"/>
      <c r="AH1412" s="35"/>
      <c r="AI1412" s="35"/>
      <c r="AJ1412" s="35"/>
      <c r="AK1412" s="35"/>
      <c r="AL1412" s="35"/>
      <c r="AM1412" s="35"/>
      <c r="AN1412" s="35"/>
      <c r="AO1412" s="35"/>
      <c r="AP1412" s="35"/>
      <c r="AQ1412" s="35"/>
      <c r="AR1412" s="35"/>
      <c r="AS1412" s="35"/>
      <c r="AT1412" s="35"/>
      <c r="AU1412" s="35"/>
      <c r="AV1412" s="35"/>
      <c r="AW1412" s="35"/>
      <c r="AX1412" s="35"/>
      <c r="AY1412" s="35"/>
      <c r="AZ1412" s="35"/>
      <c r="BA1412" s="35"/>
      <c r="BB1412" s="35"/>
      <c r="BC1412" s="35"/>
      <c r="BD1412" s="35"/>
      <c r="BE1412" s="35"/>
      <c r="BF1412" s="35"/>
      <c r="BG1412" s="35"/>
    </row>
    <row r="1413" ht="15.75" customHeight="1">
      <c r="A1413" s="35"/>
      <c r="B1413" s="35"/>
      <c r="C1413" s="35"/>
      <c r="D1413" s="35"/>
      <c r="E1413" s="35"/>
      <c r="F1413" s="35"/>
      <c r="G1413" s="35"/>
      <c r="H1413" s="35"/>
      <c r="I1413" s="35"/>
      <c r="J1413" s="35"/>
      <c r="K1413" s="35"/>
      <c r="L1413" s="35"/>
      <c r="M1413" s="35"/>
      <c r="N1413" s="35"/>
      <c r="O1413" s="35"/>
      <c r="P1413" s="35"/>
      <c r="Q1413" s="35"/>
      <c r="R1413" s="35"/>
      <c r="S1413" s="35"/>
      <c r="T1413" s="35"/>
      <c r="U1413" s="35"/>
      <c r="V1413" s="35"/>
      <c r="W1413" s="35"/>
      <c r="X1413" s="35"/>
      <c r="Y1413" s="35"/>
      <c r="Z1413" s="35"/>
      <c r="AA1413" s="35"/>
      <c r="AB1413" s="35"/>
      <c r="AC1413" s="35"/>
      <c r="AD1413" s="35"/>
      <c r="AE1413" s="35"/>
      <c r="AF1413" s="35"/>
      <c r="AG1413" s="35"/>
      <c r="AH1413" s="35"/>
      <c r="AI1413" s="35"/>
      <c r="AJ1413" s="35"/>
      <c r="AK1413" s="35"/>
      <c r="AL1413" s="35"/>
      <c r="AM1413" s="35"/>
      <c r="AN1413" s="35"/>
      <c r="AO1413" s="35"/>
      <c r="AP1413" s="35"/>
      <c r="AQ1413" s="35"/>
      <c r="AR1413" s="35"/>
      <c r="AS1413" s="35"/>
      <c r="AT1413" s="35"/>
      <c r="AU1413" s="35"/>
      <c r="AV1413" s="35"/>
      <c r="AW1413" s="35"/>
      <c r="AX1413" s="35"/>
      <c r="AY1413" s="35"/>
      <c r="AZ1413" s="35"/>
      <c r="BA1413" s="35"/>
      <c r="BB1413" s="35"/>
      <c r="BC1413" s="35"/>
      <c r="BD1413" s="35"/>
      <c r="BE1413" s="35"/>
      <c r="BF1413" s="35"/>
      <c r="BG1413" s="35"/>
    </row>
    <row r="1414" ht="15.75" customHeight="1">
      <c r="A1414" s="35"/>
      <c r="B1414" s="35"/>
      <c r="C1414" s="35"/>
      <c r="D1414" s="35"/>
      <c r="E1414" s="35"/>
      <c r="F1414" s="35"/>
      <c r="G1414" s="35"/>
      <c r="H1414" s="35"/>
      <c r="I1414" s="35"/>
      <c r="J1414" s="35"/>
      <c r="K1414" s="35"/>
      <c r="L1414" s="35"/>
      <c r="M1414" s="35"/>
      <c r="N1414" s="35"/>
      <c r="O1414" s="35"/>
      <c r="P1414" s="35"/>
      <c r="Q1414" s="35"/>
      <c r="R1414" s="35"/>
      <c r="S1414" s="35"/>
      <c r="T1414" s="35"/>
      <c r="U1414" s="35"/>
      <c r="V1414" s="35"/>
      <c r="W1414" s="35"/>
      <c r="X1414" s="35"/>
      <c r="Y1414" s="35"/>
      <c r="Z1414" s="35"/>
      <c r="AA1414" s="35"/>
      <c r="AB1414" s="35"/>
      <c r="AC1414" s="35"/>
      <c r="AD1414" s="35"/>
      <c r="AE1414" s="35"/>
      <c r="AF1414" s="35"/>
      <c r="AG1414" s="35"/>
      <c r="AH1414" s="35"/>
      <c r="AI1414" s="35"/>
      <c r="AJ1414" s="35"/>
      <c r="AK1414" s="35"/>
      <c r="AL1414" s="35"/>
      <c r="AM1414" s="35"/>
      <c r="AN1414" s="35"/>
      <c r="AO1414" s="35"/>
      <c r="AP1414" s="35"/>
      <c r="AQ1414" s="35"/>
      <c r="AR1414" s="35"/>
      <c r="AS1414" s="35"/>
      <c r="AT1414" s="35"/>
      <c r="AU1414" s="35"/>
      <c r="AV1414" s="35"/>
      <c r="AW1414" s="35"/>
      <c r="AX1414" s="35"/>
      <c r="AY1414" s="35"/>
      <c r="AZ1414" s="35"/>
      <c r="BA1414" s="35"/>
      <c r="BB1414" s="35"/>
      <c r="BC1414" s="35"/>
      <c r="BD1414" s="35"/>
      <c r="BE1414" s="35"/>
      <c r="BF1414" s="35"/>
      <c r="BG1414" s="35"/>
    </row>
    <row r="1415" ht="15.75" customHeight="1">
      <c r="A1415" s="35"/>
      <c r="B1415" s="35"/>
      <c r="C1415" s="35"/>
      <c r="D1415" s="35"/>
      <c r="E1415" s="35"/>
      <c r="F1415" s="35"/>
      <c r="G1415" s="35"/>
      <c r="H1415" s="35"/>
      <c r="I1415" s="35"/>
      <c r="J1415" s="35"/>
      <c r="K1415" s="35"/>
      <c r="L1415" s="35"/>
      <c r="M1415" s="35"/>
      <c r="N1415" s="35"/>
      <c r="O1415" s="35"/>
      <c r="P1415" s="35"/>
      <c r="Q1415" s="35"/>
      <c r="R1415" s="35"/>
      <c r="S1415" s="35"/>
      <c r="T1415" s="35"/>
      <c r="U1415" s="35"/>
      <c r="V1415" s="35"/>
      <c r="W1415" s="35"/>
      <c r="X1415" s="35"/>
      <c r="Y1415" s="35"/>
      <c r="Z1415" s="35"/>
      <c r="AA1415" s="35"/>
      <c r="AB1415" s="35"/>
      <c r="AC1415" s="35"/>
      <c r="AD1415" s="35"/>
      <c r="AE1415" s="35"/>
      <c r="AF1415" s="35"/>
      <c r="AG1415" s="35"/>
      <c r="AH1415" s="35"/>
      <c r="AI1415" s="35"/>
      <c r="AJ1415" s="35"/>
      <c r="AK1415" s="35"/>
      <c r="AL1415" s="35"/>
      <c r="AM1415" s="35"/>
      <c r="AN1415" s="35"/>
      <c r="AO1415" s="35"/>
      <c r="AP1415" s="35"/>
      <c r="AQ1415" s="35"/>
      <c r="AR1415" s="35"/>
      <c r="AS1415" s="35"/>
      <c r="AT1415" s="35"/>
      <c r="AU1415" s="35"/>
      <c r="AV1415" s="35"/>
      <c r="AW1415" s="35"/>
      <c r="AX1415" s="35"/>
      <c r="AY1415" s="35"/>
      <c r="AZ1415" s="35"/>
      <c r="BA1415" s="35"/>
      <c r="BB1415" s="35"/>
      <c r="BC1415" s="35"/>
      <c r="BD1415" s="35"/>
      <c r="BE1415" s="35"/>
      <c r="BF1415" s="35"/>
      <c r="BG1415" s="35"/>
    </row>
    <row r="1416" ht="15.75" customHeight="1">
      <c r="A1416" s="35"/>
      <c r="B1416" s="35"/>
      <c r="C1416" s="35"/>
      <c r="D1416" s="35"/>
      <c r="E1416" s="35"/>
      <c r="F1416" s="35"/>
      <c r="G1416" s="35"/>
      <c r="H1416" s="35"/>
      <c r="I1416" s="35"/>
      <c r="J1416" s="35"/>
      <c r="K1416" s="35"/>
      <c r="L1416" s="35"/>
      <c r="M1416" s="35"/>
      <c r="N1416" s="35"/>
      <c r="O1416" s="35"/>
      <c r="P1416" s="35"/>
      <c r="Q1416" s="35"/>
      <c r="R1416" s="35"/>
      <c r="S1416" s="35"/>
      <c r="T1416" s="35"/>
      <c r="U1416" s="35"/>
      <c r="V1416" s="35"/>
      <c r="W1416" s="35"/>
      <c r="X1416" s="35"/>
      <c r="Y1416" s="35"/>
      <c r="Z1416" s="35"/>
      <c r="AA1416" s="35"/>
      <c r="AB1416" s="35"/>
      <c r="AC1416" s="35"/>
      <c r="AD1416" s="35"/>
      <c r="AE1416" s="35"/>
      <c r="AF1416" s="35"/>
      <c r="AG1416" s="35"/>
      <c r="AH1416" s="35"/>
      <c r="AI1416" s="35"/>
      <c r="AJ1416" s="35"/>
      <c r="AK1416" s="35"/>
      <c r="AL1416" s="35"/>
      <c r="AM1416" s="35"/>
      <c r="AN1416" s="35"/>
      <c r="AO1416" s="35"/>
      <c r="AP1416" s="35"/>
      <c r="AQ1416" s="35"/>
      <c r="AR1416" s="35"/>
      <c r="AS1416" s="35"/>
      <c r="AT1416" s="35"/>
      <c r="AU1416" s="35"/>
      <c r="AV1416" s="35"/>
      <c r="AW1416" s="35"/>
      <c r="AX1416" s="35"/>
      <c r="AY1416" s="35"/>
      <c r="AZ1416" s="35"/>
      <c r="BA1416" s="35"/>
      <c r="BB1416" s="35"/>
      <c r="BC1416" s="35"/>
      <c r="BD1416" s="35"/>
      <c r="BE1416" s="35"/>
      <c r="BF1416" s="35"/>
      <c r="BG1416" s="35"/>
    </row>
    <row r="1417" ht="15.75" customHeight="1">
      <c r="A1417" s="35"/>
      <c r="B1417" s="35"/>
      <c r="C1417" s="35"/>
      <c r="D1417" s="35"/>
      <c r="E1417" s="35"/>
      <c r="F1417" s="35"/>
      <c r="G1417" s="35"/>
      <c r="H1417" s="35"/>
      <c r="I1417" s="35"/>
      <c r="J1417" s="35"/>
      <c r="K1417" s="35"/>
      <c r="L1417" s="35"/>
      <c r="M1417" s="35"/>
      <c r="N1417" s="35"/>
      <c r="O1417" s="35"/>
      <c r="P1417" s="35"/>
      <c r="Q1417" s="35"/>
      <c r="R1417" s="35"/>
      <c r="S1417" s="35"/>
      <c r="T1417" s="35"/>
      <c r="U1417" s="35"/>
      <c r="V1417" s="35"/>
      <c r="W1417" s="35"/>
      <c r="X1417" s="35"/>
      <c r="Y1417" s="35"/>
      <c r="Z1417" s="35"/>
      <c r="AA1417" s="35"/>
      <c r="AB1417" s="35"/>
      <c r="AC1417" s="35"/>
      <c r="AD1417" s="35"/>
      <c r="AE1417" s="35"/>
      <c r="AF1417" s="35"/>
      <c r="AG1417" s="35"/>
      <c r="AH1417" s="35"/>
      <c r="AI1417" s="35"/>
      <c r="AJ1417" s="35"/>
      <c r="AK1417" s="35"/>
      <c r="AL1417" s="35"/>
      <c r="AM1417" s="35"/>
      <c r="AN1417" s="35"/>
      <c r="AO1417" s="35"/>
      <c r="AP1417" s="35"/>
      <c r="AQ1417" s="35"/>
      <c r="AR1417" s="35"/>
      <c r="AS1417" s="35"/>
      <c r="AT1417" s="35"/>
      <c r="AU1417" s="35"/>
      <c r="AV1417" s="35"/>
      <c r="AW1417" s="35"/>
      <c r="AX1417" s="35"/>
      <c r="AY1417" s="35"/>
      <c r="AZ1417" s="35"/>
      <c r="BA1417" s="35"/>
      <c r="BB1417" s="35"/>
      <c r="BC1417" s="35"/>
      <c r="BD1417" s="35"/>
      <c r="BE1417" s="35"/>
      <c r="BF1417" s="35"/>
      <c r="BG1417" s="35"/>
    </row>
    <row r="1418" ht="15.75" customHeight="1">
      <c r="A1418" s="35"/>
      <c r="B1418" s="35"/>
      <c r="C1418" s="35"/>
      <c r="D1418" s="35"/>
      <c r="E1418" s="35"/>
      <c r="F1418" s="35"/>
      <c r="G1418" s="35"/>
      <c r="H1418" s="35"/>
      <c r="I1418" s="35"/>
      <c r="J1418" s="35"/>
      <c r="K1418" s="35"/>
      <c r="L1418" s="35"/>
      <c r="M1418" s="35"/>
      <c r="N1418" s="35"/>
      <c r="O1418" s="35"/>
      <c r="P1418" s="35"/>
      <c r="Q1418" s="35"/>
      <c r="R1418" s="35"/>
      <c r="S1418" s="35"/>
      <c r="T1418" s="35"/>
      <c r="U1418" s="35"/>
      <c r="V1418" s="35"/>
      <c r="W1418" s="35"/>
      <c r="X1418" s="35"/>
      <c r="Y1418" s="35"/>
      <c r="Z1418" s="35"/>
      <c r="AA1418" s="35"/>
      <c r="AB1418" s="35"/>
      <c r="AC1418" s="35"/>
      <c r="AD1418" s="35"/>
      <c r="AE1418" s="35"/>
      <c r="AF1418" s="35"/>
      <c r="AG1418" s="35"/>
      <c r="AH1418" s="35"/>
      <c r="AI1418" s="35"/>
      <c r="AJ1418" s="35"/>
      <c r="AK1418" s="35"/>
      <c r="AL1418" s="35"/>
      <c r="AM1418" s="35"/>
      <c r="AN1418" s="35"/>
      <c r="AO1418" s="35"/>
      <c r="AP1418" s="35"/>
      <c r="AQ1418" s="35"/>
      <c r="AR1418" s="35"/>
      <c r="AS1418" s="35"/>
      <c r="AT1418" s="35"/>
      <c r="AU1418" s="35"/>
      <c r="AV1418" s="35"/>
      <c r="AW1418" s="35"/>
      <c r="AX1418" s="35"/>
      <c r="AY1418" s="35"/>
      <c r="AZ1418" s="35"/>
      <c r="BA1418" s="35"/>
      <c r="BB1418" s="35"/>
      <c r="BC1418" s="35"/>
      <c r="BD1418" s="35"/>
      <c r="BE1418" s="35"/>
      <c r="BF1418" s="35"/>
      <c r="BG1418" s="35"/>
    </row>
    <row r="1419" ht="15.75" customHeight="1">
      <c r="A1419" s="35"/>
      <c r="B1419" s="35"/>
      <c r="C1419" s="35"/>
      <c r="D1419" s="35"/>
      <c r="E1419" s="35"/>
      <c r="F1419" s="35"/>
      <c r="G1419" s="35"/>
      <c r="H1419" s="35"/>
      <c r="I1419" s="35"/>
      <c r="J1419" s="35"/>
      <c r="K1419" s="35"/>
      <c r="L1419" s="35"/>
      <c r="M1419" s="35"/>
      <c r="N1419" s="35"/>
      <c r="O1419" s="35"/>
      <c r="P1419" s="35"/>
      <c r="Q1419" s="35"/>
      <c r="R1419" s="35"/>
      <c r="S1419" s="35"/>
      <c r="T1419" s="35"/>
      <c r="U1419" s="35"/>
      <c r="V1419" s="35"/>
      <c r="W1419" s="35"/>
      <c r="X1419" s="35"/>
      <c r="Y1419" s="35"/>
      <c r="Z1419" s="35"/>
      <c r="AA1419" s="35"/>
      <c r="AB1419" s="35"/>
      <c r="AC1419" s="35"/>
      <c r="AD1419" s="35"/>
      <c r="AE1419" s="35"/>
      <c r="AF1419" s="35"/>
      <c r="AG1419" s="35"/>
      <c r="AH1419" s="35"/>
      <c r="AI1419" s="35"/>
      <c r="AJ1419" s="35"/>
      <c r="AK1419" s="35"/>
      <c r="AL1419" s="35"/>
      <c r="AM1419" s="35"/>
      <c r="AN1419" s="35"/>
      <c r="AO1419" s="35"/>
      <c r="AP1419" s="35"/>
      <c r="AQ1419" s="35"/>
      <c r="AR1419" s="35"/>
      <c r="AS1419" s="35"/>
      <c r="AT1419" s="35"/>
      <c r="AU1419" s="35"/>
      <c r="AV1419" s="35"/>
      <c r="AW1419" s="35"/>
      <c r="AX1419" s="35"/>
      <c r="AY1419" s="35"/>
      <c r="AZ1419" s="35"/>
      <c r="BA1419" s="35"/>
      <c r="BB1419" s="35"/>
      <c r="BC1419" s="35"/>
      <c r="BD1419" s="35"/>
      <c r="BE1419" s="35"/>
      <c r="BF1419" s="35"/>
      <c r="BG1419" s="35"/>
    </row>
    <row r="1420" ht="15.75" customHeight="1">
      <c r="A1420" s="35"/>
      <c r="B1420" s="35"/>
      <c r="C1420" s="35"/>
      <c r="D1420" s="35"/>
      <c r="E1420" s="35"/>
      <c r="F1420" s="35"/>
      <c r="G1420" s="35"/>
      <c r="H1420" s="35"/>
      <c r="I1420" s="35"/>
      <c r="J1420" s="35"/>
      <c r="K1420" s="35"/>
      <c r="L1420" s="35"/>
      <c r="M1420" s="35"/>
      <c r="N1420" s="35"/>
      <c r="O1420" s="35"/>
      <c r="P1420" s="35"/>
      <c r="Q1420" s="35"/>
      <c r="R1420" s="35"/>
      <c r="S1420" s="35"/>
      <c r="T1420" s="35"/>
      <c r="U1420" s="35"/>
      <c r="V1420" s="35"/>
      <c r="W1420" s="35"/>
      <c r="X1420" s="35"/>
      <c r="Y1420" s="35"/>
      <c r="Z1420" s="35"/>
      <c r="AA1420" s="35"/>
      <c r="AB1420" s="35"/>
      <c r="AC1420" s="35"/>
      <c r="AD1420" s="35"/>
      <c r="AE1420" s="35"/>
      <c r="AF1420" s="35"/>
      <c r="AG1420" s="35"/>
      <c r="AH1420" s="35"/>
      <c r="AI1420" s="35"/>
      <c r="AJ1420" s="35"/>
      <c r="AK1420" s="35"/>
      <c r="AL1420" s="35"/>
      <c r="AM1420" s="35"/>
      <c r="AN1420" s="35"/>
      <c r="AO1420" s="35"/>
      <c r="AP1420" s="35"/>
      <c r="AQ1420" s="35"/>
      <c r="AR1420" s="35"/>
      <c r="AS1420" s="35"/>
      <c r="AT1420" s="35"/>
      <c r="AU1420" s="35"/>
      <c r="AV1420" s="35"/>
      <c r="AW1420" s="35"/>
      <c r="AX1420" s="35"/>
      <c r="AY1420" s="35"/>
      <c r="AZ1420" s="35"/>
      <c r="BA1420" s="35"/>
      <c r="BB1420" s="35"/>
      <c r="BC1420" s="35"/>
      <c r="BD1420" s="35"/>
      <c r="BE1420" s="35"/>
      <c r="BF1420" s="35"/>
      <c r="BG1420" s="35"/>
    </row>
    <row r="1421" ht="15.75" customHeight="1">
      <c r="A1421" s="35"/>
      <c r="B1421" s="35"/>
      <c r="C1421" s="35"/>
      <c r="D1421" s="35"/>
      <c r="E1421" s="35"/>
      <c r="F1421" s="35"/>
      <c r="G1421" s="35"/>
      <c r="H1421" s="35"/>
      <c r="I1421" s="35"/>
      <c r="J1421" s="35"/>
      <c r="K1421" s="35"/>
      <c r="L1421" s="35"/>
      <c r="M1421" s="35"/>
      <c r="N1421" s="35"/>
      <c r="O1421" s="35"/>
      <c r="P1421" s="35"/>
      <c r="Q1421" s="35"/>
      <c r="R1421" s="35"/>
      <c r="S1421" s="35"/>
      <c r="T1421" s="35"/>
      <c r="U1421" s="35"/>
      <c r="V1421" s="35"/>
      <c r="W1421" s="35"/>
      <c r="X1421" s="35"/>
      <c r="Y1421" s="35"/>
      <c r="Z1421" s="35"/>
      <c r="AA1421" s="35"/>
      <c r="AB1421" s="35"/>
      <c r="AC1421" s="35"/>
      <c r="AD1421" s="35"/>
      <c r="AE1421" s="35"/>
      <c r="AF1421" s="35"/>
      <c r="AG1421" s="35"/>
      <c r="AH1421" s="35"/>
      <c r="AI1421" s="35"/>
      <c r="AJ1421" s="35"/>
      <c r="AK1421" s="35"/>
      <c r="AL1421" s="35"/>
      <c r="AM1421" s="35"/>
      <c r="AN1421" s="35"/>
      <c r="AO1421" s="35"/>
      <c r="AP1421" s="35"/>
      <c r="AQ1421" s="35"/>
      <c r="AR1421" s="35"/>
      <c r="AS1421" s="35"/>
      <c r="AT1421" s="35"/>
      <c r="AU1421" s="35"/>
      <c r="AV1421" s="35"/>
      <c r="AW1421" s="35"/>
      <c r="AX1421" s="35"/>
      <c r="AY1421" s="35"/>
      <c r="AZ1421" s="35"/>
      <c r="BA1421" s="35"/>
      <c r="BB1421" s="35"/>
      <c r="BC1421" s="35"/>
      <c r="BD1421" s="35"/>
      <c r="BE1421" s="35"/>
      <c r="BF1421" s="35"/>
      <c r="BG1421" s="35"/>
    </row>
    <row r="1422" ht="15.75" customHeight="1">
      <c r="A1422" s="35"/>
      <c r="B1422" s="35"/>
      <c r="C1422" s="35"/>
      <c r="D1422" s="35"/>
      <c r="E1422" s="35"/>
      <c r="F1422" s="35"/>
      <c r="G1422" s="35"/>
      <c r="H1422" s="35"/>
      <c r="I1422" s="35"/>
      <c r="J1422" s="35"/>
      <c r="K1422" s="35"/>
      <c r="L1422" s="35"/>
      <c r="M1422" s="35"/>
      <c r="N1422" s="35"/>
      <c r="O1422" s="35"/>
      <c r="P1422" s="35"/>
      <c r="Q1422" s="35"/>
      <c r="R1422" s="35"/>
      <c r="S1422" s="35"/>
      <c r="T1422" s="35"/>
      <c r="U1422" s="35"/>
      <c r="V1422" s="35"/>
      <c r="W1422" s="35"/>
      <c r="X1422" s="35"/>
      <c r="Y1422" s="35"/>
      <c r="Z1422" s="35"/>
      <c r="AA1422" s="35"/>
      <c r="AB1422" s="35"/>
      <c r="AC1422" s="35"/>
      <c r="AD1422" s="35"/>
      <c r="AE1422" s="35"/>
      <c r="AF1422" s="35"/>
      <c r="AG1422" s="35"/>
      <c r="AH1422" s="35"/>
      <c r="AI1422" s="35"/>
      <c r="AJ1422" s="35"/>
      <c r="AK1422" s="35"/>
      <c r="AL1422" s="35"/>
      <c r="AM1422" s="35"/>
      <c r="AN1422" s="35"/>
      <c r="AO1422" s="35"/>
      <c r="AP1422" s="35"/>
      <c r="AQ1422" s="35"/>
      <c r="AR1422" s="35"/>
      <c r="AS1422" s="35"/>
      <c r="AT1422" s="35"/>
      <c r="AU1422" s="35"/>
      <c r="AV1422" s="35"/>
      <c r="AW1422" s="35"/>
      <c r="AX1422" s="35"/>
      <c r="AY1422" s="35"/>
      <c r="AZ1422" s="35"/>
      <c r="BA1422" s="35"/>
      <c r="BB1422" s="35"/>
      <c r="BC1422" s="35"/>
      <c r="BD1422" s="35"/>
      <c r="BE1422" s="35"/>
      <c r="BF1422" s="35"/>
      <c r="BG1422" s="35"/>
    </row>
    <row r="1423" ht="15.75" customHeight="1">
      <c r="A1423" s="35"/>
      <c r="B1423" s="35"/>
      <c r="C1423" s="35"/>
      <c r="D1423" s="35"/>
      <c r="E1423" s="35"/>
      <c r="F1423" s="35"/>
      <c r="G1423" s="35"/>
      <c r="H1423" s="35"/>
      <c r="I1423" s="35"/>
      <c r="J1423" s="35"/>
      <c r="K1423" s="35"/>
      <c r="L1423" s="35"/>
      <c r="M1423" s="35"/>
      <c r="N1423" s="35"/>
      <c r="O1423" s="35"/>
      <c r="P1423" s="35"/>
      <c r="Q1423" s="35"/>
      <c r="R1423" s="35"/>
      <c r="S1423" s="35"/>
      <c r="T1423" s="35"/>
      <c r="U1423" s="35"/>
      <c r="V1423" s="35"/>
      <c r="W1423" s="35"/>
      <c r="X1423" s="35"/>
      <c r="Y1423" s="35"/>
      <c r="Z1423" s="35"/>
      <c r="AA1423" s="35"/>
      <c r="AB1423" s="35"/>
      <c r="AC1423" s="35"/>
      <c r="AD1423" s="35"/>
      <c r="AE1423" s="35"/>
      <c r="AF1423" s="35"/>
      <c r="AG1423" s="35"/>
      <c r="AH1423" s="35"/>
      <c r="AI1423" s="35"/>
      <c r="AJ1423" s="35"/>
      <c r="AK1423" s="35"/>
      <c r="AL1423" s="35"/>
      <c r="AM1423" s="35"/>
      <c r="AN1423" s="35"/>
      <c r="AO1423" s="35"/>
      <c r="AP1423" s="35"/>
      <c r="AQ1423" s="35"/>
      <c r="AR1423" s="35"/>
      <c r="AS1423" s="35"/>
      <c r="AT1423" s="35"/>
      <c r="AU1423" s="35"/>
      <c r="AV1423" s="35"/>
      <c r="AW1423" s="35"/>
      <c r="AX1423" s="35"/>
      <c r="AY1423" s="35"/>
      <c r="AZ1423" s="35"/>
      <c r="BA1423" s="35"/>
      <c r="BB1423" s="35"/>
      <c r="BC1423" s="35"/>
      <c r="BD1423" s="35"/>
      <c r="BE1423" s="35"/>
      <c r="BF1423" s="35"/>
      <c r="BG1423" s="35"/>
    </row>
    <row r="1424" ht="15.75" customHeight="1">
      <c r="A1424" s="35"/>
      <c r="B1424" s="35"/>
      <c r="C1424" s="35"/>
      <c r="D1424" s="35"/>
      <c r="E1424" s="35"/>
      <c r="F1424" s="35"/>
      <c r="G1424" s="35"/>
      <c r="H1424" s="35"/>
      <c r="I1424" s="35"/>
      <c r="J1424" s="35"/>
      <c r="K1424" s="35"/>
      <c r="L1424" s="35"/>
      <c r="M1424" s="35"/>
      <c r="N1424" s="35"/>
      <c r="O1424" s="35"/>
      <c r="P1424" s="35"/>
      <c r="Q1424" s="35"/>
      <c r="R1424" s="35"/>
      <c r="S1424" s="35"/>
      <c r="T1424" s="35"/>
      <c r="U1424" s="35"/>
      <c r="V1424" s="35"/>
      <c r="W1424" s="35"/>
      <c r="X1424" s="35"/>
      <c r="Y1424" s="35"/>
      <c r="Z1424" s="35"/>
      <c r="AA1424" s="35"/>
      <c r="AB1424" s="35"/>
      <c r="AC1424" s="35"/>
      <c r="AD1424" s="35"/>
      <c r="AE1424" s="35"/>
      <c r="AF1424" s="35"/>
      <c r="AG1424" s="35"/>
      <c r="AH1424" s="35"/>
      <c r="AI1424" s="35"/>
      <c r="AJ1424" s="35"/>
      <c r="AK1424" s="35"/>
      <c r="AL1424" s="35"/>
      <c r="AM1424" s="35"/>
      <c r="AN1424" s="35"/>
      <c r="AO1424" s="35"/>
      <c r="AP1424" s="35"/>
      <c r="AQ1424" s="35"/>
      <c r="AR1424" s="35"/>
      <c r="AS1424" s="35"/>
      <c r="AT1424" s="35"/>
      <c r="AU1424" s="35"/>
      <c r="AV1424" s="35"/>
      <c r="AW1424" s="35"/>
      <c r="AX1424" s="35"/>
      <c r="AY1424" s="35"/>
      <c r="AZ1424" s="35"/>
      <c r="BA1424" s="35"/>
      <c r="BB1424" s="35"/>
      <c r="BC1424" s="35"/>
      <c r="BD1424" s="35"/>
      <c r="BE1424" s="35"/>
      <c r="BF1424" s="35"/>
      <c r="BG1424" s="35"/>
    </row>
    <row r="1425" ht="15.75" customHeight="1">
      <c r="A1425" s="35"/>
      <c r="B1425" s="35"/>
      <c r="C1425" s="35"/>
      <c r="D1425" s="35"/>
      <c r="E1425" s="35"/>
      <c r="F1425" s="35"/>
      <c r="G1425" s="35"/>
      <c r="H1425" s="35"/>
      <c r="I1425" s="35"/>
      <c r="J1425" s="35"/>
      <c r="K1425" s="35"/>
      <c r="L1425" s="35"/>
      <c r="M1425" s="35"/>
      <c r="N1425" s="35"/>
      <c r="O1425" s="35"/>
      <c r="P1425" s="35"/>
      <c r="Q1425" s="35"/>
      <c r="R1425" s="35"/>
      <c r="S1425" s="35"/>
      <c r="T1425" s="35"/>
      <c r="U1425" s="35"/>
      <c r="V1425" s="35"/>
      <c r="W1425" s="35"/>
      <c r="X1425" s="35"/>
      <c r="Y1425" s="35"/>
      <c r="Z1425" s="35"/>
      <c r="AA1425" s="35"/>
      <c r="AB1425" s="35"/>
      <c r="AC1425" s="35"/>
      <c r="AD1425" s="35"/>
      <c r="AE1425" s="35"/>
      <c r="AF1425" s="35"/>
      <c r="AG1425" s="35"/>
      <c r="AH1425" s="35"/>
      <c r="AI1425" s="35"/>
      <c r="AJ1425" s="35"/>
      <c r="AK1425" s="35"/>
      <c r="AL1425" s="35"/>
      <c r="AM1425" s="35"/>
      <c r="AN1425" s="35"/>
      <c r="AO1425" s="35"/>
      <c r="AP1425" s="35"/>
      <c r="AQ1425" s="35"/>
      <c r="AR1425" s="35"/>
      <c r="AS1425" s="35"/>
      <c r="AT1425" s="35"/>
      <c r="AU1425" s="35"/>
      <c r="AV1425" s="35"/>
      <c r="AW1425" s="35"/>
      <c r="AX1425" s="35"/>
      <c r="AY1425" s="35"/>
      <c r="AZ1425" s="35"/>
      <c r="BA1425" s="35"/>
      <c r="BB1425" s="35"/>
      <c r="BC1425" s="35"/>
      <c r="BD1425" s="35"/>
      <c r="BE1425" s="35"/>
      <c r="BF1425" s="35"/>
      <c r="BG1425" s="35"/>
    </row>
    <row r="1426" ht="15.75" customHeight="1">
      <c r="A1426" s="35"/>
      <c r="B1426" s="35"/>
      <c r="C1426" s="35"/>
      <c r="D1426" s="35"/>
      <c r="E1426" s="35"/>
      <c r="F1426" s="35"/>
      <c r="G1426" s="35"/>
      <c r="H1426" s="35"/>
      <c r="I1426" s="35"/>
      <c r="J1426" s="35"/>
      <c r="K1426" s="35"/>
      <c r="L1426" s="35"/>
      <c r="M1426" s="35"/>
      <c r="N1426" s="35"/>
      <c r="O1426" s="35"/>
      <c r="P1426" s="35"/>
      <c r="Q1426" s="35"/>
      <c r="R1426" s="35"/>
      <c r="S1426" s="35"/>
      <c r="T1426" s="35"/>
      <c r="U1426" s="35"/>
      <c r="V1426" s="35"/>
      <c r="W1426" s="35"/>
      <c r="X1426" s="35"/>
      <c r="Y1426" s="35"/>
      <c r="Z1426" s="35"/>
      <c r="AA1426" s="35"/>
      <c r="AB1426" s="35"/>
      <c r="AC1426" s="35"/>
      <c r="AD1426" s="35"/>
      <c r="AE1426" s="35"/>
      <c r="AF1426" s="35"/>
      <c r="AG1426" s="35"/>
      <c r="AH1426" s="35"/>
      <c r="AI1426" s="35"/>
      <c r="AJ1426" s="35"/>
      <c r="AK1426" s="35"/>
      <c r="AL1426" s="35"/>
      <c r="AM1426" s="35"/>
      <c r="AN1426" s="35"/>
      <c r="AO1426" s="35"/>
      <c r="AP1426" s="35"/>
      <c r="AQ1426" s="35"/>
      <c r="AR1426" s="35"/>
      <c r="AS1426" s="35"/>
      <c r="AT1426" s="35"/>
      <c r="AU1426" s="35"/>
      <c r="AV1426" s="35"/>
      <c r="AW1426" s="35"/>
      <c r="AX1426" s="35"/>
      <c r="AY1426" s="35"/>
      <c r="AZ1426" s="35"/>
      <c r="BA1426" s="35"/>
      <c r="BB1426" s="35"/>
      <c r="BC1426" s="35"/>
      <c r="BD1426" s="35"/>
      <c r="BE1426" s="35"/>
      <c r="BF1426" s="35"/>
      <c r="BG1426" s="35"/>
    </row>
    <row r="1427" ht="15.75" customHeight="1">
      <c r="A1427" s="35"/>
      <c r="B1427" s="35"/>
      <c r="C1427" s="35"/>
      <c r="D1427" s="35"/>
      <c r="E1427" s="35"/>
      <c r="F1427" s="35"/>
      <c r="G1427" s="35"/>
      <c r="H1427" s="35"/>
      <c r="I1427" s="35"/>
      <c r="J1427" s="35"/>
      <c r="K1427" s="35"/>
      <c r="L1427" s="35"/>
      <c r="M1427" s="35"/>
      <c r="N1427" s="35"/>
      <c r="O1427" s="35"/>
      <c r="P1427" s="35"/>
      <c r="Q1427" s="35"/>
      <c r="R1427" s="35"/>
      <c r="S1427" s="35"/>
      <c r="T1427" s="35"/>
      <c r="U1427" s="35"/>
      <c r="V1427" s="35"/>
      <c r="W1427" s="35"/>
      <c r="X1427" s="35"/>
      <c r="Y1427" s="35"/>
      <c r="Z1427" s="35"/>
      <c r="AA1427" s="35"/>
      <c r="AB1427" s="35"/>
      <c r="AC1427" s="35"/>
      <c r="AD1427" s="35"/>
      <c r="AE1427" s="35"/>
      <c r="AF1427" s="35"/>
      <c r="AG1427" s="35"/>
      <c r="AH1427" s="35"/>
      <c r="AI1427" s="35"/>
      <c r="AJ1427" s="35"/>
      <c r="AK1427" s="35"/>
      <c r="AL1427" s="35"/>
      <c r="AM1427" s="35"/>
      <c r="AN1427" s="35"/>
      <c r="AO1427" s="35"/>
      <c r="AP1427" s="35"/>
      <c r="AQ1427" s="35"/>
      <c r="AR1427" s="35"/>
      <c r="AS1427" s="35"/>
      <c r="AT1427" s="35"/>
      <c r="AU1427" s="35"/>
      <c r="AV1427" s="35"/>
      <c r="AW1427" s="35"/>
      <c r="AX1427" s="35"/>
      <c r="AY1427" s="35"/>
      <c r="AZ1427" s="35"/>
      <c r="BA1427" s="35"/>
      <c r="BB1427" s="35"/>
      <c r="BC1427" s="35"/>
      <c r="BD1427" s="35"/>
      <c r="BE1427" s="35"/>
      <c r="BF1427" s="35"/>
      <c r="BG1427" s="35"/>
    </row>
    <row r="1428" ht="15.75" customHeight="1">
      <c r="A1428" s="35"/>
      <c r="B1428" s="35"/>
      <c r="C1428" s="35"/>
      <c r="D1428" s="35"/>
      <c r="E1428" s="35"/>
      <c r="F1428" s="35"/>
      <c r="G1428" s="35"/>
      <c r="H1428" s="35"/>
      <c r="I1428" s="35"/>
      <c r="J1428" s="35"/>
      <c r="K1428" s="35"/>
      <c r="L1428" s="35"/>
      <c r="M1428" s="35"/>
      <c r="N1428" s="35"/>
      <c r="O1428" s="35"/>
      <c r="P1428" s="35"/>
      <c r="Q1428" s="35"/>
      <c r="R1428" s="35"/>
      <c r="S1428" s="35"/>
      <c r="T1428" s="35"/>
      <c r="U1428" s="35"/>
      <c r="V1428" s="35"/>
      <c r="W1428" s="35"/>
      <c r="X1428" s="35"/>
      <c r="Y1428" s="35"/>
      <c r="Z1428" s="35"/>
      <c r="AA1428" s="35"/>
      <c r="AB1428" s="35"/>
      <c r="AC1428" s="35"/>
      <c r="AD1428" s="35"/>
      <c r="AE1428" s="35"/>
      <c r="AF1428" s="35"/>
      <c r="AG1428" s="35"/>
      <c r="AH1428" s="35"/>
      <c r="AI1428" s="35"/>
      <c r="AJ1428" s="35"/>
      <c r="AK1428" s="35"/>
      <c r="AL1428" s="35"/>
      <c r="AM1428" s="35"/>
      <c r="AN1428" s="35"/>
      <c r="AO1428" s="35"/>
      <c r="AP1428" s="35"/>
      <c r="AQ1428" s="35"/>
      <c r="AR1428" s="35"/>
      <c r="AS1428" s="35"/>
      <c r="AT1428" s="35"/>
      <c r="AU1428" s="35"/>
      <c r="AV1428" s="35"/>
      <c r="AW1428" s="35"/>
      <c r="AX1428" s="35"/>
      <c r="AY1428" s="35"/>
      <c r="AZ1428" s="35"/>
      <c r="BA1428" s="35"/>
      <c r="BB1428" s="35"/>
      <c r="BC1428" s="35"/>
      <c r="BD1428" s="35"/>
      <c r="BE1428" s="35"/>
      <c r="BF1428" s="35"/>
      <c r="BG1428" s="35"/>
    </row>
    <row r="1429" ht="15.75" customHeight="1">
      <c r="A1429" s="35"/>
      <c r="B1429" s="35"/>
      <c r="C1429" s="35"/>
      <c r="D1429" s="35"/>
      <c r="E1429" s="35"/>
      <c r="F1429" s="35"/>
      <c r="G1429" s="35"/>
      <c r="H1429" s="35"/>
      <c r="I1429" s="35"/>
      <c r="J1429" s="35"/>
      <c r="K1429" s="35"/>
      <c r="L1429" s="35"/>
      <c r="M1429" s="35"/>
      <c r="N1429" s="35"/>
      <c r="O1429" s="35"/>
      <c r="P1429" s="35"/>
      <c r="Q1429" s="35"/>
      <c r="R1429" s="35"/>
      <c r="S1429" s="35"/>
      <c r="T1429" s="35"/>
      <c r="U1429" s="35"/>
      <c r="V1429" s="35"/>
      <c r="W1429" s="35"/>
      <c r="X1429" s="35"/>
      <c r="Y1429" s="35"/>
      <c r="Z1429" s="35"/>
      <c r="AA1429" s="35"/>
      <c r="AB1429" s="35"/>
      <c r="AC1429" s="35"/>
      <c r="AD1429" s="35"/>
      <c r="AE1429" s="35"/>
      <c r="AF1429" s="35"/>
      <c r="AG1429" s="35"/>
      <c r="AH1429" s="35"/>
      <c r="AI1429" s="35"/>
      <c r="AJ1429" s="35"/>
      <c r="AK1429" s="35"/>
      <c r="AL1429" s="35"/>
      <c r="AM1429" s="35"/>
      <c r="AN1429" s="35"/>
      <c r="AO1429" s="35"/>
      <c r="AP1429" s="35"/>
      <c r="AQ1429" s="35"/>
      <c r="AR1429" s="35"/>
      <c r="AS1429" s="35"/>
      <c r="AT1429" s="35"/>
      <c r="AU1429" s="35"/>
      <c r="AV1429" s="35"/>
      <c r="AW1429" s="35"/>
      <c r="AX1429" s="35"/>
      <c r="AY1429" s="35"/>
      <c r="AZ1429" s="35"/>
      <c r="BA1429" s="35"/>
      <c r="BB1429" s="35"/>
      <c r="BC1429" s="35"/>
      <c r="BD1429" s="35"/>
      <c r="BE1429" s="35"/>
      <c r="BF1429" s="35"/>
      <c r="BG1429" s="35"/>
    </row>
    <row r="1430" ht="15.75" customHeight="1">
      <c r="A1430" s="35"/>
      <c r="B1430" s="35"/>
      <c r="C1430" s="35"/>
      <c r="D1430" s="35"/>
      <c r="E1430" s="35"/>
      <c r="F1430" s="35"/>
      <c r="G1430" s="35"/>
      <c r="H1430" s="35"/>
      <c r="I1430" s="35"/>
      <c r="J1430" s="35"/>
      <c r="K1430" s="35"/>
      <c r="L1430" s="35"/>
      <c r="M1430" s="35"/>
      <c r="N1430" s="35"/>
      <c r="O1430" s="35"/>
      <c r="P1430" s="35"/>
      <c r="Q1430" s="35"/>
      <c r="R1430" s="35"/>
      <c r="S1430" s="35"/>
      <c r="T1430" s="35"/>
      <c r="U1430" s="35"/>
      <c r="V1430" s="35"/>
      <c r="W1430" s="35"/>
      <c r="X1430" s="35"/>
      <c r="Y1430" s="35"/>
      <c r="Z1430" s="35"/>
      <c r="AA1430" s="35"/>
      <c r="AB1430" s="35"/>
      <c r="AC1430" s="35"/>
      <c r="AD1430" s="35"/>
      <c r="AE1430" s="35"/>
      <c r="AF1430" s="35"/>
      <c r="AG1430" s="35"/>
      <c r="AH1430" s="35"/>
      <c r="AI1430" s="35"/>
      <c r="AJ1430" s="35"/>
      <c r="AK1430" s="35"/>
      <c r="AL1430" s="35"/>
      <c r="AM1430" s="35"/>
      <c r="AN1430" s="35"/>
      <c r="AO1430" s="35"/>
      <c r="AP1430" s="35"/>
      <c r="AQ1430" s="35"/>
      <c r="AR1430" s="35"/>
      <c r="AS1430" s="35"/>
      <c r="AT1430" s="35"/>
      <c r="AU1430" s="35"/>
      <c r="AV1430" s="35"/>
      <c r="AW1430" s="35"/>
      <c r="AX1430" s="35"/>
      <c r="AY1430" s="35"/>
      <c r="AZ1430" s="35"/>
      <c r="BA1430" s="35"/>
      <c r="BB1430" s="35"/>
      <c r="BC1430" s="35"/>
      <c r="BD1430" s="35"/>
      <c r="BE1430" s="35"/>
      <c r="BF1430" s="35"/>
      <c r="BG1430" s="35"/>
    </row>
    <row r="1431" ht="15.75" customHeight="1">
      <c r="A1431" s="35"/>
      <c r="B1431" s="35"/>
      <c r="C1431" s="35"/>
      <c r="D1431" s="35"/>
      <c r="E1431" s="35"/>
      <c r="F1431" s="35"/>
      <c r="G1431" s="35"/>
      <c r="H1431" s="35"/>
      <c r="I1431" s="35"/>
      <c r="J1431" s="35"/>
      <c r="K1431" s="35"/>
      <c r="L1431" s="35"/>
      <c r="M1431" s="35"/>
      <c r="N1431" s="35"/>
      <c r="O1431" s="35"/>
      <c r="P1431" s="35"/>
      <c r="Q1431" s="35"/>
      <c r="R1431" s="35"/>
      <c r="S1431" s="35"/>
      <c r="T1431" s="35"/>
      <c r="U1431" s="35"/>
      <c r="V1431" s="35"/>
      <c r="W1431" s="35"/>
      <c r="X1431" s="35"/>
      <c r="Y1431" s="35"/>
      <c r="Z1431" s="35"/>
      <c r="AA1431" s="35"/>
      <c r="AB1431" s="35"/>
      <c r="AC1431" s="35"/>
      <c r="AD1431" s="35"/>
      <c r="AE1431" s="35"/>
      <c r="AF1431" s="35"/>
      <c r="AG1431" s="35"/>
      <c r="AH1431" s="35"/>
      <c r="AI1431" s="35"/>
      <c r="AJ1431" s="35"/>
      <c r="AK1431" s="35"/>
      <c r="AL1431" s="35"/>
      <c r="AM1431" s="35"/>
      <c r="AN1431" s="35"/>
      <c r="AO1431" s="35"/>
      <c r="AP1431" s="35"/>
      <c r="AQ1431" s="35"/>
      <c r="AR1431" s="35"/>
      <c r="AS1431" s="35"/>
      <c r="AT1431" s="35"/>
      <c r="AU1431" s="35"/>
      <c r="AV1431" s="35"/>
      <c r="AW1431" s="35"/>
      <c r="AX1431" s="35"/>
      <c r="AY1431" s="35"/>
      <c r="AZ1431" s="35"/>
      <c r="BA1431" s="35"/>
      <c r="BB1431" s="35"/>
      <c r="BC1431" s="35"/>
      <c r="BD1431" s="35"/>
      <c r="BE1431" s="35"/>
      <c r="BF1431" s="35"/>
      <c r="BG1431" s="35"/>
    </row>
    <row r="1432" ht="15.75" customHeight="1">
      <c r="A1432" s="35"/>
      <c r="B1432" s="35"/>
      <c r="C1432" s="35"/>
      <c r="D1432" s="35"/>
      <c r="E1432" s="35"/>
      <c r="F1432" s="35"/>
      <c r="G1432" s="35"/>
      <c r="H1432" s="35"/>
      <c r="I1432" s="35"/>
      <c r="J1432" s="35"/>
      <c r="K1432" s="35"/>
      <c r="L1432" s="35"/>
      <c r="M1432" s="35"/>
      <c r="N1432" s="35"/>
      <c r="O1432" s="35"/>
      <c r="P1432" s="35"/>
      <c r="Q1432" s="35"/>
      <c r="R1432" s="35"/>
      <c r="S1432" s="35"/>
      <c r="T1432" s="35"/>
      <c r="U1432" s="35"/>
      <c r="V1432" s="35"/>
      <c r="W1432" s="35"/>
      <c r="X1432" s="35"/>
      <c r="Y1432" s="35"/>
      <c r="Z1432" s="35"/>
      <c r="AA1432" s="35"/>
      <c r="AB1432" s="35"/>
      <c r="AC1432" s="35"/>
      <c r="AD1432" s="35"/>
      <c r="AE1432" s="35"/>
      <c r="AF1432" s="35"/>
      <c r="AG1432" s="35"/>
      <c r="AH1432" s="35"/>
      <c r="AI1432" s="35"/>
      <c r="AJ1432" s="35"/>
      <c r="AK1432" s="35"/>
      <c r="AL1432" s="35"/>
      <c r="AM1432" s="35"/>
      <c r="AN1432" s="35"/>
      <c r="AO1432" s="35"/>
      <c r="AP1432" s="35"/>
      <c r="AQ1432" s="35"/>
      <c r="AR1432" s="35"/>
      <c r="AS1432" s="35"/>
      <c r="AT1432" s="35"/>
      <c r="AU1432" s="35"/>
      <c r="AV1432" s="35"/>
      <c r="AW1432" s="35"/>
      <c r="AX1432" s="35"/>
      <c r="AY1432" s="35"/>
      <c r="AZ1432" s="35"/>
      <c r="BA1432" s="35"/>
      <c r="BB1432" s="35"/>
      <c r="BC1432" s="35"/>
      <c r="BD1432" s="35"/>
      <c r="BE1432" s="35"/>
      <c r="BF1432" s="35"/>
      <c r="BG1432" s="35"/>
    </row>
    <row r="1433" ht="15.75" customHeight="1">
      <c r="A1433" s="35"/>
      <c r="B1433" s="35"/>
      <c r="C1433" s="35"/>
      <c r="D1433" s="35"/>
      <c r="E1433" s="35"/>
      <c r="F1433" s="35"/>
      <c r="G1433" s="35"/>
      <c r="H1433" s="35"/>
      <c r="I1433" s="35"/>
      <c r="J1433" s="35"/>
      <c r="K1433" s="35"/>
      <c r="L1433" s="35"/>
      <c r="M1433" s="35"/>
      <c r="N1433" s="35"/>
      <c r="O1433" s="35"/>
      <c r="P1433" s="35"/>
      <c r="Q1433" s="35"/>
      <c r="R1433" s="35"/>
      <c r="S1433" s="35"/>
      <c r="T1433" s="35"/>
      <c r="U1433" s="35"/>
      <c r="V1433" s="35"/>
      <c r="W1433" s="35"/>
      <c r="X1433" s="35"/>
      <c r="Y1433" s="35"/>
      <c r="Z1433" s="35"/>
      <c r="AA1433" s="35"/>
      <c r="AB1433" s="35"/>
      <c r="AC1433" s="35"/>
      <c r="AD1433" s="35"/>
      <c r="AE1433" s="35"/>
      <c r="AF1433" s="35"/>
      <c r="AG1433" s="35"/>
      <c r="AH1433" s="35"/>
      <c r="AI1433" s="35"/>
      <c r="AJ1433" s="35"/>
      <c r="AK1433" s="35"/>
      <c r="AL1433" s="35"/>
      <c r="AM1433" s="35"/>
      <c r="AN1433" s="35"/>
      <c r="AO1433" s="35"/>
      <c r="AP1433" s="35"/>
      <c r="AQ1433" s="35"/>
      <c r="AR1433" s="35"/>
      <c r="AS1433" s="35"/>
      <c r="AT1433" s="35"/>
      <c r="AU1433" s="35"/>
      <c r="AV1433" s="35"/>
      <c r="AW1433" s="35"/>
      <c r="AX1433" s="35"/>
      <c r="AY1433" s="35"/>
      <c r="AZ1433" s="35"/>
      <c r="BA1433" s="35"/>
      <c r="BB1433" s="35"/>
      <c r="BC1433" s="35"/>
      <c r="BD1433" s="35"/>
      <c r="BE1433" s="35"/>
      <c r="BF1433" s="35"/>
      <c r="BG1433" s="35"/>
    </row>
    <row r="1434" ht="15.75" customHeight="1">
      <c r="A1434" s="35"/>
      <c r="B1434" s="35"/>
      <c r="C1434" s="35"/>
      <c r="D1434" s="35"/>
      <c r="E1434" s="35"/>
      <c r="F1434" s="35"/>
      <c r="G1434" s="35"/>
      <c r="H1434" s="35"/>
      <c r="I1434" s="35"/>
      <c r="J1434" s="35"/>
      <c r="K1434" s="35"/>
      <c r="L1434" s="35"/>
      <c r="M1434" s="35"/>
      <c r="N1434" s="35"/>
      <c r="O1434" s="35"/>
      <c r="P1434" s="35"/>
      <c r="Q1434" s="35"/>
      <c r="R1434" s="35"/>
      <c r="S1434" s="35"/>
      <c r="T1434" s="35"/>
      <c r="U1434" s="35"/>
      <c r="V1434" s="35"/>
      <c r="W1434" s="35"/>
      <c r="X1434" s="35"/>
      <c r="Y1434" s="35"/>
      <c r="Z1434" s="35"/>
      <c r="AA1434" s="35"/>
      <c r="AB1434" s="35"/>
      <c r="AC1434" s="35"/>
      <c r="AD1434" s="35"/>
      <c r="AE1434" s="35"/>
      <c r="AF1434" s="35"/>
      <c r="AG1434" s="35"/>
      <c r="AH1434" s="35"/>
      <c r="AI1434" s="35"/>
      <c r="AJ1434" s="35"/>
      <c r="AK1434" s="35"/>
      <c r="AL1434" s="35"/>
      <c r="AM1434" s="35"/>
      <c r="AN1434" s="35"/>
      <c r="AO1434" s="35"/>
      <c r="AP1434" s="35"/>
      <c r="AQ1434" s="35"/>
      <c r="AR1434" s="35"/>
      <c r="AS1434" s="35"/>
      <c r="AT1434" s="35"/>
      <c r="AU1434" s="35"/>
      <c r="AV1434" s="35"/>
      <c r="AW1434" s="35"/>
      <c r="AX1434" s="35"/>
      <c r="AY1434" s="35"/>
      <c r="AZ1434" s="35"/>
      <c r="BA1434" s="35"/>
      <c r="BB1434" s="35"/>
      <c r="BC1434" s="35"/>
      <c r="BD1434" s="35"/>
      <c r="BE1434" s="35"/>
      <c r="BF1434" s="35"/>
      <c r="BG1434" s="35"/>
    </row>
    <row r="1435" ht="15.75" customHeight="1">
      <c r="A1435" s="35"/>
      <c r="B1435" s="35"/>
      <c r="C1435" s="35"/>
      <c r="D1435" s="35"/>
      <c r="E1435" s="35"/>
      <c r="F1435" s="35"/>
      <c r="G1435" s="35"/>
      <c r="H1435" s="35"/>
      <c r="I1435" s="35"/>
      <c r="J1435" s="35"/>
      <c r="K1435" s="35"/>
      <c r="L1435" s="35"/>
      <c r="M1435" s="35"/>
      <c r="N1435" s="35"/>
      <c r="O1435" s="35"/>
      <c r="P1435" s="35"/>
      <c r="Q1435" s="35"/>
      <c r="R1435" s="35"/>
      <c r="S1435" s="35"/>
      <c r="T1435" s="35"/>
      <c r="U1435" s="35"/>
      <c r="V1435" s="35"/>
      <c r="W1435" s="35"/>
      <c r="X1435" s="35"/>
      <c r="Y1435" s="35"/>
      <c r="Z1435" s="35"/>
      <c r="AA1435" s="35"/>
      <c r="AB1435" s="35"/>
      <c r="AC1435" s="35"/>
      <c r="AD1435" s="35"/>
      <c r="AE1435" s="35"/>
      <c r="AF1435" s="35"/>
      <c r="AG1435" s="35"/>
      <c r="AH1435" s="35"/>
      <c r="AI1435" s="35"/>
      <c r="AJ1435" s="35"/>
      <c r="AK1435" s="35"/>
      <c r="AL1435" s="35"/>
      <c r="AM1435" s="35"/>
      <c r="AN1435" s="35"/>
      <c r="AO1435" s="35"/>
      <c r="AP1435" s="35"/>
      <c r="AQ1435" s="35"/>
      <c r="AR1435" s="35"/>
      <c r="AS1435" s="35"/>
      <c r="AT1435" s="35"/>
      <c r="AU1435" s="35"/>
      <c r="AV1435" s="35"/>
      <c r="AW1435" s="35"/>
      <c r="AX1435" s="35"/>
      <c r="AY1435" s="35"/>
      <c r="AZ1435" s="35"/>
      <c r="BA1435" s="35"/>
      <c r="BB1435" s="35"/>
      <c r="BC1435" s="35"/>
      <c r="BD1435" s="35"/>
      <c r="BE1435" s="35"/>
      <c r="BF1435" s="35"/>
      <c r="BG1435" s="35"/>
    </row>
    <row r="1436" ht="15.75" customHeight="1">
      <c r="A1436" s="35"/>
      <c r="B1436" s="35"/>
      <c r="C1436" s="35"/>
      <c r="D1436" s="35"/>
      <c r="E1436" s="35"/>
      <c r="F1436" s="35"/>
      <c r="G1436" s="35"/>
      <c r="H1436" s="35"/>
      <c r="I1436" s="35"/>
      <c r="J1436" s="35"/>
      <c r="K1436" s="35"/>
      <c r="L1436" s="35"/>
      <c r="M1436" s="35"/>
      <c r="N1436" s="35"/>
      <c r="O1436" s="35"/>
      <c r="P1436" s="35"/>
      <c r="Q1436" s="35"/>
      <c r="R1436" s="35"/>
      <c r="S1436" s="35"/>
      <c r="T1436" s="35"/>
      <c r="U1436" s="35"/>
      <c r="V1436" s="35"/>
      <c r="W1436" s="35"/>
      <c r="X1436" s="35"/>
      <c r="Y1436" s="35"/>
      <c r="Z1436" s="35"/>
      <c r="AA1436" s="35"/>
      <c r="AB1436" s="35"/>
      <c r="AC1436" s="35"/>
      <c r="AD1436" s="35"/>
      <c r="AE1436" s="35"/>
      <c r="AF1436" s="35"/>
      <c r="AG1436" s="35"/>
      <c r="AH1436" s="35"/>
      <c r="AI1436" s="35"/>
      <c r="AJ1436" s="35"/>
      <c r="AK1436" s="35"/>
      <c r="AL1436" s="35"/>
      <c r="AM1436" s="35"/>
      <c r="AN1436" s="35"/>
      <c r="AO1436" s="35"/>
      <c r="AP1436" s="35"/>
      <c r="AQ1436" s="35"/>
      <c r="AR1436" s="35"/>
      <c r="AS1436" s="35"/>
      <c r="AT1436" s="35"/>
      <c r="AU1436" s="35"/>
      <c r="AV1436" s="35"/>
      <c r="AW1436" s="35"/>
      <c r="AX1436" s="35"/>
      <c r="AY1436" s="35"/>
      <c r="AZ1436" s="35"/>
      <c r="BA1436" s="35"/>
      <c r="BB1436" s="35"/>
      <c r="BC1436" s="35"/>
      <c r="BD1436" s="35"/>
      <c r="BE1436" s="35"/>
      <c r="BF1436" s="35"/>
      <c r="BG1436" s="35"/>
    </row>
    <row r="1437" ht="15.75" customHeight="1">
      <c r="A1437" s="35"/>
      <c r="B1437" s="35"/>
      <c r="C1437" s="35"/>
      <c r="D1437" s="35"/>
      <c r="E1437" s="35"/>
      <c r="F1437" s="35"/>
      <c r="G1437" s="35"/>
      <c r="H1437" s="35"/>
      <c r="I1437" s="35"/>
      <c r="J1437" s="35"/>
      <c r="K1437" s="35"/>
      <c r="L1437" s="35"/>
      <c r="M1437" s="35"/>
      <c r="N1437" s="35"/>
      <c r="O1437" s="35"/>
      <c r="P1437" s="35"/>
      <c r="Q1437" s="35"/>
      <c r="R1437" s="35"/>
      <c r="S1437" s="35"/>
      <c r="T1437" s="35"/>
      <c r="U1437" s="35"/>
      <c r="V1437" s="35"/>
      <c r="W1437" s="35"/>
      <c r="X1437" s="35"/>
      <c r="Y1437" s="35"/>
      <c r="Z1437" s="35"/>
      <c r="AA1437" s="35"/>
      <c r="AB1437" s="35"/>
      <c r="AC1437" s="35"/>
      <c r="AD1437" s="35"/>
      <c r="AE1437" s="35"/>
      <c r="AF1437" s="35"/>
      <c r="AG1437" s="35"/>
      <c r="AH1437" s="35"/>
      <c r="AI1437" s="35"/>
      <c r="AJ1437" s="35"/>
      <c r="AK1437" s="35"/>
      <c r="AL1437" s="35"/>
      <c r="AM1437" s="35"/>
      <c r="AN1437" s="35"/>
      <c r="AO1437" s="35"/>
      <c r="AP1437" s="35"/>
      <c r="AQ1437" s="35"/>
      <c r="AR1437" s="35"/>
      <c r="AS1437" s="35"/>
      <c r="AT1437" s="35"/>
      <c r="AU1437" s="35"/>
      <c r="AV1437" s="35"/>
      <c r="AW1437" s="35"/>
      <c r="AX1437" s="35"/>
      <c r="AY1437" s="35"/>
      <c r="AZ1437" s="35"/>
      <c r="BA1437" s="35"/>
      <c r="BB1437" s="35"/>
      <c r="BC1437" s="35"/>
      <c r="BD1437" s="35"/>
      <c r="BE1437" s="35"/>
      <c r="BF1437" s="35"/>
      <c r="BG1437" s="35"/>
    </row>
    <row r="1438" ht="15.75" customHeight="1">
      <c r="A1438" s="35"/>
      <c r="B1438" s="35"/>
      <c r="C1438" s="35"/>
      <c r="D1438" s="35"/>
      <c r="E1438" s="35"/>
      <c r="F1438" s="35"/>
      <c r="G1438" s="35"/>
      <c r="H1438" s="35"/>
      <c r="I1438" s="35"/>
      <c r="J1438" s="35"/>
      <c r="K1438" s="35"/>
      <c r="L1438" s="35"/>
      <c r="M1438" s="35"/>
      <c r="N1438" s="35"/>
      <c r="O1438" s="35"/>
      <c r="P1438" s="35"/>
      <c r="Q1438" s="35"/>
      <c r="R1438" s="35"/>
      <c r="S1438" s="35"/>
      <c r="T1438" s="35"/>
      <c r="U1438" s="35"/>
      <c r="V1438" s="35"/>
      <c r="W1438" s="35"/>
      <c r="X1438" s="35"/>
      <c r="Y1438" s="35"/>
      <c r="Z1438" s="35"/>
      <c r="AA1438" s="35"/>
      <c r="AB1438" s="35"/>
      <c r="AC1438" s="35"/>
      <c r="AD1438" s="35"/>
      <c r="AE1438" s="35"/>
      <c r="AF1438" s="35"/>
      <c r="AG1438" s="35"/>
      <c r="AH1438" s="35"/>
      <c r="AI1438" s="35"/>
      <c r="AJ1438" s="35"/>
      <c r="AK1438" s="35"/>
      <c r="AL1438" s="35"/>
      <c r="AM1438" s="35"/>
      <c r="AN1438" s="35"/>
      <c r="AO1438" s="35"/>
      <c r="AP1438" s="35"/>
      <c r="AQ1438" s="35"/>
      <c r="AR1438" s="35"/>
      <c r="AS1438" s="35"/>
      <c r="AT1438" s="35"/>
      <c r="AU1438" s="35"/>
      <c r="AV1438" s="35"/>
      <c r="AW1438" s="35"/>
      <c r="AX1438" s="35"/>
      <c r="AY1438" s="35"/>
      <c r="AZ1438" s="35"/>
      <c r="BA1438" s="35"/>
      <c r="BB1438" s="35"/>
      <c r="BC1438" s="35"/>
      <c r="BD1438" s="35"/>
      <c r="BE1438" s="35"/>
      <c r="BF1438" s="35"/>
      <c r="BG1438" s="35"/>
    </row>
    <row r="1439" ht="15.75" customHeight="1">
      <c r="A1439" s="35"/>
      <c r="B1439" s="35"/>
      <c r="C1439" s="35"/>
      <c r="D1439" s="35"/>
      <c r="E1439" s="35"/>
      <c r="F1439" s="35"/>
      <c r="G1439" s="35"/>
      <c r="H1439" s="35"/>
      <c r="I1439" s="35"/>
      <c r="J1439" s="35"/>
      <c r="K1439" s="35"/>
      <c r="L1439" s="35"/>
      <c r="M1439" s="35"/>
      <c r="N1439" s="35"/>
      <c r="O1439" s="35"/>
      <c r="P1439" s="35"/>
      <c r="Q1439" s="35"/>
      <c r="R1439" s="35"/>
      <c r="S1439" s="35"/>
      <c r="T1439" s="35"/>
      <c r="U1439" s="35"/>
      <c r="V1439" s="35"/>
      <c r="W1439" s="35"/>
      <c r="X1439" s="35"/>
      <c r="Y1439" s="35"/>
      <c r="Z1439" s="35"/>
      <c r="AA1439" s="35"/>
      <c r="AB1439" s="35"/>
      <c r="AC1439" s="35"/>
      <c r="AD1439" s="35"/>
      <c r="AE1439" s="35"/>
      <c r="AF1439" s="35"/>
      <c r="AG1439" s="35"/>
      <c r="AH1439" s="35"/>
      <c r="AI1439" s="35"/>
      <c r="AJ1439" s="35"/>
      <c r="AK1439" s="35"/>
      <c r="AL1439" s="35"/>
      <c r="AM1439" s="35"/>
      <c r="AN1439" s="35"/>
      <c r="AO1439" s="35"/>
      <c r="AP1439" s="35"/>
      <c r="AQ1439" s="35"/>
      <c r="AR1439" s="35"/>
      <c r="AS1439" s="35"/>
      <c r="AT1439" s="35"/>
      <c r="AU1439" s="35"/>
      <c r="AV1439" s="35"/>
      <c r="AW1439" s="35"/>
      <c r="AX1439" s="35"/>
      <c r="AY1439" s="35"/>
      <c r="AZ1439" s="35"/>
      <c r="BA1439" s="35"/>
      <c r="BB1439" s="35"/>
      <c r="BC1439" s="35"/>
      <c r="BD1439" s="35"/>
      <c r="BE1439" s="35"/>
      <c r="BF1439" s="35"/>
      <c r="BG1439" s="35"/>
    </row>
    <row r="1440" ht="15.75" customHeight="1">
      <c r="A1440" s="35"/>
      <c r="B1440" s="35"/>
      <c r="C1440" s="35"/>
      <c r="D1440" s="35"/>
      <c r="E1440" s="35"/>
      <c r="F1440" s="35"/>
      <c r="G1440" s="35"/>
      <c r="H1440" s="35"/>
      <c r="I1440" s="35"/>
      <c r="J1440" s="35"/>
      <c r="K1440" s="35"/>
      <c r="L1440" s="35"/>
      <c r="M1440" s="35"/>
      <c r="N1440" s="35"/>
      <c r="O1440" s="35"/>
      <c r="P1440" s="35"/>
      <c r="Q1440" s="35"/>
      <c r="R1440" s="35"/>
      <c r="S1440" s="35"/>
      <c r="T1440" s="35"/>
      <c r="U1440" s="35"/>
      <c r="V1440" s="35"/>
      <c r="W1440" s="35"/>
      <c r="X1440" s="35"/>
      <c r="Y1440" s="35"/>
      <c r="Z1440" s="35"/>
      <c r="AA1440" s="35"/>
      <c r="AB1440" s="35"/>
      <c r="AC1440" s="35"/>
      <c r="AD1440" s="35"/>
      <c r="AE1440" s="35"/>
      <c r="AF1440" s="35"/>
      <c r="AG1440" s="35"/>
      <c r="AH1440" s="35"/>
      <c r="AI1440" s="35"/>
      <c r="AJ1440" s="35"/>
      <c r="AK1440" s="35"/>
      <c r="AL1440" s="35"/>
      <c r="AM1440" s="35"/>
      <c r="AN1440" s="35"/>
      <c r="AO1440" s="35"/>
      <c r="AP1440" s="35"/>
      <c r="AQ1440" s="35"/>
      <c r="AR1440" s="35"/>
      <c r="AS1440" s="35"/>
      <c r="AT1440" s="35"/>
      <c r="AU1440" s="35"/>
      <c r="AV1440" s="35"/>
      <c r="AW1440" s="35"/>
      <c r="AX1440" s="35"/>
      <c r="AY1440" s="35"/>
      <c r="AZ1440" s="35"/>
      <c r="BA1440" s="35"/>
      <c r="BB1440" s="35"/>
      <c r="BC1440" s="35"/>
      <c r="BD1440" s="35"/>
      <c r="BE1440" s="35"/>
      <c r="BF1440" s="35"/>
      <c r="BG1440" s="35"/>
    </row>
    <row r="1441" ht="15.75" customHeight="1">
      <c r="A1441" s="35"/>
      <c r="B1441" s="35"/>
      <c r="C1441" s="35"/>
      <c r="D1441" s="35"/>
      <c r="E1441" s="35"/>
      <c r="F1441" s="35"/>
      <c r="G1441" s="35"/>
      <c r="H1441" s="35"/>
      <c r="I1441" s="35"/>
      <c r="J1441" s="35"/>
      <c r="K1441" s="35"/>
      <c r="L1441" s="35"/>
      <c r="M1441" s="35"/>
      <c r="N1441" s="35"/>
      <c r="O1441" s="35"/>
      <c r="P1441" s="35"/>
      <c r="Q1441" s="35"/>
      <c r="R1441" s="35"/>
      <c r="S1441" s="35"/>
      <c r="T1441" s="35"/>
      <c r="U1441" s="35"/>
      <c r="V1441" s="35"/>
      <c r="W1441" s="35"/>
      <c r="X1441" s="35"/>
      <c r="Y1441" s="35"/>
      <c r="Z1441" s="35"/>
      <c r="AA1441" s="35"/>
      <c r="AB1441" s="35"/>
      <c r="AC1441" s="35"/>
      <c r="AD1441" s="35"/>
      <c r="AE1441" s="35"/>
      <c r="AF1441" s="35"/>
      <c r="AG1441" s="35"/>
      <c r="AH1441" s="35"/>
      <c r="AI1441" s="35"/>
      <c r="AJ1441" s="35"/>
      <c r="AK1441" s="35"/>
      <c r="AL1441" s="35"/>
      <c r="AM1441" s="35"/>
      <c r="AN1441" s="35"/>
      <c r="AO1441" s="35"/>
      <c r="AP1441" s="35"/>
      <c r="AQ1441" s="35"/>
      <c r="AR1441" s="35"/>
      <c r="AS1441" s="35"/>
      <c r="AT1441" s="35"/>
      <c r="AU1441" s="35"/>
      <c r="AV1441" s="35"/>
      <c r="AW1441" s="35"/>
      <c r="AX1441" s="35"/>
      <c r="AY1441" s="35"/>
      <c r="AZ1441" s="35"/>
      <c r="BA1441" s="35"/>
      <c r="BB1441" s="35"/>
      <c r="BC1441" s="35"/>
      <c r="BD1441" s="35"/>
      <c r="BE1441" s="35"/>
      <c r="BF1441" s="35"/>
      <c r="BG1441" s="35"/>
    </row>
    <row r="1442" ht="15.75" customHeight="1">
      <c r="A1442" s="35"/>
      <c r="B1442" s="35"/>
      <c r="C1442" s="35"/>
      <c r="D1442" s="35"/>
      <c r="E1442" s="35"/>
      <c r="F1442" s="35"/>
      <c r="G1442" s="35"/>
      <c r="H1442" s="35"/>
      <c r="I1442" s="35"/>
      <c r="J1442" s="35"/>
      <c r="K1442" s="35"/>
      <c r="L1442" s="35"/>
      <c r="M1442" s="35"/>
      <c r="N1442" s="35"/>
      <c r="O1442" s="35"/>
      <c r="P1442" s="35"/>
      <c r="Q1442" s="35"/>
      <c r="R1442" s="35"/>
      <c r="S1442" s="35"/>
      <c r="T1442" s="35"/>
      <c r="U1442" s="35"/>
      <c r="V1442" s="35"/>
      <c r="W1442" s="35"/>
      <c r="X1442" s="35"/>
      <c r="Y1442" s="35"/>
      <c r="Z1442" s="35"/>
      <c r="AA1442" s="35"/>
      <c r="AB1442" s="35"/>
      <c r="AC1442" s="35"/>
      <c r="AD1442" s="35"/>
      <c r="AE1442" s="35"/>
      <c r="AF1442" s="35"/>
      <c r="AG1442" s="35"/>
      <c r="AH1442" s="35"/>
      <c r="AI1442" s="35"/>
      <c r="AJ1442" s="35"/>
      <c r="AK1442" s="35"/>
      <c r="AL1442" s="35"/>
      <c r="AM1442" s="35"/>
      <c r="AN1442" s="35"/>
      <c r="AO1442" s="35"/>
      <c r="AP1442" s="35"/>
      <c r="AQ1442" s="35"/>
      <c r="AR1442" s="35"/>
      <c r="AS1442" s="35"/>
      <c r="AT1442" s="35"/>
      <c r="AU1442" s="35"/>
      <c r="AV1442" s="35"/>
      <c r="AW1442" s="35"/>
      <c r="AX1442" s="35"/>
      <c r="AY1442" s="35"/>
      <c r="AZ1442" s="35"/>
      <c r="BA1442" s="35"/>
      <c r="BB1442" s="35"/>
      <c r="BC1442" s="35"/>
      <c r="BD1442" s="35"/>
      <c r="BE1442" s="35"/>
      <c r="BF1442" s="35"/>
      <c r="BG1442" s="35"/>
    </row>
    <row r="1443" ht="15.75" customHeight="1">
      <c r="A1443" s="35"/>
      <c r="B1443" s="35"/>
      <c r="C1443" s="35"/>
      <c r="D1443" s="35"/>
      <c r="E1443" s="35"/>
      <c r="F1443" s="35"/>
      <c r="G1443" s="35"/>
      <c r="H1443" s="35"/>
      <c r="I1443" s="35"/>
      <c r="J1443" s="35"/>
      <c r="K1443" s="35"/>
      <c r="L1443" s="35"/>
      <c r="M1443" s="35"/>
      <c r="N1443" s="35"/>
      <c r="O1443" s="35"/>
      <c r="P1443" s="35"/>
      <c r="Q1443" s="35"/>
      <c r="R1443" s="35"/>
      <c r="S1443" s="35"/>
      <c r="T1443" s="35"/>
      <c r="U1443" s="35"/>
      <c r="V1443" s="35"/>
      <c r="W1443" s="35"/>
      <c r="X1443" s="35"/>
      <c r="Y1443" s="35"/>
      <c r="Z1443" s="35"/>
      <c r="AA1443" s="35"/>
      <c r="AB1443" s="35"/>
      <c r="AC1443" s="35"/>
      <c r="AD1443" s="35"/>
      <c r="AE1443" s="35"/>
      <c r="AF1443" s="35"/>
      <c r="AG1443" s="35"/>
      <c r="AH1443" s="35"/>
      <c r="AI1443" s="35"/>
      <c r="AJ1443" s="35"/>
      <c r="AK1443" s="35"/>
      <c r="AL1443" s="35"/>
      <c r="AM1443" s="35"/>
      <c r="AN1443" s="35"/>
      <c r="AO1443" s="35"/>
      <c r="AP1443" s="35"/>
      <c r="AQ1443" s="35"/>
      <c r="AR1443" s="35"/>
      <c r="AS1443" s="35"/>
      <c r="AT1443" s="35"/>
      <c r="AU1443" s="35"/>
      <c r="AV1443" s="35"/>
      <c r="AW1443" s="35"/>
      <c r="AX1443" s="35"/>
      <c r="AY1443" s="35"/>
      <c r="AZ1443" s="35"/>
      <c r="BA1443" s="35"/>
      <c r="BB1443" s="35"/>
      <c r="BC1443" s="35"/>
      <c r="BD1443" s="35"/>
      <c r="BE1443" s="35"/>
      <c r="BF1443" s="35"/>
      <c r="BG1443" s="35"/>
    </row>
    <row r="1444" ht="15.75" customHeight="1">
      <c r="A1444" s="35"/>
      <c r="B1444" s="35"/>
      <c r="C1444" s="35"/>
      <c r="D1444" s="35"/>
      <c r="E1444" s="35"/>
      <c r="F1444" s="35"/>
      <c r="G1444" s="35"/>
      <c r="H1444" s="35"/>
      <c r="I1444" s="35"/>
      <c r="J1444" s="35"/>
      <c r="K1444" s="35"/>
      <c r="L1444" s="35"/>
      <c r="M1444" s="35"/>
      <c r="N1444" s="35"/>
      <c r="O1444" s="35"/>
      <c r="P1444" s="35"/>
      <c r="Q1444" s="35"/>
      <c r="R1444" s="35"/>
      <c r="S1444" s="35"/>
      <c r="T1444" s="35"/>
      <c r="U1444" s="35"/>
      <c r="V1444" s="35"/>
      <c r="W1444" s="35"/>
      <c r="X1444" s="35"/>
      <c r="Y1444" s="35"/>
      <c r="Z1444" s="35"/>
      <c r="AA1444" s="35"/>
      <c r="AB1444" s="35"/>
      <c r="AC1444" s="35"/>
      <c r="AD1444" s="35"/>
      <c r="AE1444" s="35"/>
      <c r="AF1444" s="35"/>
      <c r="AG1444" s="35"/>
      <c r="AH1444" s="35"/>
      <c r="AI1444" s="35"/>
      <c r="AJ1444" s="35"/>
      <c r="AK1444" s="35"/>
      <c r="AL1444" s="35"/>
      <c r="AM1444" s="35"/>
      <c r="AN1444" s="35"/>
      <c r="AO1444" s="35"/>
      <c r="AP1444" s="35"/>
      <c r="AQ1444" s="35"/>
      <c r="AR1444" s="35"/>
      <c r="AS1444" s="35"/>
      <c r="AT1444" s="35"/>
      <c r="AU1444" s="35"/>
      <c r="AV1444" s="35"/>
      <c r="AW1444" s="35"/>
      <c r="AX1444" s="35"/>
      <c r="AY1444" s="35"/>
      <c r="AZ1444" s="35"/>
      <c r="BA1444" s="35"/>
      <c r="BB1444" s="35"/>
      <c r="BC1444" s="35"/>
      <c r="BD1444" s="35"/>
      <c r="BE1444" s="35"/>
      <c r="BF1444" s="35"/>
      <c r="BG1444" s="35"/>
    </row>
    <row r="1445" ht="15.75" customHeight="1">
      <c r="A1445" s="35"/>
      <c r="B1445" s="35"/>
      <c r="C1445" s="35"/>
      <c r="D1445" s="35"/>
      <c r="E1445" s="35"/>
      <c r="F1445" s="35"/>
      <c r="G1445" s="35"/>
      <c r="H1445" s="35"/>
      <c r="I1445" s="35"/>
      <c r="J1445" s="35"/>
      <c r="K1445" s="35"/>
      <c r="L1445" s="35"/>
      <c r="M1445" s="35"/>
      <c r="N1445" s="35"/>
      <c r="O1445" s="35"/>
      <c r="P1445" s="35"/>
      <c r="Q1445" s="35"/>
      <c r="R1445" s="35"/>
      <c r="S1445" s="35"/>
      <c r="T1445" s="35"/>
      <c r="U1445" s="35"/>
      <c r="V1445" s="35"/>
      <c r="W1445" s="35"/>
      <c r="X1445" s="35"/>
      <c r="Y1445" s="35"/>
      <c r="Z1445" s="35"/>
      <c r="AA1445" s="35"/>
      <c r="AB1445" s="35"/>
      <c r="AC1445" s="35"/>
      <c r="AD1445" s="35"/>
      <c r="AE1445" s="35"/>
      <c r="AF1445" s="35"/>
      <c r="AG1445" s="35"/>
      <c r="AH1445" s="35"/>
      <c r="AI1445" s="35"/>
      <c r="AJ1445" s="35"/>
      <c r="AK1445" s="35"/>
      <c r="AL1445" s="35"/>
      <c r="AM1445" s="35"/>
      <c r="AN1445" s="35"/>
      <c r="AO1445" s="35"/>
      <c r="AP1445" s="35"/>
      <c r="AQ1445" s="35"/>
      <c r="AR1445" s="35"/>
      <c r="AS1445" s="35"/>
      <c r="AT1445" s="35"/>
      <c r="AU1445" s="35"/>
      <c r="AV1445" s="35"/>
      <c r="AW1445" s="35"/>
      <c r="AX1445" s="35"/>
      <c r="AY1445" s="35"/>
      <c r="AZ1445" s="35"/>
      <c r="BA1445" s="35"/>
      <c r="BB1445" s="35"/>
      <c r="BC1445" s="35"/>
      <c r="BD1445" s="35"/>
      <c r="BE1445" s="35"/>
      <c r="BF1445" s="35"/>
      <c r="BG1445" s="35"/>
    </row>
    <row r="1446" ht="15.75" customHeight="1">
      <c r="A1446" s="35"/>
      <c r="B1446" s="35"/>
      <c r="C1446" s="35"/>
      <c r="D1446" s="35"/>
      <c r="E1446" s="35"/>
      <c r="F1446" s="35"/>
      <c r="G1446" s="35"/>
      <c r="H1446" s="35"/>
      <c r="I1446" s="35"/>
      <c r="J1446" s="35"/>
      <c r="K1446" s="35"/>
      <c r="L1446" s="35"/>
      <c r="M1446" s="35"/>
      <c r="N1446" s="35"/>
      <c r="O1446" s="35"/>
      <c r="P1446" s="35"/>
      <c r="Q1446" s="35"/>
      <c r="R1446" s="35"/>
      <c r="S1446" s="35"/>
      <c r="T1446" s="35"/>
      <c r="U1446" s="35"/>
      <c r="V1446" s="35"/>
      <c r="W1446" s="35"/>
      <c r="X1446" s="35"/>
      <c r="Y1446" s="35"/>
      <c r="Z1446" s="35"/>
      <c r="AA1446" s="35"/>
      <c r="AB1446" s="35"/>
      <c r="AC1446" s="35"/>
      <c r="AD1446" s="35"/>
      <c r="AE1446" s="35"/>
      <c r="AF1446" s="35"/>
      <c r="AG1446" s="35"/>
      <c r="AH1446" s="35"/>
      <c r="AI1446" s="35"/>
      <c r="AJ1446" s="35"/>
      <c r="AK1446" s="35"/>
      <c r="AL1446" s="35"/>
      <c r="AM1446" s="35"/>
      <c r="AN1446" s="35"/>
      <c r="AO1446" s="35"/>
      <c r="AP1446" s="35"/>
      <c r="AQ1446" s="35"/>
      <c r="AR1446" s="35"/>
      <c r="AS1446" s="35"/>
      <c r="AT1446" s="35"/>
      <c r="AU1446" s="35"/>
      <c r="AV1446" s="35"/>
      <c r="AW1446" s="35"/>
      <c r="AX1446" s="35"/>
      <c r="AY1446" s="35"/>
      <c r="AZ1446" s="35"/>
      <c r="BA1446" s="35"/>
      <c r="BB1446" s="35"/>
      <c r="BC1446" s="35"/>
      <c r="BD1446" s="35"/>
      <c r="BE1446" s="35"/>
      <c r="BF1446" s="35"/>
      <c r="BG1446" s="35"/>
    </row>
    <row r="1447" ht="15.75" customHeight="1">
      <c r="A1447" s="35"/>
      <c r="B1447" s="35"/>
      <c r="C1447" s="35"/>
      <c r="D1447" s="35"/>
      <c r="E1447" s="35"/>
      <c r="F1447" s="35"/>
      <c r="G1447" s="35"/>
      <c r="H1447" s="35"/>
      <c r="I1447" s="35"/>
      <c r="J1447" s="35"/>
      <c r="K1447" s="35"/>
      <c r="L1447" s="35"/>
      <c r="M1447" s="35"/>
      <c r="N1447" s="35"/>
      <c r="O1447" s="35"/>
      <c r="P1447" s="35"/>
      <c r="Q1447" s="35"/>
      <c r="R1447" s="35"/>
      <c r="S1447" s="35"/>
      <c r="T1447" s="35"/>
      <c r="U1447" s="35"/>
      <c r="V1447" s="35"/>
      <c r="W1447" s="35"/>
      <c r="X1447" s="35"/>
      <c r="Y1447" s="35"/>
      <c r="Z1447" s="35"/>
      <c r="AA1447" s="35"/>
      <c r="AB1447" s="35"/>
      <c r="AC1447" s="35"/>
      <c r="AD1447" s="35"/>
      <c r="AE1447" s="35"/>
      <c r="AF1447" s="35"/>
      <c r="AG1447" s="35"/>
      <c r="AH1447" s="35"/>
      <c r="AI1447" s="35"/>
      <c r="AJ1447" s="35"/>
      <c r="AK1447" s="35"/>
      <c r="AL1447" s="35"/>
      <c r="AM1447" s="35"/>
      <c r="AN1447" s="35"/>
      <c r="AO1447" s="35"/>
      <c r="AP1447" s="35"/>
      <c r="AQ1447" s="35"/>
      <c r="AR1447" s="35"/>
      <c r="AS1447" s="35"/>
      <c r="AT1447" s="35"/>
      <c r="AU1447" s="35"/>
      <c r="AV1447" s="35"/>
      <c r="AW1447" s="35"/>
      <c r="AX1447" s="35"/>
      <c r="AY1447" s="35"/>
      <c r="AZ1447" s="35"/>
      <c r="BA1447" s="35"/>
      <c r="BB1447" s="35"/>
      <c r="BC1447" s="35"/>
      <c r="BD1447" s="35"/>
      <c r="BE1447" s="35"/>
      <c r="BF1447" s="35"/>
      <c r="BG1447" s="35"/>
    </row>
    <row r="1448" ht="15.75" customHeight="1">
      <c r="A1448" s="35"/>
      <c r="B1448" s="35"/>
      <c r="C1448" s="35"/>
      <c r="D1448" s="35"/>
      <c r="E1448" s="35"/>
      <c r="F1448" s="35"/>
      <c r="G1448" s="35"/>
      <c r="H1448" s="35"/>
      <c r="I1448" s="35"/>
      <c r="J1448" s="35"/>
      <c r="K1448" s="35"/>
      <c r="L1448" s="35"/>
      <c r="M1448" s="35"/>
      <c r="N1448" s="35"/>
      <c r="O1448" s="35"/>
      <c r="P1448" s="35"/>
      <c r="Q1448" s="35"/>
      <c r="R1448" s="35"/>
      <c r="S1448" s="35"/>
      <c r="T1448" s="35"/>
      <c r="U1448" s="35"/>
      <c r="V1448" s="35"/>
      <c r="W1448" s="35"/>
      <c r="X1448" s="35"/>
      <c r="Y1448" s="35"/>
      <c r="Z1448" s="35"/>
      <c r="AA1448" s="35"/>
      <c r="AB1448" s="35"/>
      <c r="AC1448" s="35"/>
      <c r="AD1448" s="35"/>
      <c r="AE1448" s="35"/>
      <c r="AF1448" s="35"/>
      <c r="AG1448" s="35"/>
      <c r="AH1448" s="35"/>
      <c r="AI1448" s="35"/>
      <c r="AJ1448" s="35"/>
      <c r="AK1448" s="35"/>
      <c r="AL1448" s="35"/>
      <c r="AM1448" s="35"/>
      <c r="AN1448" s="35"/>
      <c r="AO1448" s="35"/>
      <c r="AP1448" s="35"/>
      <c r="AQ1448" s="35"/>
      <c r="AR1448" s="35"/>
      <c r="AS1448" s="35"/>
      <c r="AT1448" s="35"/>
      <c r="AU1448" s="35"/>
      <c r="AV1448" s="35"/>
      <c r="AW1448" s="35"/>
      <c r="AX1448" s="35"/>
      <c r="AY1448" s="35"/>
      <c r="AZ1448" s="35"/>
      <c r="BA1448" s="35"/>
      <c r="BB1448" s="35"/>
      <c r="BC1448" s="35"/>
      <c r="BD1448" s="35"/>
      <c r="BE1448" s="35"/>
      <c r="BF1448" s="35"/>
      <c r="BG1448" s="35"/>
    </row>
    <row r="1449" ht="15.75" customHeight="1">
      <c r="A1449" s="35"/>
      <c r="B1449" s="35"/>
      <c r="C1449" s="35"/>
      <c r="D1449" s="35"/>
      <c r="E1449" s="35"/>
      <c r="F1449" s="35"/>
      <c r="G1449" s="35"/>
      <c r="H1449" s="35"/>
      <c r="I1449" s="35"/>
      <c r="J1449" s="35"/>
      <c r="K1449" s="35"/>
      <c r="L1449" s="35"/>
      <c r="M1449" s="35"/>
      <c r="N1449" s="35"/>
      <c r="O1449" s="35"/>
      <c r="P1449" s="35"/>
      <c r="Q1449" s="35"/>
      <c r="R1449" s="35"/>
      <c r="S1449" s="35"/>
      <c r="T1449" s="35"/>
      <c r="U1449" s="35"/>
      <c r="V1449" s="35"/>
      <c r="W1449" s="35"/>
      <c r="X1449" s="35"/>
      <c r="Y1449" s="35"/>
      <c r="Z1449" s="35"/>
      <c r="AA1449" s="35"/>
      <c r="AB1449" s="35"/>
      <c r="AC1449" s="35"/>
      <c r="AD1449" s="35"/>
      <c r="AE1449" s="35"/>
      <c r="AF1449" s="35"/>
      <c r="AG1449" s="35"/>
      <c r="AH1449" s="35"/>
      <c r="AI1449" s="35"/>
      <c r="AJ1449" s="35"/>
      <c r="AK1449" s="35"/>
      <c r="AL1449" s="35"/>
      <c r="AM1449" s="35"/>
      <c r="AN1449" s="35"/>
      <c r="AO1449" s="35"/>
      <c r="AP1449" s="35"/>
      <c r="AQ1449" s="35"/>
      <c r="AR1449" s="35"/>
      <c r="AS1449" s="35"/>
      <c r="AT1449" s="35"/>
      <c r="AU1449" s="35"/>
      <c r="AV1449" s="35"/>
      <c r="AW1449" s="35"/>
      <c r="AX1449" s="35"/>
      <c r="AY1449" s="35"/>
      <c r="AZ1449" s="35"/>
      <c r="BA1449" s="35"/>
      <c r="BB1449" s="35"/>
      <c r="BC1449" s="35"/>
      <c r="BD1449" s="35"/>
      <c r="BE1449" s="35"/>
      <c r="BF1449" s="35"/>
      <c r="BG1449" s="35"/>
    </row>
    <row r="1450" ht="15.75" customHeight="1">
      <c r="A1450" s="35"/>
      <c r="B1450" s="35"/>
      <c r="C1450" s="35"/>
      <c r="D1450" s="35"/>
      <c r="E1450" s="35"/>
      <c r="F1450" s="35"/>
      <c r="G1450" s="35"/>
      <c r="H1450" s="35"/>
      <c r="I1450" s="35"/>
      <c r="J1450" s="35"/>
      <c r="K1450" s="35"/>
      <c r="L1450" s="35"/>
      <c r="M1450" s="35"/>
      <c r="N1450" s="35"/>
      <c r="O1450" s="35"/>
      <c r="P1450" s="35"/>
      <c r="Q1450" s="35"/>
      <c r="R1450" s="35"/>
      <c r="S1450" s="35"/>
      <c r="T1450" s="35"/>
      <c r="U1450" s="35"/>
      <c r="V1450" s="35"/>
      <c r="W1450" s="35"/>
      <c r="X1450" s="35"/>
      <c r="Y1450" s="35"/>
      <c r="Z1450" s="35"/>
      <c r="AA1450" s="35"/>
      <c r="AB1450" s="35"/>
      <c r="AC1450" s="35"/>
      <c r="AD1450" s="35"/>
      <c r="AE1450" s="35"/>
      <c r="AF1450" s="35"/>
      <c r="AG1450" s="35"/>
      <c r="AH1450" s="35"/>
      <c r="AI1450" s="35"/>
      <c r="AJ1450" s="35"/>
      <c r="AK1450" s="35"/>
      <c r="AL1450" s="35"/>
      <c r="AM1450" s="35"/>
      <c r="AN1450" s="35"/>
      <c r="AO1450" s="35"/>
      <c r="AP1450" s="35"/>
      <c r="AQ1450" s="35"/>
      <c r="AR1450" s="35"/>
      <c r="AS1450" s="35"/>
      <c r="AT1450" s="35"/>
      <c r="AU1450" s="35"/>
      <c r="AV1450" s="35"/>
      <c r="AW1450" s="35"/>
      <c r="AX1450" s="35"/>
      <c r="AY1450" s="35"/>
      <c r="AZ1450" s="35"/>
      <c r="BA1450" s="35"/>
      <c r="BB1450" s="35"/>
      <c r="BC1450" s="35"/>
      <c r="BD1450" s="35"/>
      <c r="BE1450" s="35"/>
      <c r="BF1450" s="35"/>
      <c r="BG1450" s="35"/>
    </row>
    <row r="1451" ht="15.75" customHeight="1">
      <c r="A1451" s="35"/>
      <c r="B1451" s="35"/>
      <c r="C1451" s="35"/>
      <c r="D1451" s="35"/>
      <c r="E1451" s="35"/>
      <c r="F1451" s="35"/>
      <c r="G1451" s="35"/>
      <c r="H1451" s="35"/>
      <c r="I1451" s="35"/>
      <c r="J1451" s="35"/>
      <c r="K1451" s="35"/>
      <c r="L1451" s="35"/>
      <c r="M1451" s="35"/>
      <c r="N1451" s="35"/>
      <c r="O1451" s="35"/>
      <c r="P1451" s="35"/>
      <c r="Q1451" s="35"/>
      <c r="R1451" s="35"/>
      <c r="S1451" s="35"/>
      <c r="T1451" s="35"/>
      <c r="U1451" s="35"/>
      <c r="V1451" s="35"/>
      <c r="W1451" s="35"/>
      <c r="X1451" s="35"/>
      <c r="Y1451" s="35"/>
      <c r="Z1451" s="35"/>
      <c r="AA1451" s="35"/>
      <c r="AB1451" s="35"/>
      <c r="AC1451" s="35"/>
      <c r="AD1451" s="35"/>
      <c r="AE1451" s="35"/>
      <c r="AF1451" s="35"/>
      <c r="AG1451" s="35"/>
      <c r="AH1451" s="35"/>
      <c r="AI1451" s="35"/>
      <c r="AJ1451" s="35"/>
      <c r="AK1451" s="35"/>
      <c r="AL1451" s="35"/>
      <c r="AM1451" s="35"/>
      <c r="AN1451" s="35"/>
      <c r="AO1451" s="35"/>
      <c r="AP1451" s="35"/>
      <c r="AQ1451" s="35"/>
      <c r="AR1451" s="35"/>
      <c r="AS1451" s="35"/>
      <c r="AT1451" s="35"/>
      <c r="AU1451" s="35"/>
      <c r="AV1451" s="35"/>
      <c r="AW1451" s="35"/>
      <c r="AX1451" s="35"/>
      <c r="AY1451" s="35"/>
      <c r="AZ1451" s="35"/>
      <c r="BA1451" s="35"/>
      <c r="BB1451" s="35"/>
      <c r="BC1451" s="35"/>
      <c r="BD1451" s="35"/>
      <c r="BE1451" s="35"/>
      <c r="BF1451" s="35"/>
      <c r="BG1451" s="35"/>
    </row>
    <row r="1452" ht="15.75" customHeight="1">
      <c r="A1452" s="35"/>
      <c r="B1452" s="35"/>
      <c r="C1452" s="35"/>
      <c r="D1452" s="35"/>
      <c r="E1452" s="35"/>
      <c r="F1452" s="35"/>
      <c r="G1452" s="35"/>
      <c r="H1452" s="35"/>
      <c r="I1452" s="35"/>
      <c r="J1452" s="35"/>
      <c r="K1452" s="35"/>
      <c r="L1452" s="35"/>
      <c r="M1452" s="35"/>
      <c r="N1452" s="35"/>
      <c r="O1452" s="35"/>
      <c r="P1452" s="35"/>
      <c r="Q1452" s="35"/>
      <c r="R1452" s="35"/>
      <c r="S1452" s="35"/>
      <c r="T1452" s="35"/>
      <c r="U1452" s="35"/>
      <c r="V1452" s="35"/>
      <c r="W1452" s="35"/>
      <c r="X1452" s="35"/>
      <c r="Y1452" s="35"/>
      <c r="Z1452" s="35"/>
      <c r="AA1452" s="35"/>
      <c r="AB1452" s="35"/>
      <c r="AC1452" s="35"/>
      <c r="AD1452" s="35"/>
      <c r="AE1452" s="35"/>
      <c r="AF1452" s="35"/>
      <c r="AG1452" s="35"/>
      <c r="AH1452" s="35"/>
      <c r="AI1452" s="35"/>
      <c r="AJ1452" s="35"/>
      <c r="AK1452" s="35"/>
      <c r="AL1452" s="35"/>
      <c r="AM1452" s="35"/>
      <c r="AN1452" s="35"/>
      <c r="AO1452" s="35"/>
      <c r="AP1452" s="35"/>
      <c r="AQ1452" s="35"/>
      <c r="AR1452" s="35"/>
      <c r="AS1452" s="35"/>
      <c r="AT1452" s="35"/>
      <c r="AU1452" s="35"/>
      <c r="AV1452" s="35"/>
      <c r="AW1452" s="35"/>
      <c r="AX1452" s="35"/>
      <c r="AY1452" s="35"/>
      <c r="AZ1452" s="35"/>
      <c r="BA1452" s="35"/>
      <c r="BB1452" s="35"/>
      <c r="BC1452" s="35"/>
      <c r="BD1452" s="35"/>
      <c r="BE1452" s="35"/>
      <c r="BF1452" s="35"/>
      <c r="BG1452" s="35"/>
    </row>
    <row r="1453" ht="15.75" customHeight="1">
      <c r="A1453" s="35"/>
      <c r="B1453" s="35"/>
      <c r="C1453" s="35"/>
      <c r="D1453" s="35"/>
      <c r="E1453" s="35"/>
      <c r="F1453" s="35"/>
      <c r="G1453" s="35"/>
      <c r="H1453" s="35"/>
      <c r="I1453" s="35"/>
      <c r="J1453" s="35"/>
      <c r="K1453" s="35"/>
      <c r="L1453" s="35"/>
      <c r="M1453" s="35"/>
      <c r="N1453" s="35"/>
      <c r="O1453" s="35"/>
      <c r="P1453" s="35"/>
      <c r="Q1453" s="35"/>
      <c r="R1453" s="35"/>
      <c r="S1453" s="35"/>
      <c r="T1453" s="35"/>
      <c r="U1453" s="35"/>
      <c r="V1453" s="35"/>
      <c r="W1453" s="35"/>
      <c r="X1453" s="35"/>
      <c r="Y1453" s="35"/>
      <c r="Z1453" s="35"/>
      <c r="AA1453" s="35"/>
      <c r="AB1453" s="35"/>
      <c r="AC1453" s="35"/>
      <c r="AD1453" s="35"/>
      <c r="AE1453" s="35"/>
      <c r="AF1453" s="35"/>
      <c r="AG1453" s="35"/>
      <c r="AH1453" s="35"/>
      <c r="AI1453" s="35"/>
      <c r="AJ1453" s="35"/>
      <c r="AK1453" s="35"/>
      <c r="AL1453" s="35"/>
      <c r="AM1453" s="35"/>
      <c r="AN1453" s="35"/>
      <c r="AO1453" s="35"/>
      <c r="AP1453" s="35"/>
      <c r="AQ1453" s="35"/>
      <c r="AR1453" s="35"/>
      <c r="AS1453" s="35"/>
      <c r="AT1453" s="35"/>
      <c r="AU1453" s="35"/>
      <c r="AV1453" s="35"/>
      <c r="AW1453" s="35"/>
      <c r="AX1453" s="35"/>
      <c r="AY1453" s="35"/>
      <c r="AZ1453" s="35"/>
      <c r="BA1453" s="35"/>
      <c r="BB1453" s="35"/>
      <c r="BC1453" s="35"/>
      <c r="BD1453" s="35"/>
      <c r="BE1453" s="35"/>
      <c r="BF1453" s="35"/>
      <c r="BG1453" s="35"/>
    </row>
    <row r="1454" ht="15.75" customHeight="1">
      <c r="A1454" s="35"/>
      <c r="B1454" s="35"/>
      <c r="C1454" s="35"/>
      <c r="D1454" s="35"/>
      <c r="E1454" s="35"/>
      <c r="F1454" s="35"/>
      <c r="G1454" s="35"/>
      <c r="H1454" s="35"/>
      <c r="I1454" s="35"/>
      <c r="J1454" s="35"/>
      <c r="K1454" s="35"/>
      <c r="L1454" s="35"/>
      <c r="M1454" s="35"/>
      <c r="N1454" s="35"/>
      <c r="O1454" s="35"/>
      <c r="P1454" s="35"/>
      <c r="Q1454" s="35"/>
      <c r="R1454" s="35"/>
      <c r="S1454" s="35"/>
      <c r="T1454" s="35"/>
      <c r="U1454" s="35"/>
      <c r="V1454" s="35"/>
      <c r="W1454" s="35"/>
      <c r="X1454" s="35"/>
      <c r="Y1454" s="35"/>
      <c r="Z1454" s="35"/>
      <c r="AA1454" s="35"/>
      <c r="AB1454" s="35"/>
      <c r="AC1454" s="35"/>
      <c r="AD1454" s="35"/>
      <c r="AE1454" s="35"/>
      <c r="AF1454" s="35"/>
      <c r="AG1454" s="35"/>
      <c r="AH1454" s="35"/>
      <c r="AI1454" s="35"/>
      <c r="AJ1454" s="35"/>
      <c r="AK1454" s="35"/>
      <c r="AL1454" s="35"/>
      <c r="AM1454" s="35"/>
      <c r="AN1454" s="35"/>
      <c r="AO1454" s="35"/>
      <c r="AP1454" s="35"/>
      <c r="AQ1454" s="35"/>
      <c r="AR1454" s="35"/>
      <c r="AS1454" s="35"/>
      <c r="AT1454" s="35"/>
      <c r="AU1454" s="35"/>
      <c r="AV1454" s="35"/>
      <c r="AW1454" s="35"/>
      <c r="AX1454" s="35"/>
      <c r="AY1454" s="35"/>
      <c r="AZ1454" s="35"/>
      <c r="BA1454" s="35"/>
      <c r="BB1454" s="35"/>
      <c r="BC1454" s="35"/>
      <c r="BD1454" s="35"/>
      <c r="BE1454" s="35"/>
      <c r="BF1454" s="35"/>
      <c r="BG1454" s="35"/>
    </row>
    <row r="1455" ht="15.75" customHeight="1">
      <c r="A1455" s="35"/>
      <c r="B1455" s="35"/>
      <c r="C1455" s="35"/>
      <c r="D1455" s="35"/>
      <c r="E1455" s="35"/>
      <c r="F1455" s="35"/>
      <c r="G1455" s="35"/>
      <c r="H1455" s="35"/>
      <c r="I1455" s="35"/>
      <c r="J1455" s="35"/>
      <c r="K1455" s="35"/>
      <c r="L1455" s="35"/>
      <c r="M1455" s="35"/>
      <c r="N1455" s="35"/>
      <c r="O1455" s="35"/>
      <c r="P1455" s="35"/>
      <c r="Q1455" s="35"/>
      <c r="R1455" s="35"/>
      <c r="S1455" s="35"/>
      <c r="T1455" s="35"/>
      <c r="U1455" s="35"/>
      <c r="V1455" s="35"/>
      <c r="W1455" s="35"/>
      <c r="X1455" s="35"/>
      <c r="Y1455" s="35"/>
      <c r="Z1455" s="35"/>
      <c r="AA1455" s="35"/>
      <c r="AB1455" s="35"/>
      <c r="AC1455" s="35"/>
      <c r="AD1455" s="35"/>
      <c r="AE1455" s="35"/>
      <c r="AF1455" s="35"/>
      <c r="AG1455" s="35"/>
      <c r="AH1455" s="35"/>
      <c r="AI1455" s="35"/>
      <c r="AJ1455" s="35"/>
      <c r="AK1455" s="35"/>
      <c r="AL1455" s="35"/>
      <c r="AM1455" s="35"/>
      <c r="AN1455" s="35"/>
      <c r="AO1455" s="35"/>
      <c r="AP1455" s="35"/>
      <c r="AQ1455" s="35"/>
      <c r="AR1455" s="35"/>
      <c r="AS1455" s="35"/>
      <c r="AT1455" s="35"/>
      <c r="AU1455" s="35"/>
      <c r="AV1455" s="35"/>
      <c r="AW1455" s="35"/>
      <c r="AX1455" s="35"/>
      <c r="AY1455" s="35"/>
      <c r="AZ1455" s="35"/>
      <c r="BA1455" s="35"/>
      <c r="BB1455" s="35"/>
      <c r="BC1455" s="35"/>
      <c r="BD1455" s="35"/>
      <c r="BE1455" s="35"/>
      <c r="BF1455" s="35"/>
      <c r="BG1455" s="35"/>
    </row>
    <row r="1456" ht="15.75" customHeight="1">
      <c r="A1456" s="35"/>
      <c r="B1456" s="35"/>
      <c r="C1456" s="35"/>
      <c r="D1456" s="35"/>
      <c r="E1456" s="35"/>
      <c r="F1456" s="35"/>
      <c r="G1456" s="35"/>
      <c r="H1456" s="35"/>
      <c r="I1456" s="35"/>
      <c r="J1456" s="35"/>
      <c r="K1456" s="35"/>
      <c r="L1456" s="35"/>
      <c r="M1456" s="35"/>
      <c r="N1456" s="35"/>
      <c r="O1456" s="35"/>
      <c r="P1456" s="35"/>
      <c r="Q1456" s="35"/>
      <c r="R1456" s="35"/>
      <c r="S1456" s="35"/>
      <c r="T1456" s="35"/>
      <c r="U1456" s="35"/>
      <c r="V1456" s="35"/>
      <c r="W1456" s="35"/>
      <c r="X1456" s="35"/>
      <c r="Y1456" s="35"/>
      <c r="Z1456" s="35"/>
      <c r="AA1456" s="35"/>
      <c r="AB1456" s="35"/>
      <c r="AC1456" s="35"/>
      <c r="AD1456" s="35"/>
      <c r="AE1456" s="35"/>
      <c r="AF1456" s="35"/>
      <c r="AG1456" s="35"/>
      <c r="AH1456" s="35"/>
      <c r="AI1456" s="35"/>
      <c r="AJ1456" s="35"/>
      <c r="AK1456" s="35"/>
      <c r="AL1456" s="35"/>
      <c r="AM1456" s="35"/>
      <c r="AN1456" s="35"/>
      <c r="AO1456" s="35"/>
      <c r="AP1456" s="35"/>
      <c r="AQ1456" s="35"/>
      <c r="AR1456" s="35"/>
      <c r="AS1456" s="35"/>
      <c r="AT1456" s="35"/>
      <c r="AU1456" s="35"/>
      <c r="AV1456" s="35"/>
      <c r="AW1456" s="35"/>
      <c r="AX1456" s="35"/>
      <c r="AY1456" s="35"/>
      <c r="AZ1456" s="35"/>
      <c r="BA1456" s="35"/>
      <c r="BB1456" s="35"/>
      <c r="BC1456" s="35"/>
      <c r="BD1456" s="35"/>
      <c r="BE1456" s="35"/>
      <c r="BF1456" s="35"/>
      <c r="BG1456" s="35"/>
    </row>
    <row r="1457" ht="15.75" customHeight="1">
      <c r="A1457" s="35"/>
      <c r="B1457" s="35"/>
      <c r="C1457" s="35"/>
      <c r="D1457" s="35"/>
      <c r="E1457" s="35"/>
      <c r="F1457" s="35"/>
      <c r="G1457" s="35"/>
      <c r="H1457" s="35"/>
      <c r="I1457" s="35"/>
      <c r="J1457" s="35"/>
      <c r="K1457" s="35"/>
      <c r="L1457" s="35"/>
      <c r="M1457" s="35"/>
      <c r="N1457" s="35"/>
      <c r="O1457" s="35"/>
      <c r="P1457" s="35"/>
      <c r="Q1457" s="35"/>
      <c r="R1457" s="35"/>
      <c r="S1457" s="35"/>
      <c r="T1457" s="35"/>
      <c r="U1457" s="35"/>
      <c r="V1457" s="35"/>
      <c r="W1457" s="35"/>
      <c r="X1457" s="35"/>
      <c r="Y1457" s="35"/>
      <c r="Z1457" s="35"/>
      <c r="AA1457" s="35"/>
      <c r="AB1457" s="35"/>
      <c r="AC1457" s="35"/>
      <c r="AD1457" s="35"/>
      <c r="AE1457" s="35"/>
      <c r="AF1457" s="35"/>
      <c r="AG1457" s="35"/>
      <c r="AH1457" s="35"/>
      <c r="AI1457" s="35"/>
      <c r="AJ1457" s="35"/>
      <c r="AK1457" s="35"/>
      <c r="AL1457" s="35"/>
      <c r="AM1457" s="35"/>
      <c r="AN1457" s="35"/>
      <c r="AO1457" s="35"/>
      <c r="AP1457" s="35"/>
      <c r="AQ1457" s="35"/>
      <c r="AR1457" s="35"/>
      <c r="AS1457" s="35"/>
      <c r="AT1457" s="35"/>
      <c r="AU1457" s="35"/>
      <c r="AV1457" s="35"/>
      <c r="AW1457" s="35"/>
      <c r="AX1457" s="35"/>
      <c r="AY1457" s="35"/>
      <c r="AZ1457" s="35"/>
      <c r="BA1457" s="35"/>
      <c r="BB1457" s="35"/>
      <c r="BC1457" s="35"/>
      <c r="BD1457" s="35"/>
      <c r="BE1457" s="35"/>
      <c r="BF1457" s="35"/>
      <c r="BG1457" s="35"/>
    </row>
    <row r="1458" ht="15.75" customHeight="1">
      <c r="A1458" s="35"/>
      <c r="B1458" s="35"/>
      <c r="C1458" s="35"/>
      <c r="D1458" s="35"/>
      <c r="E1458" s="35"/>
      <c r="F1458" s="35"/>
      <c r="G1458" s="35"/>
      <c r="H1458" s="35"/>
      <c r="I1458" s="35"/>
      <c r="J1458" s="35"/>
      <c r="K1458" s="35"/>
      <c r="L1458" s="35"/>
      <c r="M1458" s="35"/>
      <c r="N1458" s="35"/>
      <c r="O1458" s="35"/>
      <c r="P1458" s="35"/>
      <c r="Q1458" s="35"/>
      <c r="R1458" s="35"/>
      <c r="S1458" s="35"/>
      <c r="T1458" s="35"/>
      <c r="U1458" s="35"/>
      <c r="V1458" s="35"/>
      <c r="W1458" s="35"/>
      <c r="X1458" s="35"/>
      <c r="Y1458" s="35"/>
      <c r="Z1458" s="35"/>
      <c r="AA1458" s="35"/>
      <c r="AB1458" s="35"/>
      <c r="AC1458" s="35"/>
      <c r="AD1458" s="35"/>
      <c r="AE1458" s="35"/>
      <c r="AF1458" s="35"/>
      <c r="AG1458" s="35"/>
      <c r="AH1458" s="35"/>
      <c r="AI1458" s="35"/>
      <c r="AJ1458" s="35"/>
      <c r="AK1458" s="35"/>
      <c r="AL1458" s="35"/>
      <c r="AM1458" s="35"/>
      <c r="AN1458" s="35"/>
      <c r="AO1458" s="35"/>
      <c r="AP1458" s="35"/>
      <c r="AQ1458" s="35"/>
      <c r="AR1458" s="35"/>
      <c r="AS1458" s="35"/>
      <c r="AT1458" s="35"/>
      <c r="AU1458" s="35"/>
      <c r="AV1458" s="35"/>
      <c r="AW1458" s="35"/>
      <c r="AX1458" s="35"/>
      <c r="AY1458" s="35"/>
      <c r="AZ1458" s="35"/>
      <c r="BA1458" s="35"/>
      <c r="BB1458" s="35"/>
      <c r="BC1458" s="35"/>
      <c r="BD1458" s="35"/>
      <c r="BE1458" s="35"/>
      <c r="BF1458" s="35"/>
      <c r="BG1458" s="35"/>
    </row>
    <row r="1459" ht="15.75" customHeight="1">
      <c r="A1459" s="35"/>
      <c r="B1459" s="35"/>
      <c r="C1459" s="35"/>
      <c r="D1459" s="35"/>
      <c r="E1459" s="35"/>
      <c r="F1459" s="35"/>
      <c r="G1459" s="35"/>
      <c r="H1459" s="35"/>
      <c r="I1459" s="35"/>
      <c r="J1459" s="35"/>
      <c r="K1459" s="35"/>
      <c r="L1459" s="35"/>
      <c r="M1459" s="35"/>
      <c r="N1459" s="35"/>
      <c r="O1459" s="35"/>
      <c r="P1459" s="35"/>
      <c r="Q1459" s="35"/>
      <c r="R1459" s="35"/>
      <c r="S1459" s="35"/>
      <c r="T1459" s="35"/>
      <c r="U1459" s="35"/>
      <c r="V1459" s="35"/>
      <c r="W1459" s="35"/>
      <c r="X1459" s="35"/>
      <c r="Y1459" s="35"/>
      <c r="Z1459" s="35"/>
      <c r="AA1459" s="35"/>
      <c r="AB1459" s="35"/>
      <c r="AC1459" s="35"/>
      <c r="AD1459" s="35"/>
      <c r="AE1459" s="35"/>
      <c r="AF1459" s="35"/>
      <c r="AG1459" s="35"/>
      <c r="AH1459" s="35"/>
      <c r="AI1459" s="35"/>
      <c r="AJ1459" s="35"/>
      <c r="AK1459" s="35"/>
      <c r="AL1459" s="35"/>
      <c r="AM1459" s="35"/>
      <c r="AN1459" s="35"/>
      <c r="AO1459" s="35"/>
      <c r="AP1459" s="35"/>
      <c r="AQ1459" s="35"/>
      <c r="AR1459" s="35"/>
      <c r="AS1459" s="35"/>
      <c r="AT1459" s="35"/>
      <c r="AU1459" s="35"/>
      <c r="AV1459" s="35"/>
      <c r="AW1459" s="35"/>
      <c r="AX1459" s="35"/>
      <c r="AY1459" s="35"/>
      <c r="AZ1459" s="35"/>
      <c r="BA1459" s="35"/>
      <c r="BB1459" s="35"/>
      <c r="BC1459" s="35"/>
      <c r="BD1459" s="35"/>
      <c r="BE1459" s="35"/>
      <c r="BF1459" s="35"/>
      <c r="BG1459" s="35"/>
    </row>
    <row r="1460" ht="15.75" customHeight="1">
      <c r="A1460" s="35"/>
      <c r="B1460" s="35"/>
      <c r="C1460" s="35"/>
      <c r="D1460" s="35"/>
      <c r="E1460" s="35"/>
      <c r="F1460" s="35"/>
      <c r="G1460" s="35"/>
      <c r="H1460" s="35"/>
      <c r="I1460" s="35"/>
      <c r="J1460" s="35"/>
      <c r="K1460" s="35"/>
      <c r="L1460" s="35"/>
      <c r="M1460" s="35"/>
      <c r="N1460" s="35"/>
      <c r="O1460" s="35"/>
      <c r="P1460" s="35"/>
      <c r="Q1460" s="35"/>
      <c r="R1460" s="35"/>
      <c r="S1460" s="35"/>
      <c r="T1460" s="35"/>
      <c r="U1460" s="35"/>
      <c r="V1460" s="35"/>
      <c r="W1460" s="35"/>
      <c r="X1460" s="35"/>
      <c r="Y1460" s="35"/>
      <c r="Z1460" s="35"/>
      <c r="AA1460" s="35"/>
      <c r="AB1460" s="35"/>
      <c r="AC1460" s="35"/>
      <c r="AD1460" s="35"/>
      <c r="AE1460" s="35"/>
      <c r="AF1460" s="35"/>
      <c r="AG1460" s="35"/>
      <c r="AH1460" s="35"/>
      <c r="AI1460" s="35"/>
      <c r="AJ1460" s="35"/>
      <c r="AK1460" s="35"/>
      <c r="AL1460" s="35"/>
      <c r="AM1460" s="35"/>
      <c r="AN1460" s="35"/>
      <c r="AO1460" s="35"/>
      <c r="AP1460" s="35"/>
      <c r="AQ1460" s="35"/>
      <c r="AR1460" s="35"/>
      <c r="AS1460" s="35"/>
      <c r="AT1460" s="35"/>
      <c r="AU1460" s="35"/>
      <c r="AV1460" s="35"/>
      <c r="AW1460" s="35"/>
      <c r="AX1460" s="35"/>
      <c r="AY1460" s="35"/>
      <c r="AZ1460" s="35"/>
      <c r="BA1460" s="35"/>
      <c r="BB1460" s="35"/>
      <c r="BC1460" s="35"/>
      <c r="BD1460" s="35"/>
      <c r="BE1460" s="35"/>
      <c r="BF1460" s="35"/>
      <c r="BG1460" s="35"/>
    </row>
    <row r="1461" ht="15.75" customHeight="1">
      <c r="A1461" s="35"/>
      <c r="B1461" s="35"/>
      <c r="C1461" s="35"/>
      <c r="D1461" s="35"/>
      <c r="E1461" s="35"/>
      <c r="F1461" s="35"/>
      <c r="G1461" s="35"/>
      <c r="H1461" s="35"/>
      <c r="I1461" s="35"/>
      <c r="J1461" s="35"/>
      <c r="K1461" s="35"/>
      <c r="L1461" s="35"/>
      <c r="M1461" s="35"/>
      <c r="N1461" s="35"/>
      <c r="O1461" s="35"/>
      <c r="P1461" s="35"/>
      <c r="Q1461" s="35"/>
      <c r="R1461" s="35"/>
      <c r="S1461" s="35"/>
      <c r="T1461" s="35"/>
      <c r="U1461" s="35"/>
      <c r="V1461" s="35"/>
      <c r="W1461" s="35"/>
      <c r="X1461" s="35"/>
      <c r="Y1461" s="35"/>
      <c r="Z1461" s="35"/>
      <c r="AA1461" s="35"/>
      <c r="AB1461" s="35"/>
      <c r="AC1461" s="35"/>
      <c r="AD1461" s="35"/>
      <c r="AE1461" s="35"/>
      <c r="AF1461" s="35"/>
      <c r="AG1461" s="35"/>
      <c r="AH1461" s="35"/>
      <c r="AI1461" s="35"/>
      <c r="AJ1461" s="35"/>
      <c r="AK1461" s="35"/>
      <c r="AL1461" s="35"/>
      <c r="AM1461" s="35"/>
      <c r="AN1461" s="35"/>
      <c r="AO1461" s="35"/>
      <c r="AP1461" s="35"/>
      <c r="AQ1461" s="35"/>
      <c r="AR1461" s="35"/>
      <c r="AS1461" s="35"/>
      <c r="AT1461" s="35"/>
      <c r="AU1461" s="35"/>
      <c r="AV1461" s="35"/>
      <c r="AW1461" s="35"/>
      <c r="AX1461" s="35"/>
      <c r="AY1461" s="35"/>
      <c r="AZ1461" s="35"/>
      <c r="BA1461" s="35"/>
      <c r="BB1461" s="35"/>
      <c r="BC1461" s="35"/>
      <c r="BD1461" s="35"/>
      <c r="BE1461" s="35"/>
      <c r="BF1461" s="35"/>
      <c r="BG1461" s="35"/>
    </row>
    <row r="1462" ht="15.75" customHeight="1">
      <c r="A1462" s="35"/>
      <c r="B1462" s="35"/>
      <c r="C1462" s="35"/>
      <c r="D1462" s="35"/>
      <c r="E1462" s="35"/>
      <c r="F1462" s="35"/>
      <c r="G1462" s="35"/>
      <c r="H1462" s="35"/>
      <c r="I1462" s="35"/>
      <c r="J1462" s="35"/>
      <c r="K1462" s="35"/>
      <c r="L1462" s="35"/>
      <c r="M1462" s="35"/>
      <c r="N1462" s="35"/>
      <c r="O1462" s="35"/>
      <c r="P1462" s="35"/>
      <c r="Q1462" s="35"/>
      <c r="R1462" s="35"/>
      <c r="S1462" s="35"/>
      <c r="T1462" s="35"/>
      <c r="U1462" s="35"/>
      <c r="V1462" s="35"/>
      <c r="W1462" s="35"/>
      <c r="X1462" s="35"/>
      <c r="Y1462" s="35"/>
      <c r="Z1462" s="35"/>
      <c r="AA1462" s="35"/>
      <c r="AB1462" s="35"/>
      <c r="AC1462" s="35"/>
      <c r="AD1462" s="35"/>
      <c r="AE1462" s="35"/>
      <c r="AF1462" s="35"/>
      <c r="AG1462" s="35"/>
      <c r="AH1462" s="35"/>
      <c r="AI1462" s="35"/>
      <c r="AJ1462" s="35"/>
      <c r="AK1462" s="35"/>
      <c r="AL1462" s="35"/>
      <c r="AM1462" s="35"/>
      <c r="AN1462" s="35"/>
      <c r="AO1462" s="35"/>
      <c r="AP1462" s="35"/>
      <c r="AQ1462" s="35"/>
      <c r="AR1462" s="35"/>
      <c r="AS1462" s="35"/>
      <c r="AT1462" s="35"/>
      <c r="AU1462" s="35"/>
      <c r="AV1462" s="35"/>
      <c r="AW1462" s="35"/>
      <c r="AX1462" s="35"/>
      <c r="AY1462" s="35"/>
      <c r="AZ1462" s="35"/>
      <c r="BA1462" s="35"/>
      <c r="BB1462" s="35"/>
      <c r="BC1462" s="35"/>
      <c r="BD1462" s="35"/>
      <c r="BE1462" s="35"/>
      <c r="BF1462" s="35"/>
      <c r="BG1462" s="35"/>
    </row>
    <row r="1463" ht="15.75" customHeight="1">
      <c r="A1463" s="35"/>
      <c r="B1463" s="35"/>
      <c r="C1463" s="35"/>
      <c r="D1463" s="35"/>
      <c r="E1463" s="35"/>
      <c r="F1463" s="35"/>
      <c r="G1463" s="35"/>
      <c r="H1463" s="35"/>
      <c r="I1463" s="35"/>
      <c r="J1463" s="35"/>
      <c r="K1463" s="35"/>
      <c r="L1463" s="35"/>
      <c r="M1463" s="35"/>
      <c r="N1463" s="35"/>
      <c r="O1463" s="35"/>
      <c r="P1463" s="35"/>
      <c r="Q1463" s="35"/>
      <c r="R1463" s="35"/>
      <c r="S1463" s="35"/>
      <c r="T1463" s="35"/>
      <c r="U1463" s="35"/>
      <c r="V1463" s="35"/>
      <c r="W1463" s="35"/>
      <c r="X1463" s="35"/>
      <c r="Y1463" s="35"/>
      <c r="Z1463" s="35"/>
      <c r="AA1463" s="35"/>
      <c r="AB1463" s="35"/>
      <c r="AC1463" s="35"/>
      <c r="AD1463" s="35"/>
      <c r="AE1463" s="35"/>
      <c r="AF1463" s="35"/>
      <c r="AG1463" s="35"/>
      <c r="AH1463" s="35"/>
      <c r="AI1463" s="35"/>
      <c r="AJ1463" s="35"/>
      <c r="AK1463" s="35"/>
      <c r="AL1463" s="35"/>
      <c r="AM1463" s="35"/>
      <c r="AN1463" s="35"/>
      <c r="AO1463" s="35"/>
      <c r="AP1463" s="35"/>
      <c r="AQ1463" s="35"/>
      <c r="AR1463" s="35"/>
      <c r="AS1463" s="35"/>
      <c r="AT1463" s="35"/>
      <c r="AU1463" s="35"/>
      <c r="AV1463" s="35"/>
      <c r="AW1463" s="35"/>
      <c r="AX1463" s="35"/>
      <c r="AY1463" s="35"/>
      <c r="AZ1463" s="35"/>
      <c r="BA1463" s="35"/>
      <c r="BB1463" s="35"/>
      <c r="BC1463" s="35"/>
      <c r="BD1463" s="35"/>
      <c r="BE1463" s="35"/>
      <c r="BF1463" s="35"/>
      <c r="BG1463" s="35"/>
    </row>
    <row r="1464" ht="15.75" customHeight="1">
      <c r="A1464" s="35"/>
      <c r="B1464" s="35"/>
      <c r="C1464" s="35"/>
      <c r="D1464" s="35"/>
      <c r="E1464" s="35"/>
      <c r="F1464" s="35"/>
      <c r="G1464" s="35"/>
      <c r="H1464" s="35"/>
      <c r="I1464" s="35"/>
      <c r="J1464" s="35"/>
      <c r="K1464" s="35"/>
      <c r="L1464" s="35"/>
      <c r="M1464" s="35"/>
      <c r="N1464" s="35"/>
      <c r="O1464" s="35"/>
      <c r="P1464" s="35"/>
      <c r="Q1464" s="35"/>
      <c r="R1464" s="35"/>
      <c r="S1464" s="35"/>
      <c r="T1464" s="35"/>
      <c r="U1464" s="35"/>
      <c r="V1464" s="35"/>
      <c r="W1464" s="35"/>
      <c r="X1464" s="35"/>
      <c r="Y1464" s="35"/>
      <c r="Z1464" s="35"/>
      <c r="AA1464" s="35"/>
      <c r="AB1464" s="35"/>
      <c r="AC1464" s="35"/>
      <c r="AD1464" s="35"/>
      <c r="AE1464" s="35"/>
      <c r="AF1464" s="35"/>
      <c r="AG1464" s="35"/>
      <c r="AH1464" s="35"/>
      <c r="AI1464" s="35"/>
      <c r="AJ1464" s="35"/>
      <c r="AK1464" s="35"/>
      <c r="AL1464" s="35"/>
      <c r="AM1464" s="35"/>
      <c r="AN1464" s="35"/>
      <c r="AO1464" s="35"/>
      <c r="AP1464" s="35"/>
      <c r="AQ1464" s="35"/>
      <c r="AR1464" s="35"/>
      <c r="AS1464" s="35"/>
      <c r="AT1464" s="35"/>
      <c r="AU1464" s="35"/>
      <c r="AV1464" s="35"/>
      <c r="AW1464" s="35"/>
      <c r="AX1464" s="35"/>
      <c r="AY1464" s="35"/>
      <c r="AZ1464" s="35"/>
      <c r="BA1464" s="35"/>
      <c r="BB1464" s="35"/>
      <c r="BC1464" s="35"/>
      <c r="BD1464" s="35"/>
      <c r="BE1464" s="35"/>
      <c r="BF1464" s="35"/>
      <c r="BG1464" s="35"/>
    </row>
    <row r="1465" ht="15.75" customHeight="1">
      <c r="A1465" s="35"/>
      <c r="B1465" s="35"/>
      <c r="C1465" s="35"/>
      <c r="D1465" s="35"/>
      <c r="E1465" s="35"/>
      <c r="F1465" s="35"/>
      <c r="G1465" s="35"/>
      <c r="H1465" s="35"/>
      <c r="I1465" s="35"/>
      <c r="J1465" s="35"/>
      <c r="K1465" s="35"/>
      <c r="L1465" s="35"/>
      <c r="M1465" s="35"/>
      <c r="N1465" s="35"/>
      <c r="O1465" s="35"/>
      <c r="P1465" s="35"/>
      <c r="Q1465" s="35"/>
      <c r="R1465" s="35"/>
      <c r="S1465" s="35"/>
      <c r="T1465" s="35"/>
      <c r="U1465" s="35"/>
      <c r="V1465" s="35"/>
      <c r="W1465" s="35"/>
      <c r="X1465" s="35"/>
      <c r="Y1465" s="35"/>
      <c r="Z1465" s="35"/>
      <c r="AA1465" s="35"/>
      <c r="AB1465" s="35"/>
      <c r="AC1465" s="35"/>
      <c r="AD1465" s="35"/>
      <c r="AE1465" s="35"/>
      <c r="AF1465" s="35"/>
      <c r="AG1465" s="35"/>
      <c r="AH1465" s="35"/>
      <c r="AI1465" s="35"/>
      <c r="AJ1465" s="35"/>
      <c r="AK1465" s="35"/>
      <c r="AL1465" s="35"/>
      <c r="AM1465" s="35"/>
      <c r="AN1465" s="35"/>
      <c r="AO1465" s="35"/>
      <c r="AP1465" s="35"/>
      <c r="AQ1465" s="35"/>
      <c r="AR1465" s="35"/>
      <c r="AS1465" s="35"/>
      <c r="AT1465" s="35"/>
      <c r="AU1465" s="35"/>
      <c r="AV1465" s="35"/>
      <c r="AW1465" s="35"/>
      <c r="AX1465" s="35"/>
      <c r="AY1465" s="35"/>
      <c r="AZ1465" s="35"/>
      <c r="BA1465" s="35"/>
      <c r="BB1465" s="35"/>
      <c r="BC1465" s="35"/>
      <c r="BD1465" s="35"/>
      <c r="BE1465" s="35"/>
      <c r="BF1465" s="35"/>
      <c r="BG1465" s="35"/>
    </row>
    <row r="1466" ht="15.75" customHeight="1">
      <c r="A1466" s="35"/>
      <c r="B1466" s="35"/>
      <c r="C1466" s="35"/>
      <c r="D1466" s="35"/>
      <c r="E1466" s="35"/>
      <c r="F1466" s="35"/>
      <c r="G1466" s="35"/>
      <c r="H1466" s="35"/>
      <c r="I1466" s="35"/>
      <c r="J1466" s="35"/>
      <c r="K1466" s="35"/>
      <c r="L1466" s="35"/>
      <c r="M1466" s="35"/>
      <c r="N1466" s="35"/>
      <c r="O1466" s="35"/>
      <c r="P1466" s="35"/>
      <c r="Q1466" s="35"/>
      <c r="R1466" s="35"/>
      <c r="S1466" s="35"/>
      <c r="T1466" s="35"/>
      <c r="U1466" s="35"/>
      <c r="V1466" s="35"/>
      <c r="W1466" s="35"/>
      <c r="X1466" s="35"/>
      <c r="Y1466" s="35"/>
      <c r="Z1466" s="35"/>
      <c r="AA1466" s="35"/>
      <c r="AB1466" s="35"/>
      <c r="AC1466" s="35"/>
      <c r="AD1466" s="35"/>
      <c r="AE1466" s="35"/>
      <c r="AF1466" s="35"/>
      <c r="AG1466" s="35"/>
      <c r="AH1466" s="35"/>
      <c r="AI1466" s="35"/>
      <c r="AJ1466" s="35"/>
      <c r="AK1466" s="35"/>
      <c r="AL1466" s="35"/>
      <c r="AM1466" s="35"/>
      <c r="AN1466" s="35"/>
      <c r="AO1466" s="35"/>
      <c r="AP1466" s="35"/>
      <c r="AQ1466" s="35"/>
      <c r="AR1466" s="35"/>
      <c r="AS1466" s="35"/>
      <c r="AT1466" s="35"/>
      <c r="AU1466" s="35"/>
      <c r="AV1466" s="35"/>
      <c r="AW1466" s="35"/>
      <c r="AX1466" s="35"/>
      <c r="AY1466" s="35"/>
      <c r="AZ1466" s="35"/>
      <c r="BA1466" s="35"/>
      <c r="BB1466" s="35"/>
      <c r="BC1466" s="35"/>
      <c r="BD1466" s="35"/>
      <c r="BE1466" s="35"/>
      <c r="BF1466" s="35"/>
      <c r="BG1466" s="35"/>
    </row>
    <row r="1467" ht="15.75" customHeight="1">
      <c r="A1467" s="35"/>
      <c r="B1467" s="35"/>
      <c r="C1467" s="35"/>
      <c r="D1467" s="35"/>
      <c r="E1467" s="35"/>
      <c r="F1467" s="35"/>
      <c r="G1467" s="35"/>
      <c r="H1467" s="35"/>
      <c r="I1467" s="35"/>
      <c r="J1467" s="35"/>
      <c r="K1467" s="35"/>
      <c r="L1467" s="35"/>
      <c r="M1467" s="35"/>
      <c r="N1467" s="35"/>
      <c r="O1467" s="35"/>
      <c r="P1467" s="35"/>
      <c r="Q1467" s="35"/>
      <c r="R1467" s="35"/>
      <c r="S1467" s="35"/>
      <c r="T1467" s="35"/>
      <c r="U1467" s="35"/>
      <c r="V1467" s="35"/>
      <c r="W1467" s="35"/>
      <c r="X1467" s="35"/>
      <c r="Y1467" s="35"/>
      <c r="Z1467" s="35"/>
      <c r="AA1467" s="35"/>
      <c r="AB1467" s="35"/>
      <c r="AC1467" s="35"/>
      <c r="AD1467" s="35"/>
      <c r="AE1467" s="35"/>
      <c r="AF1467" s="35"/>
      <c r="AG1467" s="35"/>
      <c r="AH1467" s="35"/>
      <c r="AI1467" s="35"/>
      <c r="AJ1467" s="35"/>
      <c r="AK1467" s="35"/>
      <c r="AL1467" s="35"/>
      <c r="AM1467" s="35"/>
      <c r="AN1467" s="35"/>
      <c r="AO1467" s="35"/>
      <c r="AP1467" s="35"/>
      <c r="AQ1467" s="35"/>
      <c r="AR1467" s="35"/>
      <c r="AS1467" s="35"/>
      <c r="AT1467" s="35"/>
      <c r="AU1467" s="35"/>
      <c r="AV1467" s="35"/>
      <c r="AW1467" s="35"/>
      <c r="AX1467" s="35"/>
      <c r="AY1467" s="35"/>
      <c r="AZ1467" s="35"/>
      <c r="BA1467" s="35"/>
      <c r="BB1467" s="35"/>
      <c r="BC1467" s="35"/>
      <c r="BD1467" s="35"/>
      <c r="BE1467" s="35"/>
      <c r="BF1467" s="35"/>
      <c r="BG1467" s="35"/>
    </row>
    <row r="1468" ht="15.75" customHeight="1">
      <c r="A1468" s="35"/>
      <c r="B1468" s="35"/>
      <c r="C1468" s="35"/>
      <c r="D1468" s="35"/>
      <c r="E1468" s="35"/>
      <c r="F1468" s="35"/>
      <c r="G1468" s="35"/>
      <c r="H1468" s="35"/>
      <c r="I1468" s="35"/>
      <c r="J1468" s="35"/>
      <c r="K1468" s="35"/>
      <c r="L1468" s="35"/>
      <c r="M1468" s="35"/>
      <c r="N1468" s="35"/>
      <c r="O1468" s="35"/>
      <c r="P1468" s="35"/>
      <c r="Q1468" s="35"/>
      <c r="R1468" s="35"/>
      <c r="S1468" s="35"/>
      <c r="T1468" s="35"/>
      <c r="U1468" s="35"/>
      <c r="V1468" s="35"/>
      <c r="W1468" s="35"/>
      <c r="X1468" s="35"/>
      <c r="Y1468" s="35"/>
      <c r="Z1468" s="35"/>
      <c r="AA1468" s="35"/>
      <c r="AB1468" s="35"/>
      <c r="AC1468" s="35"/>
      <c r="AD1468" s="35"/>
      <c r="AE1468" s="35"/>
      <c r="AF1468" s="35"/>
      <c r="AG1468" s="35"/>
      <c r="AH1468" s="35"/>
      <c r="AI1468" s="35"/>
      <c r="AJ1468" s="35"/>
      <c r="AK1468" s="35"/>
      <c r="AL1468" s="35"/>
      <c r="AM1468" s="35"/>
      <c r="AN1468" s="35"/>
      <c r="AO1468" s="35"/>
      <c r="AP1468" s="35"/>
      <c r="AQ1468" s="35"/>
      <c r="AR1468" s="35"/>
      <c r="AS1468" s="35"/>
      <c r="AT1468" s="35"/>
      <c r="AU1468" s="35"/>
      <c r="AV1468" s="35"/>
      <c r="AW1468" s="35"/>
      <c r="AX1468" s="35"/>
      <c r="AY1468" s="35"/>
      <c r="AZ1468" s="35"/>
      <c r="BA1468" s="35"/>
      <c r="BB1468" s="35"/>
      <c r="BC1468" s="35"/>
      <c r="BD1468" s="35"/>
      <c r="BE1468" s="35"/>
      <c r="BF1468" s="35"/>
      <c r="BG1468" s="35"/>
    </row>
    <row r="1469" ht="15.75" customHeight="1">
      <c r="A1469" s="35"/>
      <c r="B1469" s="35"/>
      <c r="C1469" s="35"/>
      <c r="D1469" s="35"/>
      <c r="E1469" s="35"/>
      <c r="F1469" s="35"/>
      <c r="G1469" s="35"/>
      <c r="H1469" s="35"/>
      <c r="I1469" s="35"/>
      <c r="J1469" s="35"/>
      <c r="K1469" s="35"/>
      <c r="L1469" s="35"/>
      <c r="M1469" s="35"/>
      <c r="N1469" s="35"/>
      <c r="O1469" s="35"/>
      <c r="P1469" s="35"/>
      <c r="Q1469" s="35"/>
      <c r="R1469" s="35"/>
      <c r="S1469" s="35"/>
      <c r="T1469" s="35"/>
      <c r="U1469" s="35"/>
      <c r="V1469" s="35"/>
      <c r="W1469" s="35"/>
      <c r="X1469" s="35"/>
      <c r="Y1469" s="35"/>
      <c r="Z1469" s="35"/>
      <c r="AA1469" s="35"/>
      <c r="AB1469" s="35"/>
      <c r="AC1469" s="35"/>
      <c r="AD1469" s="35"/>
      <c r="AE1469" s="35"/>
      <c r="AF1469" s="35"/>
      <c r="AG1469" s="35"/>
      <c r="AH1469" s="35"/>
      <c r="AI1469" s="35"/>
      <c r="AJ1469" s="35"/>
      <c r="AK1469" s="35"/>
      <c r="AL1469" s="35"/>
      <c r="AM1469" s="35"/>
      <c r="AN1469" s="35"/>
      <c r="AO1469" s="35"/>
      <c r="AP1469" s="35"/>
      <c r="AQ1469" s="35"/>
      <c r="AR1469" s="35"/>
      <c r="AS1469" s="35"/>
      <c r="AT1469" s="35"/>
      <c r="AU1469" s="35"/>
      <c r="AV1469" s="35"/>
      <c r="AW1469" s="35"/>
      <c r="AX1469" s="35"/>
      <c r="AY1469" s="35"/>
      <c r="AZ1469" s="35"/>
      <c r="BA1469" s="35"/>
      <c r="BB1469" s="35"/>
      <c r="BC1469" s="35"/>
      <c r="BD1469" s="35"/>
      <c r="BE1469" s="35"/>
      <c r="BF1469" s="35"/>
      <c r="BG1469" s="35"/>
    </row>
    <row r="1470" ht="15.75" customHeight="1">
      <c r="A1470" s="35"/>
      <c r="B1470" s="35"/>
      <c r="C1470" s="35"/>
      <c r="D1470" s="35"/>
      <c r="E1470" s="35"/>
      <c r="F1470" s="35"/>
      <c r="G1470" s="35"/>
      <c r="H1470" s="35"/>
      <c r="I1470" s="35"/>
      <c r="J1470" s="35"/>
      <c r="K1470" s="35"/>
      <c r="L1470" s="35"/>
      <c r="M1470" s="35"/>
      <c r="N1470" s="35"/>
      <c r="O1470" s="35"/>
      <c r="P1470" s="35"/>
      <c r="Q1470" s="35"/>
      <c r="R1470" s="35"/>
      <c r="S1470" s="35"/>
      <c r="T1470" s="35"/>
      <c r="U1470" s="35"/>
      <c r="V1470" s="35"/>
      <c r="W1470" s="35"/>
      <c r="X1470" s="35"/>
      <c r="Y1470" s="35"/>
      <c r="Z1470" s="35"/>
      <c r="AA1470" s="35"/>
      <c r="AB1470" s="35"/>
      <c r="AC1470" s="35"/>
      <c r="AD1470" s="35"/>
      <c r="AE1470" s="35"/>
      <c r="AF1470" s="35"/>
      <c r="AG1470" s="35"/>
      <c r="AH1470" s="35"/>
      <c r="AI1470" s="35"/>
      <c r="AJ1470" s="35"/>
      <c r="AK1470" s="35"/>
      <c r="AL1470" s="35"/>
      <c r="AM1470" s="35"/>
      <c r="AN1470" s="35"/>
      <c r="AO1470" s="35"/>
      <c r="AP1470" s="35"/>
      <c r="AQ1470" s="35"/>
      <c r="AR1470" s="35"/>
      <c r="AS1470" s="35"/>
      <c r="AT1470" s="35"/>
      <c r="AU1470" s="35"/>
      <c r="AV1470" s="35"/>
      <c r="AW1470" s="35"/>
      <c r="AX1470" s="35"/>
      <c r="AY1470" s="35"/>
      <c r="AZ1470" s="35"/>
      <c r="BA1470" s="35"/>
      <c r="BB1470" s="35"/>
      <c r="BC1470" s="35"/>
      <c r="BD1470" s="35"/>
      <c r="BE1470" s="35"/>
      <c r="BF1470" s="35"/>
      <c r="BG1470" s="35"/>
    </row>
    <row r="1471" ht="15.75" customHeight="1">
      <c r="A1471" s="35"/>
      <c r="B1471" s="35"/>
      <c r="C1471" s="35"/>
      <c r="D1471" s="35"/>
      <c r="E1471" s="35"/>
      <c r="F1471" s="35"/>
      <c r="G1471" s="35"/>
      <c r="H1471" s="35"/>
      <c r="I1471" s="35"/>
      <c r="J1471" s="35"/>
      <c r="K1471" s="35"/>
      <c r="L1471" s="35"/>
      <c r="M1471" s="35"/>
      <c r="N1471" s="35"/>
      <c r="O1471" s="35"/>
      <c r="P1471" s="35"/>
      <c r="Q1471" s="35"/>
      <c r="R1471" s="35"/>
      <c r="S1471" s="35"/>
      <c r="T1471" s="35"/>
      <c r="U1471" s="35"/>
      <c r="V1471" s="35"/>
      <c r="W1471" s="35"/>
      <c r="X1471" s="35"/>
      <c r="Y1471" s="35"/>
      <c r="Z1471" s="35"/>
      <c r="AA1471" s="35"/>
      <c r="AB1471" s="35"/>
      <c r="AC1471" s="35"/>
      <c r="AD1471" s="35"/>
      <c r="AE1471" s="35"/>
      <c r="AF1471" s="35"/>
      <c r="AG1471" s="35"/>
      <c r="AH1471" s="35"/>
      <c r="AI1471" s="35"/>
      <c r="AJ1471" s="35"/>
      <c r="AK1471" s="35"/>
      <c r="AL1471" s="35"/>
      <c r="AM1471" s="35"/>
      <c r="AN1471" s="35"/>
      <c r="AO1471" s="35"/>
      <c r="AP1471" s="35"/>
      <c r="AQ1471" s="35"/>
      <c r="AR1471" s="35"/>
      <c r="AS1471" s="35"/>
      <c r="AT1471" s="35"/>
      <c r="AU1471" s="35"/>
      <c r="AV1471" s="35"/>
      <c r="AW1471" s="35"/>
      <c r="AX1471" s="35"/>
      <c r="AY1471" s="35"/>
      <c r="AZ1471" s="35"/>
      <c r="BA1471" s="35"/>
      <c r="BB1471" s="35"/>
      <c r="BC1471" s="35"/>
      <c r="BD1471" s="35"/>
      <c r="BE1471" s="35"/>
      <c r="BF1471" s="35"/>
      <c r="BG1471" s="35"/>
    </row>
    <row r="1472" ht="15.75" customHeight="1">
      <c r="A1472" s="35"/>
      <c r="B1472" s="35"/>
      <c r="C1472" s="35"/>
      <c r="D1472" s="35"/>
      <c r="E1472" s="35"/>
      <c r="F1472" s="35"/>
      <c r="G1472" s="35"/>
      <c r="H1472" s="35"/>
      <c r="I1472" s="35"/>
      <c r="J1472" s="35"/>
      <c r="K1472" s="35"/>
      <c r="L1472" s="35"/>
      <c r="M1472" s="35"/>
      <c r="N1472" s="35"/>
      <c r="O1472" s="35"/>
      <c r="P1472" s="35"/>
      <c r="Q1472" s="35"/>
      <c r="R1472" s="35"/>
      <c r="S1472" s="35"/>
      <c r="T1472" s="35"/>
      <c r="U1472" s="35"/>
      <c r="V1472" s="35"/>
      <c r="W1472" s="35"/>
      <c r="X1472" s="35"/>
      <c r="Y1472" s="35"/>
      <c r="Z1472" s="35"/>
      <c r="AA1472" s="35"/>
      <c r="AB1472" s="35"/>
      <c r="AC1472" s="35"/>
      <c r="AD1472" s="35"/>
      <c r="AE1472" s="35"/>
      <c r="AF1472" s="35"/>
      <c r="AG1472" s="35"/>
      <c r="AH1472" s="35"/>
      <c r="AI1472" s="35"/>
      <c r="AJ1472" s="35"/>
      <c r="AK1472" s="35"/>
      <c r="AL1472" s="35"/>
      <c r="AM1472" s="35"/>
      <c r="AN1472" s="35"/>
      <c r="AO1472" s="35"/>
      <c r="AP1472" s="35"/>
      <c r="AQ1472" s="35"/>
      <c r="AR1472" s="35"/>
      <c r="AS1472" s="35"/>
      <c r="AT1472" s="35"/>
      <c r="AU1472" s="35"/>
      <c r="AV1472" s="35"/>
      <c r="AW1472" s="35"/>
      <c r="AX1472" s="35"/>
      <c r="AY1472" s="35"/>
      <c r="AZ1472" s="35"/>
      <c r="BA1472" s="35"/>
      <c r="BB1472" s="35"/>
      <c r="BC1472" s="35"/>
      <c r="BD1472" s="35"/>
      <c r="BE1472" s="35"/>
      <c r="BF1472" s="35"/>
      <c r="BG1472" s="35"/>
    </row>
    <row r="1473" ht="15.75" customHeight="1">
      <c r="A1473" s="35"/>
      <c r="B1473" s="35"/>
      <c r="C1473" s="35"/>
      <c r="D1473" s="35"/>
      <c r="E1473" s="35"/>
      <c r="F1473" s="35"/>
      <c r="G1473" s="35"/>
      <c r="H1473" s="35"/>
      <c r="I1473" s="35"/>
      <c r="J1473" s="35"/>
      <c r="K1473" s="35"/>
      <c r="L1473" s="35"/>
      <c r="M1473" s="35"/>
      <c r="N1473" s="35"/>
      <c r="O1473" s="35"/>
      <c r="P1473" s="35"/>
      <c r="Q1473" s="35"/>
      <c r="R1473" s="35"/>
      <c r="S1473" s="35"/>
      <c r="T1473" s="35"/>
      <c r="U1473" s="35"/>
      <c r="V1473" s="35"/>
      <c r="W1473" s="35"/>
      <c r="X1473" s="35"/>
      <c r="Y1473" s="35"/>
      <c r="Z1473" s="35"/>
      <c r="AA1473" s="35"/>
      <c r="AB1473" s="35"/>
      <c r="AC1473" s="35"/>
      <c r="AD1473" s="35"/>
      <c r="AE1473" s="35"/>
      <c r="AF1473" s="35"/>
      <c r="AG1473" s="35"/>
      <c r="AH1473" s="35"/>
      <c r="AI1473" s="35"/>
      <c r="AJ1473" s="35"/>
      <c r="AK1473" s="35"/>
      <c r="AL1473" s="35"/>
      <c r="AM1473" s="35"/>
      <c r="AN1473" s="35"/>
      <c r="AO1473" s="35"/>
      <c r="AP1473" s="35"/>
      <c r="AQ1473" s="35"/>
      <c r="AR1473" s="35"/>
      <c r="AS1473" s="35"/>
      <c r="AT1473" s="35"/>
      <c r="AU1473" s="35"/>
      <c r="AV1473" s="35"/>
      <c r="AW1473" s="35"/>
      <c r="AX1473" s="35"/>
      <c r="AY1473" s="35"/>
      <c r="AZ1473" s="35"/>
      <c r="BA1473" s="35"/>
      <c r="BB1473" s="35"/>
      <c r="BC1473" s="35"/>
      <c r="BD1473" s="35"/>
      <c r="BE1473" s="35"/>
      <c r="BF1473" s="35"/>
      <c r="BG1473" s="35"/>
    </row>
    <row r="1474" ht="15.75" customHeight="1">
      <c r="A1474" s="35"/>
      <c r="B1474" s="35"/>
      <c r="C1474" s="35"/>
      <c r="D1474" s="35"/>
      <c r="E1474" s="35"/>
      <c r="F1474" s="35"/>
      <c r="G1474" s="35"/>
      <c r="H1474" s="35"/>
      <c r="I1474" s="35"/>
      <c r="J1474" s="35"/>
      <c r="K1474" s="35"/>
      <c r="L1474" s="35"/>
      <c r="M1474" s="35"/>
      <c r="N1474" s="35"/>
      <c r="O1474" s="35"/>
      <c r="P1474" s="35"/>
      <c r="Q1474" s="35"/>
      <c r="R1474" s="35"/>
      <c r="S1474" s="35"/>
      <c r="T1474" s="35"/>
      <c r="U1474" s="35"/>
      <c r="V1474" s="35"/>
      <c r="W1474" s="35"/>
      <c r="X1474" s="35"/>
      <c r="Y1474" s="35"/>
      <c r="Z1474" s="35"/>
      <c r="AA1474" s="35"/>
      <c r="AB1474" s="35"/>
      <c r="AC1474" s="35"/>
      <c r="AD1474" s="35"/>
      <c r="AE1474" s="35"/>
      <c r="AF1474" s="35"/>
      <c r="AG1474" s="35"/>
      <c r="AH1474" s="35"/>
      <c r="AI1474" s="35"/>
      <c r="AJ1474" s="35"/>
      <c r="AK1474" s="35"/>
      <c r="AL1474" s="35"/>
      <c r="AM1474" s="35"/>
      <c r="AN1474" s="35"/>
      <c r="AO1474" s="35"/>
      <c r="AP1474" s="35"/>
      <c r="AQ1474" s="35"/>
      <c r="AR1474" s="35"/>
      <c r="AS1474" s="35"/>
      <c r="AT1474" s="35"/>
      <c r="AU1474" s="35"/>
      <c r="AV1474" s="35"/>
      <c r="AW1474" s="35"/>
      <c r="AX1474" s="35"/>
      <c r="AY1474" s="35"/>
      <c r="AZ1474" s="35"/>
      <c r="BA1474" s="35"/>
      <c r="BB1474" s="35"/>
      <c r="BC1474" s="35"/>
      <c r="BD1474" s="35"/>
      <c r="BE1474" s="35"/>
      <c r="BF1474" s="35"/>
      <c r="BG1474" s="35"/>
    </row>
    <row r="1475" ht="15.75" customHeight="1">
      <c r="A1475" s="35"/>
      <c r="B1475" s="35"/>
      <c r="C1475" s="35"/>
      <c r="D1475" s="35"/>
      <c r="E1475" s="35"/>
      <c r="F1475" s="35"/>
      <c r="G1475" s="35"/>
      <c r="H1475" s="35"/>
      <c r="I1475" s="35"/>
      <c r="J1475" s="35"/>
      <c r="K1475" s="35"/>
      <c r="L1475" s="35"/>
      <c r="M1475" s="35"/>
      <c r="N1475" s="35"/>
      <c r="O1475" s="35"/>
      <c r="P1475" s="35"/>
      <c r="Q1475" s="35"/>
      <c r="R1475" s="35"/>
      <c r="S1475" s="35"/>
      <c r="T1475" s="35"/>
      <c r="U1475" s="35"/>
      <c r="V1475" s="35"/>
      <c r="W1475" s="35"/>
      <c r="X1475" s="35"/>
      <c r="Y1475" s="35"/>
      <c r="Z1475" s="35"/>
      <c r="AA1475" s="35"/>
      <c r="AB1475" s="35"/>
      <c r="AC1475" s="35"/>
      <c r="AD1475" s="35"/>
      <c r="AE1475" s="35"/>
      <c r="AF1475" s="35"/>
      <c r="AG1475" s="35"/>
      <c r="AH1475" s="35"/>
      <c r="AI1475" s="35"/>
      <c r="AJ1475" s="35"/>
      <c r="AK1475" s="35"/>
      <c r="AL1475" s="35"/>
      <c r="AM1475" s="35"/>
      <c r="AN1475" s="35"/>
      <c r="AO1475" s="35"/>
      <c r="AP1475" s="35"/>
      <c r="AQ1475" s="35"/>
      <c r="AR1475" s="35"/>
      <c r="AS1475" s="35"/>
      <c r="AT1475" s="35"/>
      <c r="AU1475" s="35"/>
      <c r="AV1475" s="35"/>
      <c r="AW1475" s="35"/>
      <c r="AX1475" s="35"/>
      <c r="AY1475" s="35"/>
      <c r="AZ1475" s="35"/>
      <c r="BA1475" s="35"/>
      <c r="BB1475" s="35"/>
      <c r="BC1475" s="35"/>
      <c r="BD1475" s="35"/>
      <c r="BE1475" s="35"/>
      <c r="BF1475" s="35"/>
      <c r="BG1475" s="35"/>
    </row>
    <row r="1476" ht="15.75" customHeight="1">
      <c r="A1476" s="35"/>
      <c r="B1476" s="35"/>
      <c r="C1476" s="35"/>
      <c r="D1476" s="35"/>
      <c r="E1476" s="35"/>
      <c r="F1476" s="35"/>
      <c r="G1476" s="35"/>
      <c r="H1476" s="35"/>
      <c r="I1476" s="35"/>
      <c r="J1476" s="35"/>
      <c r="K1476" s="35"/>
      <c r="L1476" s="35"/>
      <c r="M1476" s="35"/>
      <c r="N1476" s="35"/>
      <c r="O1476" s="35"/>
      <c r="P1476" s="35"/>
      <c r="Q1476" s="35"/>
      <c r="R1476" s="35"/>
      <c r="S1476" s="35"/>
      <c r="T1476" s="35"/>
      <c r="U1476" s="35"/>
      <c r="V1476" s="35"/>
      <c r="W1476" s="35"/>
      <c r="X1476" s="35"/>
      <c r="Y1476" s="35"/>
      <c r="Z1476" s="35"/>
      <c r="AA1476" s="35"/>
      <c r="AB1476" s="35"/>
      <c r="AC1476" s="35"/>
      <c r="AD1476" s="35"/>
      <c r="AE1476" s="35"/>
      <c r="AF1476" s="35"/>
      <c r="AG1476" s="35"/>
      <c r="AH1476" s="35"/>
      <c r="AI1476" s="35"/>
      <c r="AJ1476" s="35"/>
      <c r="AK1476" s="35"/>
      <c r="AL1476" s="35"/>
      <c r="AM1476" s="35"/>
      <c r="AN1476" s="35"/>
      <c r="AO1476" s="35"/>
      <c r="AP1476" s="35"/>
      <c r="AQ1476" s="35"/>
      <c r="AR1476" s="35"/>
      <c r="AS1476" s="35"/>
      <c r="AT1476" s="35"/>
      <c r="AU1476" s="35"/>
      <c r="AV1476" s="35"/>
      <c r="AW1476" s="35"/>
      <c r="AX1476" s="35"/>
      <c r="AY1476" s="35"/>
      <c r="AZ1476" s="35"/>
      <c r="BA1476" s="35"/>
      <c r="BB1476" s="35"/>
      <c r="BC1476" s="35"/>
      <c r="BD1476" s="35"/>
      <c r="BE1476" s="35"/>
      <c r="BF1476" s="35"/>
      <c r="BG1476" s="35"/>
    </row>
    <row r="1477" ht="15.75" customHeight="1">
      <c r="A1477" s="35"/>
      <c r="B1477" s="35"/>
      <c r="C1477" s="35"/>
      <c r="D1477" s="35"/>
      <c r="E1477" s="35"/>
      <c r="F1477" s="35"/>
      <c r="G1477" s="35"/>
      <c r="H1477" s="35"/>
      <c r="I1477" s="35"/>
      <c r="J1477" s="35"/>
      <c r="K1477" s="35"/>
      <c r="L1477" s="35"/>
      <c r="M1477" s="35"/>
      <c r="N1477" s="35"/>
      <c r="O1477" s="35"/>
      <c r="P1477" s="35"/>
      <c r="Q1477" s="35"/>
      <c r="R1477" s="35"/>
      <c r="S1477" s="35"/>
      <c r="T1477" s="35"/>
      <c r="U1477" s="35"/>
      <c r="V1477" s="35"/>
      <c r="W1477" s="35"/>
      <c r="X1477" s="35"/>
      <c r="Y1477" s="35"/>
      <c r="Z1477" s="35"/>
      <c r="AA1477" s="35"/>
      <c r="AB1477" s="35"/>
      <c r="AC1477" s="35"/>
      <c r="AD1477" s="35"/>
      <c r="AE1477" s="35"/>
      <c r="AF1477" s="35"/>
      <c r="AG1477" s="35"/>
      <c r="AH1477" s="35"/>
      <c r="AI1477" s="35"/>
      <c r="AJ1477" s="35"/>
      <c r="AK1477" s="35"/>
      <c r="AL1477" s="35"/>
      <c r="AM1477" s="35"/>
      <c r="AN1477" s="35"/>
      <c r="AO1477" s="35"/>
      <c r="AP1477" s="35"/>
      <c r="AQ1477" s="35"/>
      <c r="AR1477" s="35"/>
      <c r="AS1477" s="35"/>
      <c r="AT1477" s="35"/>
      <c r="AU1477" s="35"/>
      <c r="AV1477" s="35"/>
      <c r="AW1477" s="35"/>
      <c r="AX1477" s="35"/>
      <c r="AY1477" s="35"/>
      <c r="AZ1477" s="35"/>
      <c r="BA1477" s="35"/>
      <c r="BB1477" s="35"/>
      <c r="BC1477" s="35"/>
      <c r="BD1477" s="35"/>
      <c r="BE1477" s="35"/>
      <c r="BF1477" s="35"/>
      <c r="BG1477" s="35"/>
    </row>
    <row r="1478" ht="15.75" customHeight="1">
      <c r="A1478" s="35"/>
      <c r="B1478" s="35"/>
      <c r="C1478" s="35"/>
      <c r="D1478" s="35"/>
      <c r="E1478" s="35"/>
      <c r="F1478" s="35"/>
      <c r="G1478" s="35"/>
      <c r="H1478" s="35"/>
      <c r="I1478" s="35"/>
      <c r="J1478" s="35"/>
      <c r="K1478" s="35"/>
      <c r="L1478" s="35"/>
      <c r="M1478" s="35"/>
      <c r="N1478" s="35"/>
      <c r="O1478" s="35"/>
      <c r="P1478" s="35"/>
      <c r="Q1478" s="35"/>
      <c r="R1478" s="35"/>
      <c r="S1478" s="35"/>
      <c r="T1478" s="35"/>
      <c r="U1478" s="35"/>
      <c r="V1478" s="35"/>
      <c r="W1478" s="35"/>
      <c r="X1478" s="35"/>
      <c r="Y1478" s="35"/>
      <c r="Z1478" s="35"/>
      <c r="AA1478" s="35"/>
      <c r="AB1478" s="35"/>
      <c r="AC1478" s="35"/>
      <c r="AD1478" s="35"/>
      <c r="AE1478" s="35"/>
      <c r="AF1478" s="35"/>
      <c r="AG1478" s="35"/>
      <c r="AH1478" s="35"/>
      <c r="AI1478" s="35"/>
      <c r="AJ1478" s="35"/>
      <c r="AK1478" s="35"/>
      <c r="AL1478" s="35"/>
      <c r="AM1478" s="35"/>
      <c r="AN1478" s="35"/>
      <c r="AO1478" s="35"/>
      <c r="AP1478" s="35"/>
      <c r="AQ1478" s="35"/>
      <c r="AR1478" s="35"/>
      <c r="AS1478" s="35"/>
      <c r="AT1478" s="35"/>
      <c r="AU1478" s="35"/>
      <c r="AV1478" s="35"/>
      <c r="AW1478" s="35"/>
      <c r="AX1478" s="35"/>
      <c r="AY1478" s="35"/>
      <c r="AZ1478" s="35"/>
      <c r="BA1478" s="35"/>
      <c r="BB1478" s="35"/>
      <c r="BC1478" s="35"/>
      <c r="BD1478" s="35"/>
      <c r="BE1478" s="35"/>
      <c r="BF1478" s="35"/>
      <c r="BG1478" s="35"/>
    </row>
    <row r="1479" ht="15.75" customHeight="1">
      <c r="A1479" s="35"/>
      <c r="B1479" s="35"/>
      <c r="C1479" s="35"/>
      <c r="D1479" s="35"/>
      <c r="E1479" s="35"/>
      <c r="F1479" s="35"/>
      <c r="G1479" s="35"/>
      <c r="H1479" s="35"/>
      <c r="I1479" s="35"/>
      <c r="J1479" s="35"/>
      <c r="K1479" s="35"/>
      <c r="L1479" s="35"/>
      <c r="M1479" s="35"/>
      <c r="N1479" s="35"/>
      <c r="O1479" s="35"/>
      <c r="P1479" s="35"/>
      <c r="Q1479" s="35"/>
      <c r="R1479" s="35"/>
      <c r="S1479" s="35"/>
      <c r="T1479" s="35"/>
      <c r="U1479" s="35"/>
      <c r="V1479" s="35"/>
      <c r="W1479" s="35"/>
      <c r="X1479" s="35"/>
      <c r="Y1479" s="35"/>
      <c r="Z1479" s="35"/>
      <c r="AA1479" s="35"/>
      <c r="AB1479" s="35"/>
      <c r="AC1479" s="35"/>
      <c r="AD1479" s="35"/>
      <c r="AE1479" s="35"/>
      <c r="AF1479" s="35"/>
      <c r="AG1479" s="35"/>
      <c r="AH1479" s="35"/>
      <c r="AI1479" s="35"/>
      <c r="AJ1479" s="35"/>
      <c r="AK1479" s="35"/>
      <c r="AL1479" s="35"/>
      <c r="AM1479" s="35"/>
      <c r="AN1479" s="35"/>
      <c r="AO1479" s="35"/>
      <c r="AP1479" s="35"/>
      <c r="AQ1479" s="35"/>
      <c r="AR1479" s="35"/>
      <c r="AS1479" s="35"/>
      <c r="AT1479" s="35"/>
      <c r="AU1479" s="35"/>
      <c r="AV1479" s="35"/>
      <c r="AW1479" s="35"/>
      <c r="AX1479" s="35"/>
      <c r="AY1479" s="35"/>
      <c r="AZ1479" s="35"/>
      <c r="BA1479" s="35"/>
      <c r="BB1479" s="35"/>
      <c r="BC1479" s="35"/>
      <c r="BD1479" s="35"/>
      <c r="BE1479" s="35"/>
      <c r="BF1479" s="35"/>
      <c r="BG1479" s="35"/>
    </row>
    <row r="1480" ht="15.75" customHeight="1">
      <c r="A1480" s="35"/>
      <c r="B1480" s="35"/>
      <c r="C1480" s="35"/>
      <c r="D1480" s="35"/>
      <c r="E1480" s="35"/>
      <c r="F1480" s="35"/>
      <c r="G1480" s="35"/>
      <c r="H1480" s="35"/>
      <c r="I1480" s="35"/>
      <c r="J1480" s="35"/>
      <c r="K1480" s="35"/>
      <c r="L1480" s="35"/>
      <c r="M1480" s="35"/>
      <c r="N1480" s="35"/>
      <c r="O1480" s="35"/>
      <c r="P1480" s="35"/>
      <c r="Q1480" s="35"/>
      <c r="R1480" s="35"/>
      <c r="S1480" s="35"/>
      <c r="T1480" s="35"/>
      <c r="U1480" s="35"/>
      <c r="V1480" s="35"/>
      <c r="W1480" s="35"/>
      <c r="X1480" s="35"/>
      <c r="Y1480" s="35"/>
      <c r="Z1480" s="35"/>
      <c r="AA1480" s="35"/>
      <c r="AB1480" s="35"/>
      <c r="AC1480" s="35"/>
      <c r="AD1480" s="35"/>
      <c r="AE1480" s="35"/>
      <c r="AF1480" s="35"/>
      <c r="AG1480" s="35"/>
      <c r="AH1480" s="35"/>
      <c r="AI1480" s="35"/>
      <c r="AJ1480" s="35"/>
      <c r="AK1480" s="35"/>
      <c r="AL1480" s="35"/>
      <c r="AM1480" s="35"/>
      <c r="AN1480" s="35"/>
      <c r="AO1480" s="35"/>
      <c r="AP1480" s="35"/>
      <c r="AQ1480" s="35"/>
      <c r="AR1480" s="35"/>
      <c r="AS1480" s="35"/>
      <c r="AT1480" s="35"/>
      <c r="AU1480" s="35"/>
      <c r="AV1480" s="35"/>
      <c r="AW1480" s="35"/>
      <c r="AX1480" s="35"/>
      <c r="AY1480" s="35"/>
      <c r="AZ1480" s="35"/>
      <c r="BA1480" s="35"/>
      <c r="BB1480" s="35"/>
      <c r="BC1480" s="35"/>
      <c r="BD1480" s="35"/>
      <c r="BE1480" s="35"/>
      <c r="BF1480" s="35"/>
      <c r="BG1480" s="35"/>
    </row>
    <row r="1481" ht="15.75" customHeight="1">
      <c r="A1481" s="35"/>
      <c r="B1481" s="35"/>
      <c r="C1481" s="35"/>
      <c r="D1481" s="35"/>
      <c r="E1481" s="35"/>
      <c r="F1481" s="35"/>
      <c r="G1481" s="35"/>
      <c r="H1481" s="35"/>
      <c r="I1481" s="35"/>
      <c r="J1481" s="35"/>
      <c r="K1481" s="35"/>
      <c r="L1481" s="35"/>
      <c r="M1481" s="35"/>
      <c r="N1481" s="35"/>
      <c r="O1481" s="35"/>
      <c r="P1481" s="35"/>
      <c r="Q1481" s="35"/>
      <c r="R1481" s="35"/>
      <c r="S1481" s="35"/>
      <c r="T1481" s="35"/>
      <c r="U1481" s="35"/>
      <c r="V1481" s="35"/>
      <c r="W1481" s="35"/>
      <c r="X1481" s="35"/>
      <c r="Y1481" s="35"/>
      <c r="Z1481" s="35"/>
      <c r="AA1481" s="35"/>
      <c r="AB1481" s="35"/>
      <c r="AC1481" s="35"/>
      <c r="AD1481" s="35"/>
      <c r="AE1481" s="35"/>
      <c r="AF1481" s="35"/>
      <c r="AG1481" s="35"/>
      <c r="AH1481" s="35"/>
      <c r="AI1481" s="35"/>
      <c r="AJ1481" s="35"/>
      <c r="AK1481" s="35"/>
      <c r="AL1481" s="35"/>
      <c r="AM1481" s="35"/>
      <c r="AN1481" s="35"/>
      <c r="AO1481" s="35"/>
      <c r="AP1481" s="35"/>
      <c r="AQ1481" s="35"/>
      <c r="AR1481" s="35"/>
      <c r="AS1481" s="35"/>
      <c r="AT1481" s="35"/>
      <c r="AU1481" s="35"/>
      <c r="AV1481" s="35"/>
      <c r="AW1481" s="35"/>
      <c r="AX1481" s="35"/>
      <c r="AY1481" s="35"/>
      <c r="AZ1481" s="35"/>
      <c r="BA1481" s="35"/>
      <c r="BB1481" s="35"/>
      <c r="BC1481" s="35"/>
      <c r="BD1481" s="35"/>
      <c r="BE1481" s="35"/>
      <c r="BF1481" s="35"/>
      <c r="BG1481" s="35"/>
    </row>
    <row r="1482" ht="15.75" customHeight="1">
      <c r="A1482" s="35"/>
      <c r="B1482" s="35"/>
      <c r="C1482" s="35"/>
      <c r="D1482" s="35"/>
      <c r="E1482" s="35"/>
      <c r="F1482" s="35"/>
      <c r="G1482" s="35"/>
      <c r="H1482" s="35"/>
      <c r="I1482" s="35"/>
      <c r="J1482" s="35"/>
      <c r="K1482" s="35"/>
      <c r="L1482" s="35"/>
      <c r="M1482" s="35"/>
      <c r="N1482" s="35"/>
      <c r="O1482" s="35"/>
      <c r="P1482" s="35"/>
      <c r="Q1482" s="35"/>
      <c r="R1482" s="35"/>
      <c r="S1482" s="35"/>
      <c r="T1482" s="35"/>
      <c r="U1482" s="35"/>
      <c r="V1482" s="35"/>
      <c r="W1482" s="35"/>
      <c r="X1482" s="35"/>
      <c r="Y1482" s="35"/>
      <c r="Z1482" s="35"/>
      <c r="AA1482" s="35"/>
      <c r="AB1482" s="35"/>
      <c r="AC1482" s="35"/>
      <c r="AD1482" s="35"/>
      <c r="AE1482" s="35"/>
      <c r="AF1482" s="35"/>
      <c r="AG1482" s="35"/>
      <c r="AH1482" s="35"/>
      <c r="AI1482" s="35"/>
      <c r="AJ1482" s="35"/>
      <c r="AK1482" s="35"/>
      <c r="AL1482" s="35"/>
      <c r="AM1482" s="35"/>
      <c r="AN1482" s="35"/>
      <c r="AO1482" s="35"/>
      <c r="AP1482" s="35"/>
      <c r="AQ1482" s="35"/>
      <c r="AR1482" s="35"/>
      <c r="AS1482" s="35"/>
      <c r="AT1482" s="35"/>
      <c r="AU1482" s="35"/>
      <c r="AV1482" s="35"/>
      <c r="AW1482" s="35"/>
      <c r="AX1482" s="35"/>
      <c r="AY1482" s="35"/>
      <c r="AZ1482" s="35"/>
      <c r="BA1482" s="35"/>
      <c r="BB1482" s="35"/>
      <c r="BC1482" s="35"/>
      <c r="BD1482" s="35"/>
      <c r="BE1482" s="35"/>
      <c r="BF1482" s="35"/>
      <c r="BG1482" s="35"/>
    </row>
    <row r="1483" ht="15.75" customHeight="1">
      <c r="A1483" s="35"/>
      <c r="B1483" s="35"/>
      <c r="C1483" s="35"/>
      <c r="D1483" s="35"/>
      <c r="E1483" s="35"/>
      <c r="F1483" s="35"/>
      <c r="G1483" s="35"/>
      <c r="H1483" s="35"/>
      <c r="I1483" s="35"/>
      <c r="J1483" s="35"/>
      <c r="K1483" s="35"/>
      <c r="L1483" s="35"/>
      <c r="M1483" s="35"/>
      <c r="N1483" s="35"/>
      <c r="O1483" s="35"/>
      <c r="P1483" s="35"/>
      <c r="Q1483" s="35"/>
      <c r="R1483" s="35"/>
      <c r="S1483" s="35"/>
      <c r="T1483" s="35"/>
      <c r="U1483" s="35"/>
      <c r="V1483" s="35"/>
      <c r="W1483" s="35"/>
      <c r="X1483" s="35"/>
      <c r="Y1483" s="35"/>
      <c r="Z1483" s="35"/>
      <c r="AA1483" s="35"/>
      <c r="AB1483" s="35"/>
      <c r="AC1483" s="35"/>
      <c r="AD1483" s="35"/>
      <c r="AE1483" s="35"/>
      <c r="AF1483" s="35"/>
      <c r="AG1483" s="35"/>
      <c r="AH1483" s="35"/>
      <c r="AI1483" s="35"/>
      <c r="AJ1483" s="35"/>
      <c r="AK1483" s="35"/>
      <c r="AL1483" s="35"/>
      <c r="AM1483" s="35"/>
      <c r="AN1483" s="35"/>
      <c r="AO1483" s="35"/>
      <c r="AP1483" s="35"/>
      <c r="AQ1483" s="35"/>
      <c r="AR1483" s="35"/>
      <c r="AS1483" s="35"/>
      <c r="AT1483" s="35"/>
      <c r="AU1483" s="35"/>
      <c r="AV1483" s="35"/>
      <c r="AW1483" s="35"/>
      <c r="AX1483" s="35"/>
      <c r="AY1483" s="35"/>
      <c r="AZ1483" s="35"/>
      <c r="BA1483" s="35"/>
      <c r="BB1483" s="35"/>
      <c r="BC1483" s="35"/>
      <c r="BD1483" s="35"/>
      <c r="BE1483" s="35"/>
      <c r="BF1483" s="35"/>
      <c r="BG1483" s="35"/>
    </row>
    <row r="1484" ht="15.75" customHeight="1">
      <c r="A1484" s="35"/>
      <c r="B1484" s="35"/>
      <c r="C1484" s="35"/>
      <c r="D1484" s="35"/>
      <c r="E1484" s="35"/>
      <c r="F1484" s="35"/>
      <c r="G1484" s="35"/>
      <c r="H1484" s="35"/>
      <c r="I1484" s="35"/>
      <c r="J1484" s="35"/>
      <c r="K1484" s="35"/>
      <c r="L1484" s="35"/>
      <c r="M1484" s="35"/>
      <c r="N1484" s="35"/>
      <c r="O1484" s="35"/>
      <c r="P1484" s="35"/>
      <c r="Q1484" s="35"/>
      <c r="R1484" s="35"/>
      <c r="S1484" s="35"/>
      <c r="T1484" s="35"/>
      <c r="U1484" s="35"/>
      <c r="V1484" s="35"/>
      <c r="W1484" s="35"/>
      <c r="X1484" s="35"/>
      <c r="Y1484" s="35"/>
      <c r="Z1484" s="35"/>
      <c r="AA1484" s="35"/>
      <c r="AB1484" s="35"/>
      <c r="AC1484" s="35"/>
      <c r="AD1484" s="35"/>
      <c r="AE1484" s="35"/>
      <c r="AF1484" s="35"/>
      <c r="AG1484" s="35"/>
      <c r="AH1484" s="35"/>
      <c r="AI1484" s="35"/>
      <c r="AJ1484" s="35"/>
      <c r="AK1484" s="35"/>
      <c r="AL1484" s="35"/>
      <c r="AM1484" s="35"/>
      <c r="AN1484" s="35"/>
      <c r="AO1484" s="35"/>
      <c r="AP1484" s="35"/>
      <c r="AQ1484" s="35"/>
      <c r="AR1484" s="35"/>
      <c r="AS1484" s="35"/>
      <c r="AT1484" s="35"/>
      <c r="AU1484" s="35"/>
      <c r="AV1484" s="35"/>
      <c r="AW1484" s="35"/>
      <c r="AX1484" s="35"/>
      <c r="AY1484" s="35"/>
      <c r="AZ1484" s="35"/>
      <c r="BA1484" s="35"/>
      <c r="BB1484" s="35"/>
      <c r="BC1484" s="35"/>
      <c r="BD1484" s="35"/>
      <c r="BE1484" s="35"/>
      <c r="BF1484" s="35"/>
      <c r="BG1484" s="35"/>
    </row>
    <row r="1485" ht="15.75" customHeight="1">
      <c r="A1485" s="35"/>
      <c r="B1485" s="35"/>
      <c r="C1485" s="35"/>
      <c r="D1485" s="35"/>
      <c r="E1485" s="35"/>
      <c r="F1485" s="35"/>
      <c r="G1485" s="35"/>
      <c r="H1485" s="35"/>
      <c r="I1485" s="35"/>
      <c r="J1485" s="35"/>
      <c r="K1485" s="35"/>
      <c r="L1485" s="35"/>
      <c r="M1485" s="35"/>
      <c r="N1485" s="35"/>
      <c r="O1485" s="35"/>
      <c r="P1485" s="35"/>
      <c r="Q1485" s="35"/>
      <c r="R1485" s="35"/>
      <c r="S1485" s="35"/>
      <c r="T1485" s="35"/>
      <c r="U1485" s="35"/>
      <c r="V1485" s="35"/>
      <c r="W1485" s="35"/>
      <c r="X1485" s="35"/>
      <c r="Y1485" s="35"/>
      <c r="Z1485" s="35"/>
      <c r="AA1485" s="35"/>
      <c r="AB1485" s="35"/>
      <c r="AC1485" s="35"/>
      <c r="AD1485" s="35"/>
      <c r="AE1485" s="35"/>
      <c r="AF1485" s="35"/>
      <c r="AG1485" s="35"/>
      <c r="AH1485" s="35"/>
      <c r="AI1485" s="35"/>
      <c r="AJ1485" s="35"/>
      <c r="AK1485" s="35"/>
      <c r="AL1485" s="35"/>
      <c r="AM1485" s="35"/>
      <c r="AN1485" s="35"/>
      <c r="AO1485" s="35"/>
      <c r="AP1485" s="35"/>
      <c r="AQ1485" s="35"/>
      <c r="AR1485" s="35"/>
      <c r="AS1485" s="35"/>
      <c r="AT1485" s="35"/>
      <c r="AU1485" s="35"/>
      <c r="AV1485" s="35"/>
      <c r="AW1485" s="35"/>
      <c r="AX1485" s="35"/>
      <c r="AY1485" s="35"/>
      <c r="AZ1485" s="35"/>
      <c r="BA1485" s="35"/>
      <c r="BB1485" s="35"/>
      <c r="BC1485" s="35"/>
      <c r="BD1485" s="35"/>
      <c r="BE1485" s="35"/>
      <c r="BF1485" s="35"/>
      <c r="BG1485" s="35"/>
    </row>
    <row r="1486" ht="15.75" customHeight="1">
      <c r="A1486" s="35"/>
      <c r="B1486" s="35"/>
      <c r="C1486" s="35"/>
      <c r="D1486" s="35"/>
      <c r="E1486" s="35"/>
      <c r="F1486" s="35"/>
      <c r="G1486" s="35"/>
      <c r="H1486" s="35"/>
      <c r="I1486" s="35"/>
      <c r="J1486" s="35"/>
      <c r="K1486" s="35"/>
      <c r="L1486" s="35"/>
      <c r="M1486" s="35"/>
      <c r="N1486" s="35"/>
      <c r="O1486" s="35"/>
      <c r="P1486" s="35"/>
      <c r="Q1486" s="35"/>
      <c r="R1486" s="35"/>
      <c r="S1486" s="35"/>
      <c r="T1486" s="35"/>
      <c r="U1486" s="35"/>
      <c r="V1486" s="35"/>
      <c r="W1486" s="35"/>
      <c r="X1486" s="35"/>
      <c r="Y1486" s="35"/>
      <c r="Z1486" s="35"/>
      <c r="AA1486" s="35"/>
      <c r="AB1486" s="35"/>
      <c r="AC1486" s="35"/>
      <c r="AD1486" s="35"/>
      <c r="AE1486" s="35"/>
      <c r="AF1486" s="35"/>
      <c r="AG1486" s="35"/>
      <c r="AH1486" s="35"/>
      <c r="AI1486" s="35"/>
      <c r="AJ1486" s="35"/>
      <c r="AK1486" s="35"/>
      <c r="AL1486" s="35"/>
      <c r="AM1486" s="35"/>
      <c r="AN1486" s="35"/>
      <c r="AO1486" s="35"/>
      <c r="AP1486" s="35"/>
      <c r="AQ1486" s="35"/>
      <c r="AR1486" s="35"/>
      <c r="AS1486" s="35"/>
      <c r="AT1486" s="35"/>
      <c r="AU1486" s="35"/>
      <c r="AV1486" s="35"/>
      <c r="AW1486" s="35"/>
      <c r="AX1486" s="35"/>
      <c r="AY1486" s="35"/>
      <c r="AZ1486" s="35"/>
      <c r="BA1486" s="35"/>
      <c r="BB1486" s="35"/>
      <c r="BC1486" s="35"/>
      <c r="BD1486" s="35"/>
      <c r="BE1486" s="35"/>
      <c r="BF1486" s="35"/>
      <c r="BG1486" s="35"/>
    </row>
    <row r="1487" ht="15.75" customHeight="1">
      <c r="A1487" s="35"/>
      <c r="B1487" s="35"/>
      <c r="C1487" s="35"/>
      <c r="D1487" s="35"/>
      <c r="E1487" s="35"/>
      <c r="F1487" s="35"/>
      <c r="G1487" s="35"/>
      <c r="H1487" s="35"/>
      <c r="I1487" s="35"/>
      <c r="J1487" s="35"/>
      <c r="K1487" s="35"/>
      <c r="L1487" s="35"/>
      <c r="M1487" s="35"/>
      <c r="N1487" s="35"/>
      <c r="O1487" s="35"/>
      <c r="P1487" s="35"/>
      <c r="Q1487" s="35"/>
      <c r="R1487" s="35"/>
      <c r="S1487" s="35"/>
      <c r="T1487" s="35"/>
      <c r="U1487" s="35"/>
      <c r="V1487" s="35"/>
      <c r="W1487" s="35"/>
      <c r="X1487" s="35"/>
      <c r="Y1487" s="35"/>
      <c r="Z1487" s="35"/>
      <c r="AA1487" s="35"/>
      <c r="AB1487" s="35"/>
      <c r="AC1487" s="35"/>
      <c r="AD1487" s="35"/>
      <c r="AE1487" s="35"/>
      <c r="AF1487" s="35"/>
      <c r="AG1487" s="35"/>
      <c r="AH1487" s="35"/>
      <c r="AI1487" s="35"/>
      <c r="AJ1487" s="35"/>
      <c r="AK1487" s="35"/>
      <c r="AL1487" s="35"/>
      <c r="AM1487" s="35"/>
      <c r="AN1487" s="35"/>
      <c r="AO1487" s="35"/>
      <c r="AP1487" s="35"/>
      <c r="AQ1487" s="35"/>
      <c r="AR1487" s="35"/>
      <c r="AS1487" s="35"/>
      <c r="AT1487" s="35"/>
      <c r="AU1487" s="35"/>
      <c r="AV1487" s="35"/>
      <c r="AW1487" s="35"/>
      <c r="AX1487" s="35"/>
      <c r="AY1487" s="35"/>
      <c r="AZ1487" s="35"/>
      <c r="BA1487" s="35"/>
      <c r="BB1487" s="35"/>
      <c r="BC1487" s="35"/>
      <c r="BD1487" s="35"/>
      <c r="BE1487" s="35"/>
      <c r="BF1487" s="35"/>
      <c r="BG1487" s="35"/>
    </row>
    <row r="1488" ht="15.75" customHeight="1">
      <c r="A1488" s="35"/>
      <c r="B1488" s="35"/>
      <c r="C1488" s="35"/>
      <c r="D1488" s="35"/>
      <c r="E1488" s="35"/>
      <c r="F1488" s="35"/>
      <c r="G1488" s="35"/>
      <c r="H1488" s="35"/>
      <c r="I1488" s="35"/>
      <c r="J1488" s="35"/>
      <c r="K1488" s="35"/>
      <c r="L1488" s="35"/>
      <c r="M1488" s="35"/>
      <c r="N1488" s="35"/>
      <c r="O1488" s="35"/>
      <c r="P1488" s="35"/>
      <c r="Q1488" s="35"/>
      <c r="R1488" s="35"/>
      <c r="S1488" s="35"/>
      <c r="T1488" s="35"/>
      <c r="U1488" s="35"/>
      <c r="V1488" s="35"/>
      <c r="W1488" s="35"/>
      <c r="X1488" s="35"/>
      <c r="Y1488" s="35"/>
      <c r="Z1488" s="35"/>
      <c r="AA1488" s="35"/>
      <c r="AB1488" s="35"/>
      <c r="AC1488" s="35"/>
      <c r="AD1488" s="35"/>
      <c r="AE1488" s="35"/>
      <c r="AF1488" s="35"/>
      <c r="AG1488" s="35"/>
      <c r="AH1488" s="35"/>
      <c r="AI1488" s="35"/>
      <c r="AJ1488" s="35"/>
      <c r="AK1488" s="35"/>
      <c r="AL1488" s="35"/>
      <c r="AM1488" s="35"/>
      <c r="AN1488" s="35"/>
      <c r="AO1488" s="35"/>
      <c r="AP1488" s="35"/>
      <c r="AQ1488" s="35"/>
      <c r="AR1488" s="35"/>
      <c r="AS1488" s="35"/>
      <c r="AT1488" s="35"/>
      <c r="AU1488" s="35"/>
      <c r="AV1488" s="35"/>
      <c r="AW1488" s="35"/>
      <c r="AX1488" s="35"/>
      <c r="AY1488" s="35"/>
      <c r="AZ1488" s="35"/>
      <c r="BA1488" s="35"/>
      <c r="BB1488" s="35"/>
      <c r="BC1488" s="35"/>
      <c r="BD1488" s="35"/>
      <c r="BE1488" s="35"/>
      <c r="BF1488" s="35"/>
      <c r="BG1488" s="35"/>
    </row>
    <row r="1489" ht="15.75" customHeight="1">
      <c r="A1489" s="35"/>
      <c r="B1489" s="35"/>
      <c r="C1489" s="35"/>
      <c r="D1489" s="35"/>
      <c r="E1489" s="35"/>
      <c r="F1489" s="35"/>
      <c r="G1489" s="35"/>
      <c r="H1489" s="35"/>
      <c r="I1489" s="35"/>
      <c r="J1489" s="35"/>
      <c r="K1489" s="35"/>
      <c r="L1489" s="35"/>
      <c r="M1489" s="35"/>
      <c r="N1489" s="35"/>
      <c r="O1489" s="35"/>
      <c r="P1489" s="35"/>
      <c r="Q1489" s="35"/>
      <c r="R1489" s="35"/>
      <c r="S1489" s="35"/>
      <c r="T1489" s="35"/>
      <c r="U1489" s="35"/>
      <c r="V1489" s="35"/>
      <c r="W1489" s="35"/>
      <c r="X1489" s="35"/>
      <c r="Y1489" s="35"/>
      <c r="Z1489" s="35"/>
      <c r="AA1489" s="35"/>
      <c r="AB1489" s="35"/>
      <c r="AC1489" s="35"/>
      <c r="AD1489" s="35"/>
      <c r="AE1489" s="35"/>
      <c r="AF1489" s="35"/>
      <c r="AG1489" s="35"/>
      <c r="AH1489" s="35"/>
      <c r="AI1489" s="35"/>
      <c r="AJ1489" s="35"/>
      <c r="AK1489" s="35"/>
      <c r="AL1489" s="35"/>
      <c r="AM1489" s="35"/>
      <c r="AN1489" s="35"/>
      <c r="AO1489" s="35"/>
      <c r="AP1489" s="35"/>
      <c r="AQ1489" s="35"/>
      <c r="AR1489" s="35"/>
      <c r="AS1489" s="35"/>
      <c r="AT1489" s="35"/>
      <c r="AU1489" s="35"/>
      <c r="AV1489" s="35"/>
      <c r="AW1489" s="35"/>
      <c r="AX1489" s="35"/>
      <c r="AY1489" s="35"/>
      <c r="AZ1489" s="35"/>
      <c r="BA1489" s="35"/>
      <c r="BB1489" s="35"/>
      <c r="BC1489" s="35"/>
      <c r="BD1489" s="35"/>
      <c r="BE1489" s="35"/>
      <c r="BF1489" s="35"/>
      <c r="BG1489" s="35"/>
    </row>
    <row r="1490" ht="15.75" customHeight="1">
      <c r="A1490" s="35"/>
      <c r="B1490" s="35"/>
      <c r="C1490" s="35"/>
      <c r="D1490" s="35"/>
      <c r="E1490" s="35"/>
      <c r="F1490" s="35"/>
      <c r="G1490" s="35"/>
      <c r="H1490" s="35"/>
      <c r="I1490" s="35"/>
      <c r="J1490" s="35"/>
      <c r="K1490" s="35"/>
      <c r="L1490" s="35"/>
      <c r="M1490" s="35"/>
      <c r="N1490" s="35"/>
      <c r="O1490" s="35"/>
      <c r="P1490" s="35"/>
      <c r="Q1490" s="35"/>
      <c r="R1490" s="35"/>
      <c r="S1490" s="35"/>
      <c r="T1490" s="35"/>
      <c r="U1490" s="35"/>
      <c r="V1490" s="35"/>
      <c r="W1490" s="35"/>
      <c r="X1490" s="35"/>
      <c r="Y1490" s="35"/>
      <c r="Z1490" s="35"/>
      <c r="AA1490" s="35"/>
      <c r="AB1490" s="35"/>
      <c r="AC1490" s="35"/>
      <c r="AD1490" s="35"/>
      <c r="AE1490" s="35"/>
      <c r="AF1490" s="35"/>
      <c r="AG1490" s="35"/>
      <c r="AH1490" s="35"/>
      <c r="AI1490" s="35"/>
      <c r="AJ1490" s="35"/>
      <c r="AK1490" s="35"/>
      <c r="AL1490" s="35"/>
      <c r="AM1490" s="35"/>
      <c r="AN1490" s="35"/>
      <c r="AO1490" s="35"/>
      <c r="AP1490" s="35"/>
      <c r="AQ1490" s="35"/>
      <c r="AR1490" s="35"/>
      <c r="AS1490" s="35"/>
      <c r="AT1490" s="35"/>
      <c r="AU1490" s="35"/>
      <c r="AV1490" s="35"/>
      <c r="AW1490" s="35"/>
      <c r="AX1490" s="35"/>
      <c r="AY1490" s="35"/>
      <c r="AZ1490" s="35"/>
      <c r="BA1490" s="35"/>
      <c r="BB1490" s="35"/>
      <c r="BC1490" s="35"/>
      <c r="BD1490" s="35"/>
      <c r="BE1490" s="35"/>
      <c r="BF1490" s="35"/>
      <c r="BG1490" s="35"/>
    </row>
    <row r="1491" ht="15.75" customHeight="1">
      <c r="A1491" s="35"/>
      <c r="B1491" s="35"/>
      <c r="C1491" s="35"/>
      <c r="D1491" s="35"/>
      <c r="E1491" s="35"/>
      <c r="F1491" s="35"/>
      <c r="G1491" s="35"/>
      <c r="H1491" s="35"/>
      <c r="I1491" s="35"/>
      <c r="J1491" s="35"/>
      <c r="K1491" s="35"/>
      <c r="L1491" s="35"/>
      <c r="M1491" s="35"/>
      <c r="N1491" s="35"/>
      <c r="O1491" s="35"/>
      <c r="P1491" s="35"/>
      <c r="Q1491" s="35"/>
      <c r="R1491" s="35"/>
      <c r="S1491" s="35"/>
      <c r="T1491" s="35"/>
      <c r="U1491" s="35"/>
      <c r="V1491" s="35"/>
      <c r="W1491" s="35"/>
      <c r="X1491" s="35"/>
      <c r="Y1491" s="35"/>
      <c r="Z1491" s="35"/>
      <c r="AA1491" s="35"/>
      <c r="AB1491" s="35"/>
      <c r="AC1491" s="35"/>
      <c r="AD1491" s="35"/>
      <c r="AE1491" s="35"/>
      <c r="AF1491" s="35"/>
      <c r="AG1491" s="35"/>
      <c r="AH1491" s="35"/>
      <c r="AI1491" s="35"/>
      <c r="AJ1491" s="35"/>
      <c r="AK1491" s="35"/>
      <c r="AL1491" s="35"/>
      <c r="AM1491" s="35"/>
      <c r="AN1491" s="35"/>
      <c r="AO1491" s="35"/>
      <c r="AP1491" s="35"/>
      <c r="AQ1491" s="35"/>
      <c r="AR1491" s="35"/>
      <c r="AS1491" s="35"/>
      <c r="AT1491" s="35"/>
      <c r="AU1491" s="35"/>
      <c r="AV1491" s="35"/>
      <c r="AW1491" s="35"/>
      <c r="AX1491" s="35"/>
      <c r="AY1491" s="35"/>
      <c r="AZ1491" s="35"/>
      <c r="BA1491" s="35"/>
      <c r="BB1491" s="35"/>
      <c r="BC1491" s="35"/>
      <c r="BD1491" s="35"/>
      <c r="BE1491" s="35"/>
      <c r="BF1491" s="35"/>
      <c r="BG1491" s="35"/>
    </row>
    <row r="1492" ht="15.75" customHeight="1">
      <c r="A1492" s="35"/>
      <c r="B1492" s="35"/>
      <c r="C1492" s="35"/>
      <c r="D1492" s="35"/>
      <c r="E1492" s="35"/>
      <c r="F1492" s="35"/>
      <c r="G1492" s="35"/>
      <c r="H1492" s="35"/>
      <c r="I1492" s="35"/>
      <c r="J1492" s="35"/>
      <c r="K1492" s="35"/>
      <c r="L1492" s="35"/>
      <c r="M1492" s="35"/>
      <c r="N1492" s="35"/>
      <c r="O1492" s="35"/>
      <c r="P1492" s="35"/>
      <c r="Q1492" s="35"/>
      <c r="R1492" s="35"/>
      <c r="S1492" s="35"/>
      <c r="T1492" s="35"/>
      <c r="U1492" s="35"/>
      <c r="V1492" s="35"/>
      <c r="W1492" s="35"/>
      <c r="X1492" s="35"/>
      <c r="Y1492" s="35"/>
      <c r="Z1492" s="35"/>
      <c r="AA1492" s="35"/>
      <c r="AB1492" s="35"/>
      <c r="AC1492" s="35"/>
      <c r="AD1492" s="35"/>
      <c r="AE1492" s="35"/>
      <c r="AF1492" s="35"/>
      <c r="AG1492" s="35"/>
      <c r="AH1492" s="35"/>
      <c r="AI1492" s="35"/>
      <c r="AJ1492" s="35"/>
      <c r="AK1492" s="35"/>
      <c r="AL1492" s="35"/>
      <c r="AM1492" s="35"/>
      <c r="AN1492" s="35"/>
      <c r="AO1492" s="35"/>
      <c r="AP1492" s="35"/>
      <c r="AQ1492" s="35"/>
      <c r="AR1492" s="35"/>
      <c r="AS1492" s="35"/>
      <c r="AT1492" s="35"/>
      <c r="AU1492" s="35"/>
      <c r="AV1492" s="35"/>
      <c r="AW1492" s="35"/>
      <c r="AX1492" s="35"/>
      <c r="AY1492" s="35"/>
      <c r="AZ1492" s="35"/>
      <c r="BA1492" s="35"/>
      <c r="BB1492" s="35"/>
      <c r="BC1492" s="35"/>
      <c r="BD1492" s="35"/>
      <c r="BE1492" s="35"/>
      <c r="BF1492" s="35"/>
      <c r="BG1492" s="35"/>
    </row>
    <row r="1493" ht="15.75" customHeight="1">
      <c r="A1493" s="35"/>
      <c r="B1493" s="35"/>
      <c r="C1493" s="35"/>
      <c r="D1493" s="35"/>
      <c r="E1493" s="35"/>
      <c r="F1493" s="35"/>
      <c r="G1493" s="35"/>
      <c r="H1493" s="35"/>
      <c r="I1493" s="35"/>
      <c r="J1493" s="35"/>
      <c r="K1493" s="35"/>
      <c r="L1493" s="35"/>
      <c r="M1493" s="35"/>
      <c r="N1493" s="35"/>
      <c r="O1493" s="35"/>
      <c r="P1493" s="35"/>
      <c r="Q1493" s="35"/>
      <c r="R1493" s="35"/>
      <c r="S1493" s="35"/>
      <c r="T1493" s="35"/>
      <c r="U1493" s="35"/>
      <c r="V1493" s="35"/>
      <c r="W1493" s="35"/>
      <c r="X1493" s="35"/>
      <c r="Y1493" s="35"/>
      <c r="Z1493" s="35"/>
      <c r="AA1493" s="35"/>
      <c r="AB1493" s="35"/>
      <c r="AC1493" s="35"/>
      <c r="AD1493" s="35"/>
      <c r="AE1493" s="35"/>
      <c r="AF1493" s="35"/>
      <c r="AG1493" s="35"/>
      <c r="AH1493" s="35"/>
      <c r="AI1493" s="35"/>
      <c r="AJ1493" s="35"/>
      <c r="AK1493" s="35"/>
      <c r="AL1493" s="35"/>
      <c r="AM1493" s="35"/>
      <c r="AN1493" s="35"/>
      <c r="AO1493" s="35"/>
      <c r="AP1493" s="35"/>
      <c r="AQ1493" s="35"/>
      <c r="AR1493" s="35"/>
      <c r="AS1493" s="35"/>
      <c r="AT1493" s="35"/>
      <c r="AU1493" s="35"/>
      <c r="AV1493" s="35"/>
      <c r="AW1493" s="35"/>
      <c r="AX1493" s="35"/>
      <c r="AY1493" s="35"/>
      <c r="AZ1493" s="35"/>
      <c r="BA1493" s="35"/>
      <c r="BB1493" s="35"/>
      <c r="BC1493" s="35"/>
      <c r="BD1493" s="35"/>
      <c r="BE1493" s="35"/>
      <c r="BF1493" s="35"/>
      <c r="BG1493" s="35"/>
    </row>
    <row r="1494" ht="15.75" customHeight="1">
      <c r="A1494" s="35"/>
      <c r="B1494" s="35"/>
      <c r="C1494" s="35"/>
      <c r="D1494" s="35"/>
      <c r="E1494" s="35"/>
      <c r="F1494" s="35"/>
      <c r="G1494" s="35"/>
      <c r="H1494" s="35"/>
      <c r="I1494" s="35"/>
      <c r="J1494" s="35"/>
      <c r="K1494" s="35"/>
      <c r="L1494" s="35"/>
      <c r="M1494" s="35"/>
      <c r="N1494" s="35"/>
      <c r="O1494" s="35"/>
      <c r="P1494" s="35"/>
      <c r="Q1494" s="35"/>
      <c r="R1494" s="35"/>
      <c r="S1494" s="35"/>
      <c r="T1494" s="35"/>
      <c r="U1494" s="35"/>
      <c r="V1494" s="35"/>
      <c r="W1494" s="35"/>
      <c r="X1494" s="35"/>
      <c r="Y1494" s="35"/>
      <c r="Z1494" s="35"/>
      <c r="AA1494" s="35"/>
      <c r="AB1494" s="35"/>
      <c r="AC1494" s="35"/>
      <c r="AD1494" s="35"/>
      <c r="AE1494" s="35"/>
      <c r="AF1494" s="35"/>
      <c r="AG1494" s="35"/>
      <c r="AH1494" s="35"/>
      <c r="AI1494" s="35"/>
      <c r="AJ1494" s="35"/>
      <c r="AK1494" s="35"/>
      <c r="AL1494" s="35"/>
      <c r="AM1494" s="35"/>
      <c r="AN1494" s="35"/>
      <c r="AO1494" s="35"/>
      <c r="AP1494" s="35"/>
      <c r="AQ1494" s="35"/>
      <c r="AR1494" s="35"/>
      <c r="AS1494" s="35"/>
      <c r="AT1494" s="35"/>
      <c r="AU1494" s="35"/>
      <c r="AV1494" s="35"/>
      <c r="AW1494" s="35"/>
      <c r="AX1494" s="35"/>
      <c r="AY1494" s="35"/>
      <c r="AZ1494" s="35"/>
      <c r="BA1494" s="35"/>
      <c r="BB1494" s="35"/>
      <c r="BC1494" s="35"/>
      <c r="BD1494" s="35"/>
      <c r="BE1494" s="35"/>
      <c r="BF1494" s="35"/>
      <c r="BG1494" s="35"/>
    </row>
    <row r="1495" ht="15.75" customHeight="1">
      <c r="A1495" s="35"/>
      <c r="B1495" s="35"/>
      <c r="C1495" s="35"/>
      <c r="D1495" s="35"/>
      <c r="E1495" s="35"/>
      <c r="F1495" s="35"/>
      <c r="G1495" s="35"/>
      <c r="H1495" s="35"/>
      <c r="I1495" s="35"/>
      <c r="J1495" s="35"/>
      <c r="K1495" s="35"/>
      <c r="L1495" s="35"/>
      <c r="M1495" s="35"/>
      <c r="N1495" s="35"/>
      <c r="O1495" s="35"/>
      <c r="P1495" s="35"/>
      <c r="Q1495" s="35"/>
      <c r="R1495" s="35"/>
      <c r="S1495" s="35"/>
      <c r="T1495" s="35"/>
      <c r="U1495" s="35"/>
      <c r="V1495" s="35"/>
      <c r="W1495" s="35"/>
      <c r="X1495" s="35"/>
      <c r="Y1495" s="35"/>
      <c r="Z1495" s="35"/>
      <c r="AA1495" s="35"/>
      <c r="AB1495" s="35"/>
      <c r="AC1495" s="35"/>
      <c r="AD1495" s="35"/>
      <c r="AE1495" s="35"/>
      <c r="AF1495" s="35"/>
      <c r="AG1495" s="35"/>
      <c r="AH1495" s="35"/>
      <c r="AI1495" s="35"/>
      <c r="AJ1495" s="35"/>
      <c r="AK1495" s="35"/>
      <c r="AL1495" s="35"/>
      <c r="AM1495" s="35"/>
      <c r="AN1495" s="35"/>
      <c r="AO1495" s="35"/>
      <c r="AP1495" s="35"/>
      <c r="AQ1495" s="35"/>
      <c r="AR1495" s="35"/>
      <c r="AS1495" s="35"/>
      <c r="AT1495" s="35"/>
      <c r="AU1495" s="35"/>
      <c r="AV1495" s="35"/>
      <c r="AW1495" s="35"/>
      <c r="AX1495" s="35"/>
      <c r="AY1495" s="35"/>
      <c r="AZ1495" s="35"/>
      <c r="BA1495" s="35"/>
      <c r="BB1495" s="35"/>
      <c r="BC1495" s="35"/>
      <c r="BD1495" s="35"/>
      <c r="BE1495" s="35"/>
      <c r="BF1495" s="35"/>
      <c r="BG1495" s="35"/>
    </row>
    <row r="1496" ht="15.75" customHeight="1">
      <c r="A1496" s="35"/>
      <c r="B1496" s="35"/>
      <c r="C1496" s="35"/>
      <c r="D1496" s="35"/>
      <c r="E1496" s="35"/>
      <c r="F1496" s="35"/>
      <c r="G1496" s="35"/>
      <c r="H1496" s="35"/>
      <c r="I1496" s="35"/>
      <c r="J1496" s="35"/>
      <c r="K1496" s="35"/>
      <c r="L1496" s="35"/>
      <c r="M1496" s="35"/>
      <c r="N1496" s="35"/>
      <c r="O1496" s="35"/>
      <c r="P1496" s="35"/>
      <c r="Q1496" s="35"/>
      <c r="R1496" s="35"/>
      <c r="S1496" s="35"/>
      <c r="T1496" s="35"/>
      <c r="U1496" s="35"/>
      <c r="V1496" s="35"/>
      <c r="W1496" s="35"/>
      <c r="X1496" s="35"/>
      <c r="Y1496" s="35"/>
      <c r="Z1496" s="35"/>
      <c r="AA1496" s="35"/>
      <c r="AB1496" s="35"/>
      <c r="AC1496" s="35"/>
      <c r="AD1496" s="35"/>
      <c r="AE1496" s="35"/>
      <c r="AF1496" s="35"/>
      <c r="AG1496" s="35"/>
      <c r="AH1496" s="35"/>
      <c r="AI1496" s="35"/>
      <c r="AJ1496" s="35"/>
      <c r="AK1496" s="35"/>
      <c r="AL1496" s="35"/>
      <c r="AM1496" s="35"/>
      <c r="AN1496" s="35"/>
      <c r="AO1496" s="35"/>
      <c r="AP1496" s="35"/>
      <c r="AQ1496" s="35"/>
      <c r="AR1496" s="35"/>
      <c r="AS1496" s="35"/>
      <c r="AT1496" s="35"/>
      <c r="AU1496" s="35"/>
      <c r="AV1496" s="35"/>
      <c r="AW1496" s="35"/>
      <c r="AX1496" s="35"/>
      <c r="AY1496" s="35"/>
      <c r="AZ1496" s="35"/>
      <c r="BA1496" s="35"/>
      <c r="BB1496" s="35"/>
      <c r="BC1496" s="35"/>
      <c r="BD1496" s="35"/>
      <c r="BE1496" s="35"/>
      <c r="BF1496" s="35"/>
      <c r="BG1496" s="35"/>
    </row>
    <row r="1497" ht="15.75" customHeight="1">
      <c r="A1497" s="35"/>
      <c r="B1497" s="35"/>
      <c r="C1497" s="35"/>
      <c r="D1497" s="35"/>
      <c r="E1497" s="35"/>
      <c r="F1497" s="35"/>
      <c r="G1497" s="35"/>
      <c r="H1497" s="35"/>
      <c r="I1497" s="35"/>
      <c r="J1497" s="35"/>
      <c r="K1497" s="35"/>
      <c r="L1497" s="35"/>
      <c r="M1497" s="35"/>
      <c r="N1497" s="35"/>
      <c r="O1497" s="35"/>
      <c r="P1497" s="35"/>
      <c r="Q1497" s="35"/>
      <c r="R1497" s="35"/>
      <c r="S1497" s="35"/>
      <c r="T1497" s="35"/>
      <c r="U1497" s="35"/>
      <c r="V1497" s="35"/>
      <c r="W1497" s="35"/>
      <c r="X1497" s="35"/>
      <c r="Y1497" s="35"/>
      <c r="Z1497" s="35"/>
      <c r="AA1497" s="35"/>
      <c r="AB1497" s="35"/>
      <c r="AC1497" s="35"/>
      <c r="AD1497" s="35"/>
      <c r="AE1497" s="35"/>
      <c r="AF1497" s="35"/>
      <c r="AG1497" s="35"/>
      <c r="AH1497" s="35"/>
      <c r="AI1497" s="35"/>
      <c r="AJ1497" s="35"/>
      <c r="AK1497" s="35"/>
      <c r="AL1497" s="35"/>
      <c r="AM1497" s="35"/>
      <c r="AN1497" s="35"/>
      <c r="AO1497" s="35"/>
      <c r="AP1497" s="35"/>
      <c r="AQ1497" s="35"/>
      <c r="AR1497" s="35"/>
      <c r="AS1497" s="35"/>
      <c r="AT1497" s="35"/>
      <c r="AU1497" s="35"/>
      <c r="AV1497" s="35"/>
      <c r="AW1497" s="35"/>
      <c r="AX1497" s="35"/>
      <c r="AY1497" s="35"/>
      <c r="AZ1497" s="35"/>
      <c r="BA1497" s="35"/>
      <c r="BB1497" s="35"/>
      <c r="BC1497" s="35"/>
      <c r="BD1497" s="35"/>
      <c r="BE1497" s="35"/>
      <c r="BF1497" s="35"/>
      <c r="BG1497" s="35"/>
    </row>
    <row r="1498" ht="15.75" customHeight="1">
      <c r="A1498" s="35"/>
      <c r="B1498" s="35"/>
      <c r="C1498" s="35"/>
      <c r="D1498" s="35"/>
      <c r="E1498" s="35"/>
      <c r="F1498" s="35"/>
      <c r="G1498" s="35"/>
      <c r="H1498" s="35"/>
      <c r="I1498" s="35"/>
      <c r="J1498" s="35"/>
      <c r="K1498" s="35"/>
      <c r="L1498" s="35"/>
      <c r="M1498" s="35"/>
      <c r="N1498" s="35"/>
      <c r="O1498" s="35"/>
      <c r="P1498" s="35"/>
      <c r="Q1498" s="35"/>
      <c r="R1498" s="35"/>
      <c r="S1498" s="35"/>
      <c r="T1498" s="35"/>
      <c r="U1498" s="35"/>
      <c r="V1498" s="35"/>
      <c r="W1498" s="35"/>
      <c r="X1498" s="35"/>
      <c r="Y1498" s="35"/>
      <c r="Z1498" s="35"/>
      <c r="AA1498" s="35"/>
      <c r="AB1498" s="35"/>
      <c r="AC1498" s="35"/>
      <c r="AD1498" s="35"/>
      <c r="AE1498" s="35"/>
      <c r="AF1498" s="35"/>
      <c r="AG1498" s="35"/>
      <c r="AH1498" s="35"/>
      <c r="AI1498" s="35"/>
      <c r="AJ1498" s="35"/>
      <c r="AK1498" s="35"/>
      <c r="AL1498" s="35"/>
      <c r="AM1498" s="35"/>
      <c r="AN1498" s="35"/>
      <c r="AO1498" s="35"/>
      <c r="AP1498" s="35"/>
      <c r="AQ1498" s="35"/>
      <c r="AR1498" s="35"/>
      <c r="AS1498" s="35"/>
      <c r="AT1498" s="35"/>
      <c r="AU1498" s="35"/>
      <c r="AV1498" s="35"/>
      <c r="AW1498" s="35"/>
      <c r="AX1498" s="35"/>
      <c r="AY1498" s="35"/>
      <c r="AZ1498" s="35"/>
      <c r="BA1498" s="35"/>
      <c r="BB1498" s="35"/>
      <c r="BC1498" s="35"/>
      <c r="BD1498" s="35"/>
      <c r="BE1498" s="35"/>
      <c r="BF1498" s="35"/>
      <c r="BG1498" s="35"/>
    </row>
    <row r="1499" ht="15.75" customHeight="1">
      <c r="A1499" s="35"/>
      <c r="B1499" s="35"/>
      <c r="C1499" s="35"/>
      <c r="D1499" s="35"/>
      <c r="E1499" s="35"/>
      <c r="F1499" s="35"/>
      <c r="G1499" s="35"/>
      <c r="H1499" s="35"/>
      <c r="I1499" s="35"/>
      <c r="J1499" s="35"/>
      <c r="K1499" s="35"/>
      <c r="L1499" s="35"/>
      <c r="M1499" s="35"/>
      <c r="N1499" s="35"/>
      <c r="O1499" s="35"/>
      <c r="P1499" s="35"/>
      <c r="Q1499" s="35"/>
      <c r="R1499" s="35"/>
      <c r="S1499" s="35"/>
      <c r="T1499" s="35"/>
      <c r="U1499" s="35"/>
      <c r="V1499" s="35"/>
      <c r="W1499" s="35"/>
      <c r="X1499" s="35"/>
      <c r="Y1499" s="35"/>
      <c r="Z1499" s="35"/>
      <c r="AA1499" s="35"/>
      <c r="AB1499" s="35"/>
      <c r="AC1499" s="35"/>
      <c r="AD1499" s="35"/>
      <c r="AE1499" s="35"/>
      <c r="AF1499" s="35"/>
      <c r="AG1499" s="35"/>
      <c r="AH1499" s="35"/>
      <c r="AI1499" s="35"/>
      <c r="AJ1499" s="35"/>
      <c r="AK1499" s="35"/>
      <c r="AL1499" s="35"/>
      <c r="AM1499" s="35"/>
      <c r="AN1499" s="35"/>
      <c r="AO1499" s="35"/>
      <c r="AP1499" s="35"/>
      <c r="AQ1499" s="35"/>
      <c r="AR1499" s="35"/>
      <c r="AS1499" s="35"/>
      <c r="AT1499" s="35"/>
      <c r="AU1499" s="35"/>
      <c r="AV1499" s="35"/>
      <c r="AW1499" s="35"/>
      <c r="AX1499" s="35"/>
      <c r="AY1499" s="35"/>
      <c r="AZ1499" s="35"/>
      <c r="BA1499" s="35"/>
      <c r="BB1499" s="35"/>
      <c r="BC1499" s="35"/>
      <c r="BD1499" s="35"/>
      <c r="BE1499" s="35"/>
      <c r="BF1499" s="35"/>
      <c r="BG1499" s="35"/>
    </row>
    <row r="1500" ht="15.75" customHeight="1">
      <c r="A1500" s="35"/>
      <c r="B1500" s="35"/>
      <c r="C1500" s="35"/>
      <c r="D1500" s="35"/>
      <c r="E1500" s="35"/>
      <c r="F1500" s="35"/>
      <c r="G1500" s="35"/>
      <c r="H1500" s="35"/>
      <c r="I1500" s="35"/>
      <c r="J1500" s="35"/>
      <c r="K1500" s="35"/>
      <c r="L1500" s="35"/>
      <c r="M1500" s="35"/>
      <c r="N1500" s="35"/>
      <c r="O1500" s="35"/>
      <c r="P1500" s="35"/>
      <c r="Q1500" s="35"/>
      <c r="R1500" s="35"/>
      <c r="S1500" s="35"/>
      <c r="T1500" s="35"/>
      <c r="U1500" s="35"/>
      <c r="V1500" s="35"/>
      <c r="W1500" s="35"/>
      <c r="X1500" s="35"/>
      <c r="Y1500" s="35"/>
      <c r="Z1500" s="35"/>
      <c r="AA1500" s="35"/>
      <c r="AB1500" s="35"/>
      <c r="AC1500" s="35"/>
      <c r="AD1500" s="35"/>
      <c r="AE1500" s="35"/>
      <c r="AF1500" s="35"/>
      <c r="AG1500" s="35"/>
      <c r="AH1500" s="35"/>
      <c r="AI1500" s="35"/>
      <c r="AJ1500" s="35"/>
      <c r="AK1500" s="35"/>
      <c r="AL1500" s="35"/>
      <c r="AM1500" s="35"/>
      <c r="AN1500" s="35"/>
      <c r="AO1500" s="35"/>
      <c r="AP1500" s="35"/>
      <c r="AQ1500" s="35"/>
      <c r="AR1500" s="35"/>
      <c r="AS1500" s="35"/>
      <c r="AT1500" s="35"/>
      <c r="AU1500" s="35"/>
      <c r="AV1500" s="35"/>
      <c r="AW1500" s="35"/>
      <c r="AX1500" s="35"/>
      <c r="AY1500" s="35"/>
      <c r="AZ1500" s="35"/>
      <c r="BA1500" s="35"/>
      <c r="BB1500" s="35"/>
      <c r="BC1500" s="35"/>
      <c r="BD1500" s="35"/>
      <c r="BE1500" s="35"/>
      <c r="BF1500" s="35"/>
      <c r="BG1500" s="35"/>
    </row>
    <row r="1501" ht="15.75" customHeight="1">
      <c r="A1501" s="35"/>
      <c r="B1501" s="35"/>
      <c r="C1501" s="35"/>
      <c r="D1501" s="35"/>
      <c r="E1501" s="35"/>
      <c r="F1501" s="35"/>
      <c r="G1501" s="35"/>
      <c r="H1501" s="35"/>
      <c r="I1501" s="35"/>
      <c r="J1501" s="35"/>
      <c r="K1501" s="35"/>
      <c r="L1501" s="35"/>
      <c r="M1501" s="35"/>
      <c r="N1501" s="35"/>
      <c r="O1501" s="35"/>
      <c r="P1501" s="35"/>
      <c r="Q1501" s="35"/>
      <c r="R1501" s="35"/>
      <c r="S1501" s="35"/>
      <c r="T1501" s="35"/>
      <c r="U1501" s="35"/>
      <c r="V1501" s="35"/>
      <c r="W1501" s="35"/>
      <c r="X1501" s="35"/>
      <c r="Y1501" s="35"/>
      <c r="Z1501" s="35"/>
      <c r="AA1501" s="35"/>
      <c r="AB1501" s="35"/>
      <c r="AC1501" s="35"/>
      <c r="AD1501" s="35"/>
      <c r="AE1501" s="35"/>
      <c r="AF1501" s="35"/>
      <c r="AG1501" s="35"/>
      <c r="AH1501" s="35"/>
      <c r="AI1501" s="35"/>
      <c r="AJ1501" s="35"/>
      <c r="AK1501" s="35"/>
      <c r="AL1501" s="35"/>
      <c r="AM1501" s="35"/>
      <c r="AN1501" s="35"/>
      <c r="AO1501" s="35"/>
      <c r="AP1501" s="35"/>
      <c r="AQ1501" s="35"/>
      <c r="AR1501" s="35"/>
      <c r="AS1501" s="35"/>
      <c r="AT1501" s="35"/>
      <c r="AU1501" s="35"/>
      <c r="AV1501" s="35"/>
      <c r="AW1501" s="35"/>
      <c r="AX1501" s="35"/>
      <c r="AY1501" s="35"/>
      <c r="AZ1501" s="35"/>
      <c r="BA1501" s="35"/>
      <c r="BB1501" s="35"/>
      <c r="BC1501" s="35"/>
      <c r="BD1501" s="35"/>
      <c r="BE1501" s="35"/>
      <c r="BF1501" s="35"/>
      <c r="BG1501" s="35"/>
    </row>
    <row r="1502" ht="15.75" customHeight="1">
      <c r="A1502" s="35"/>
      <c r="B1502" s="35"/>
      <c r="C1502" s="35"/>
      <c r="D1502" s="35"/>
      <c r="E1502" s="35"/>
      <c r="F1502" s="35"/>
      <c r="G1502" s="35"/>
      <c r="H1502" s="35"/>
      <c r="I1502" s="35"/>
      <c r="J1502" s="35"/>
      <c r="K1502" s="35"/>
      <c r="L1502" s="35"/>
      <c r="M1502" s="35"/>
      <c r="N1502" s="35"/>
      <c r="O1502" s="35"/>
      <c r="P1502" s="35"/>
      <c r="Q1502" s="35"/>
      <c r="R1502" s="35"/>
      <c r="S1502" s="35"/>
      <c r="T1502" s="35"/>
      <c r="U1502" s="35"/>
      <c r="V1502" s="35"/>
      <c r="W1502" s="35"/>
      <c r="X1502" s="35"/>
      <c r="Y1502" s="35"/>
      <c r="Z1502" s="35"/>
      <c r="AA1502" s="35"/>
      <c r="AB1502" s="35"/>
      <c r="AC1502" s="35"/>
      <c r="AD1502" s="35"/>
      <c r="AE1502" s="35"/>
      <c r="AF1502" s="35"/>
      <c r="AG1502" s="35"/>
      <c r="AH1502" s="35"/>
      <c r="AI1502" s="35"/>
      <c r="AJ1502" s="35"/>
      <c r="AK1502" s="35"/>
      <c r="AL1502" s="35"/>
      <c r="AM1502" s="35"/>
      <c r="AN1502" s="35"/>
      <c r="AO1502" s="35"/>
      <c r="AP1502" s="35"/>
      <c r="AQ1502" s="35"/>
      <c r="AR1502" s="35"/>
      <c r="AS1502" s="35"/>
      <c r="AT1502" s="35"/>
      <c r="AU1502" s="35"/>
      <c r="AV1502" s="35"/>
      <c r="AW1502" s="35"/>
      <c r="AX1502" s="35"/>
      <c r="AY1502" s="35"/>
      <c r="AZ1502" s="35"/>
      <c r="BA1502" s="35"/>
      <c r="BB1502" s="35"/>
      <c r="BC1502" s="35"/>
      <c r="BD1502" s="35"/>
      <c r="BE1502" s="35"/>
      <c r="BF1502" s="35"/>
      <c r="BG1502" s="35"/>
    </row>
    <row r="1503" ht="15.75" customHeight="1">
      <c r="A1503" s="35"/>
      <c r="B1503" s="35"/>
      <c r="C1503" s="35"/>
      <c r="D1503" s="35"/>
      <c r="E1503" s="35"/>
      <c r="F1503" s="35"/>
      <c r="G1503" s="35"/>
      <c r="H1503" s="35"/>
      <c r="I1503" s="35"/>
      <c r="J1503" s="35"/>
      <c r="K1503" s="35"/>
      <c r="L1503" s="35"/>
      <c r="M1503" s="35"/>
      <c r="N1503" s="35"/>
      <c r="O1503" s="35"/>
      <c r="P1503" s="35"/>
      <c r="Q1503" s="35"/>
      <c r="R1503" s="35"/>
      <c r="S1503" s="35"/>
      <c r="T1503" s="35"/>
      <c r="U1503" s="35"/>
      <c r="V1503" s="35"/>
      <c r="W1503" s="35"/>
      <c r="X1503" s="35"/>
      <c r="Y1503" s="35"/>
      <c r="Z1503" s="35"/>
      <c r="AA1503" s="35"/>
      <c r="AB1503" s="35"/>
      <c r="AC1503" s="35"/>
      <c r="AD1503" s="35"/>
      <c r="AE1503" s="35"/>
      <c r="AF1503" s="35"/>
      <c r="AG1503" s="35"/>
      <c r="AH1503" s="35"/>
      <c r="AI1503" s="35"/>
      <c r="AJ1503" s="35"/>
      <c r="AK1503" s="35"/>
      <c r="AL1503" s="35"/>
      <c r="AM1503" s="35"/>
      <c r="AN1503" s="35"/>
      <c r="AO1503" s="35"/>
      <c r="AP1503" s="35"/>
      <c r="AQ1503" s="35"/>
      <c r="AR1503" s="35"/>
      <c r="AS1503" s="35"/>
      <c r="AT1503" s="35"/>
      <c r="AU1503" s="35"/>
      <c r="AV1503" s="35"/>
      <c r="AW1503" s="35"/>
      <c r="AX1503" s="35"/>
      <c r="AY1503" s="35"/>
      <c r="AZ1503" s="35"/>
      <c r="BA1503" s="35"/>
      <c r="BB1503" s="35"/>
      <c r="BC1503" s="35"/>
      <c r="BD1503" s="35"/>
      <c r="BE1503" s="35"/>
      <c r="BF1503" s="35"/>
      <c r="BG1503" s="35"/>
    </row>
    <row r="1504" ht="15.75" customHeight="1">
      <c r="A1504" s="35"/>
      <c r="B1504" s="35"/>
      <c r="C1504" s="35"/>
      <c r="D1504" s="35"/>
      <c r="E1504" s="35"/>
      <c r="F1504" s="35"/>
      <c r="G1504" s="35"/>
      <c r="H1504" s="35"/>
      <c r="I1504" s="35"/>
      <c r="J1504" s="35"/>
      <c r="K1504" s="35"/>
      <c r="L1504" s="35"/>
      <c r="M1504" s="35"/>
      <c r="N1504" s="35"/>
      <c r="O1504" s="35"/>
      <c r="P1504" s="35"/>
      <c r="Q1504" s="35"/>
      <c r="R1504" s="35"/>
      <c r="S1504" s="35"/>
      <c r="T1504" s="35"/>
      <c r="U1504" s="35"/>
      <c r="V1504" s="35"/>
      <c r="W1504" s="35"/>
      <c r="X1504" s="35"/>
      <c r="Y1504" s="35"/>
      <c r="Z1504" s="35"/>
      <c r="AA1504" s="35"/>
      <c r="AB1504" s="35"/>
      <c r="AC1504" s="35"/>
      <c r="AD1504" s="35"/>
      <c r="AE1504" s="35"/>
      <c r="AF1504" s="35"/>
      <c r="AG1504" s="35"/>
      <c r="AH1504" s="35"/>
      <c r="AI1504" s="35"/>
      <c r="AJ1504" s="35"/>
      <c r="AK1504" s="35"/>
      <c r="AL1504" s="35"/>
      <c r="AM1504" s="35"/>
      <c r="AN1504" s="35"/>
      <c r="AO1504" s="35"/>
      <c r="AP1504" s="35"/>
      <c r="AQ1504" s="35"/>
      <c r="AR1504" s="35"/>
      <c r="AS1504" s="35"/>
      <c r="AT1504" s="35"/>
      <c r="AU1504" s="35"/>
      <c r="AV1504" s="35"/>
      <c r="AW1504" s="35"/>
      <c r="AX1504" s="35"/>
      <c r="AY1504" s="35"/>
      <c r="AZ1504" s="35"/>
      <c r="BA1504" s="35"/>
      <c r="BB1504" s="35"/>
      <c r="BC1504" s="35"/>
      <c r="BD1504" s="35"/>
      <c r="BE1504" s="35"/>
      <c r="BF1504" s="35"/>
      <c r="BG1504" s="35"/>
    </row>
    <row r="1505" ht="15.75" customHeight="1">
      <c r="A1505" s="35"/>
      <c r="B1505" s="35"/>
      <c r="C1505" s="35"/>
      <c r="D1505" s="35"/>
      <c r="E1505" s="35"/>
      <c r="F1505" s="35"/>
      <c r="G1505" s="35"/>
      <c r="H1505" s="35"/>
      <c r="I1505" s="35"/>
      <c r="J1505" s="35"/>
      <c r="K1505" s="35"/>
      <c r="L1505" s="35"/>
      <c r="M1505" s="35"/>
      <c r="N1505" s="35"/>
      <c r="O1505" s="35"/>
      <c r="P1505" s="35"/>
      <c r="Q1505" s="35"/>
      <c r="R1505" s="35"/>
      <c r="S1505" s="35"/>
      <c r="T1505" s="35"/>
      <c r="U1505" s="35"/>
      <c r="V1505" s="35"/>
      <c r="W1505" s="35"/>
      <c r="X1505" s="35"/>
      <c r="Y1505" s="35"/>
      <c r="Z1505" s="35"/>
      <c r="AA1505" s="35"/>
      <c r="AB1505" s="35"/>
      <c r="AC1505" s="35"/>
      <c r="AD1505" s="35"/>
      <c r="AE1505" s="35"/>
      <c r="AF1505" s="35"/>
      <c r="AG1505" s="35"/>
      <c r="AH1505" s="35"/>
      <c r="AI1505" s="35"/>
      <c r="AJ1505" s="35"/>
      <c r="AK1505" s="35"/>
      <c r="AL1505" s="35"/>
      <c r="AM1505" s="35"/>
      <c r="AN1505" s="35"/>
      <c r="AO1505" s="35"/>
      <c r="AP1505" s="35"/>
      <c r="AQ1505" s="35"/>
      <c r="AR1505" s="35"/>
      <c r="AS1505" s="35"/>
      <c r="AT1505" s="35"/>
      <c r="AU1505" s="35"/>
      <c r="AV1505" s="35"/>
      <c r="AW1505" s="35"/>
      <c r="AX1505" s="35"/>
      <c r="AY1505" s="35"/>
      <c r="AZ1505" s="35"/>
      <c r="BA1505" s="35"/>
      <c r="BB1505" s="35"/>
      <c r="BC1505" s="35"/>
      <c r="BD1505" s="35"/>
      <c r="BE1505" s="35"/>
      <c r="BF1505" s="35"/>
      <c r="BG1505" s="35"/>
    </row>
    <row r="1506" ht="15.75" customHeight="1">
      <c r="A1506" s="35"/>
      <c r="B1506" s="35"/>
      <c r="C1506" s="35"/>
      <c r="D1506" s="35"/>
      <c r="E1506" s="35"/>
      <c r="F1506" s="35"/>
      <c r="G1506" s="35"/>
      <c r="H1506" s="35"/>
      <c r="I1506" s="35"/>
      <c r="J1506" s="35"/>
      <c r="K1506" s="35"/>
      <c r="L1506" s="35"/>
      <c r="M1506" s="35"/>
      <c r="N1506" s="35"/>
      <c r="O1506" s="35"/>
      <c r="P1506" s="35"/>
      <c r="Q1506" s="35"/>
      <c r="R1506" s="35"/>
      <c r="S1506" s="35"/>
      <c r="T1506" s="35"/>
      <c r="U1506" s="35"/>
      <c r="V1506" s="35"/>
      <c r="W1506" s="35"/>
      <c r="X1506" s="35"/>
      <c r="Y1506" s="35"/>
      <c r="Z1506" s="35"/>
      <c r="AA1506" s="35"/>
      <c r="AB1506" s="35"/>
      <c r="AC1506" s="35"/>
      <c r="AD1506" s="35"/>
      <c r="AE1506" s="35"/>
      <c r="AF1506" s="35"/>
      <c r="AG1506" s="35"/>
      <c r="AH1506" s="35"/>
      <c r="AI1506" s="35"/>
      <c r="AJ1506" s="35"/>
      <c r="AK1506" s="35"/>
      <c r="AL1506" s="35"/>
      <c r="AM1506" s="35"/>
      <c r="AN1506" s="35"/>
      <c r="AO1506" s="35"/>
      <c r="AP1506" s="35"/>
      <c r="AQ1506" s="35"/>
      <c r="AR1506" s="35"/>
      <c r="AS1506" s="35"/>
      <c r="AT1506" s="35"/>
      <c r="AU1506" s="35"/>
      <c r="AV1506" s="35"/>
      <c r="AW1506" s="35"/>
      <c r="AX1506" s="35"/>
      <c r="AY1506" s="35"/>
      <c r="AZ1506" s="35"/>
      <c r="BA1506" s="35"/>
      <c r="BB1506" s="35"/>
      <c r="BC1506" s="35"/>
      <c r="BD1506" s="35"/>
      <c r="BE1506" s="35"/>
      <c r="BF1506" s="35"/>
      <c r="BG1506" s="35"/>
    </row>
    <row r="1507" ht="15.75" customHeight="1">
      <c r="A1507" s="35"/>
      <c r="B1507" s="35"/>
      <c r="C1507" s="35"/>
      <c r="D1507" s="35"/>
      <c r="E1507" s="35"/>
      <c r="F1507" s="35"/>
      <c r="G1507" s="35"/>
      <c r="H1507" s="35"/>
      <c r="I1507" s="35"/>
      <c r="J1507" s="35"/>
      <c r="K1507" s="35"/>
      <c r="L1507" s="35"/>
      <c r="M1507" s="35"/>
      <c r="N1507" s="35"/>
      <c r="O1507" s="35"/>
      <c r="P1507" s="35"/>
      <c r="Q1507" s="35"/>
      <c r="R1507" s="35"/>
      <c r="S1507" s="35"/>
      <c r="T1507" s="35"/>
      <c r="U1507" s="35"/>
      <c r="V1507" s="35"/>
      <c r="W1507" s="35"/>
      <c r="X1507" s="35"/>
      <c r="Y1507" s="35"/>
      <c r="Z1507" s="35"/>
      <c r="AA1507" s="35"/>
      <c r="AB1507" s="35"/>
      <c r="AC1507" s="35"/>
      <c r="AD1507" s="35"/>
      <c r="AE1507" s="35"/>
      <c r="AF1507" s="35"/>
      <c r="AG1507" s="35"/>
      <c r="AH1507" s="35"/>
      <c r="AI1507" s="35"/>
      <c r="AJ1507" s="35"/>
      <c r="AK1507" s="35"/>
      <c r="AL1507" s="35"/>
      <c r="AM1507" s="35"/>
      <c r="AN1507" s="35"/>
      <c r="AO1507" s="35"/>
      <c r="AP1507" s="35"/>
      <c r="AQ1507" s="35"/>
      <c r="AR1507" s="35"/>
      <c r="AS1507" s="35"/>
      <c r="AT1507" s="35"/>
      <c r="AU1507" s="35"/>
      <c r="AV1507" s="35"/>
      <c r="AW1507" s="35"/>
      <c r="AX1507" s="35"/>
      <c r="AY1507" s="35"/>
      <c r="AZ1507" s="35"/>
      <c r="BA1507" s="35"/>
      <c r="BB1507" s="35"/>
      <c r="BC1507" s="35"/>
      <c r="BD1507" s="35"/>
      <c r="BE1507" s="35"/>
      <c r="BF1507" s="35"/>
      <c r="BG1507" s="35"/>
    </row>
    <row r="1508" ht="15.75" customHeight="1">
      <c r="A1508" s="35"/>
      <c r="B1508" s="35"/>
      <c r="C1508" s="35"/>
      <c r="D1508" s="35"/>
      <c r="E1508" s="35"/>
      <c r="F1508" s="35"/>
      <c r="G1508" s="35"/>
      <c r="H1508" s="35"/>
      <c r="I1508" s="35"/>
      <c r="J1508" s="35"/>
      <c r="K1508" s="35"/>
      <c r="L1508" s="35"/>
      <c r="M1508" s="35"/>
      <c r="N1508" s="35"/>
      <c r="O1508" s="35"/>
      <c r="P1508" s="35"/>
      <c r="Q1508" s="35"/>
      <c r="R1508" s="35"/>
      <c r="S1508" s="35"/>
      <c r="T1508" s="35"/>
      <c r="U1508" s="35"/>
      <c r="V1508" s="35"/>
      <c r="W1508" s="35"/>
      <c r="X1508" s="35"/>
      <c r="Y1508" s="35"/>
      <c r="Z1508" s="35"/>
      <c r="AA1508" s="35"/>
      <c r="AB1508" s="35"/>
      <c r="AC1508" s="35"/>
      <c r="AD1508" s="35"/>
      <c r="AE1508" s="35"/>
      <c r="AF1508" s="35"/>
      <c r="AG1508" s="35"/>
      <c r="AH1508" s="35"/>
      <c r="AI1508" s="35"/>
      <c r="AJ1508" s="35"/>
      <c r="AK1508" s="35"/>
      <c r="AL1508" s="35"/>
      <c r="AM1508" s="35"/>
      <c r="AN1508" s="35"/>
      <c r="AO1508" s="35"/>
      <c r="AP1508" s="35"/>
      <c r="AQ1508" s="35"/>
      <c r="AR1508" s="35"/>
      <c r="AS1508" s="35"/>
      <c r="AT1508" s="35"/>
      <c r="AU1508" s="35"/>
      <c r="AV1508" s="35"/>
      <c r="AW1508" s="35"/>
      <c r="AX1508" s="35"/>
      <c r="AY1508" s="35"/>
      <c r="AZ1508" s="35"/>
      <c r="BA1508" s="35"/>
      <c r="BB1508" s="35"/>
      <c r="BC1508" s="35"/>
      <c r="BD1508" s="35"/>
      <c r="BE1508" s="35"/>
      <c r="BF1508" s="35"/>
      <c r="BG1508" s="35"/>
    </row>
    <row r="1509" ht="15.75" customHeight="1">
      <c r="A1509" s="35"/>
      <c r="B1509" s="35"/>
      <c r="C1509" s="35"/>
      <c r="D1509" s="35"/>
      <c r="E1509" s="35"/>
      <c r="F1509" s="35"/>
      <c r="G1509" s="35"/>
      <c r="H1509" s="35"/>
      <c r="I1509" s="35"/>
      <c r="J1509" s="35"/>
      <c r="K1509" s="35"/>
      <c r="L1509" s="35"/>
      <c r="M1509" s="35"/>
      <c r="N1509" s="35"/>
      <c r="O1509" s="35"/>
      <c r="P1509" s="35"/>
      <c r="Q1509" s="35"/>
      <c r="R1509" s="35"/>
      <c r="S1509" s="35"/>
      <c r="T1509" s="35"/>
      <c r="U1509" s="35"/>
      <c r="V1509" s="35"/>
      <c r="W1509" s="35"/>
      <c r="X1509" s="35"/>
      <c r="Y1509" s="35"/>
      <c r="Z1509" s="35"/>
      <c r="AA1509" s="35"/>
      <c r="AB1509" s="35"/>
      <c r="AC1509" s="35"/>
      <c r="AD1509" s="35"/>
      <c r="AE1509" s="35"/>
      <c r="AF1509" s="35"/>
      <c r="AG1509" s="35"/>
      <c r="AH1509" s="35"/>
      <c r="AI1509" s="35"/>
      <c r="AJ1509" s="35"/>
      <c r="AK1509" s="35"/>
      <c r="AL1509" s="35"/>
      <c r="AM1509" s="35"/>
      <c r="AN1509" s="35"/>
      <c r="AO1509" s="35"/>
      <c r="AP1509" s="35"/>
      <c r="AQ1509" s="35"/>
      <c r="AR1509" s="35"/>
      <c r="AS1509" s="35"/>
      <c r="AT1509" s="35"/>
      <c r="AU1509" s="35"/>
      <c r="AV1509" s="35"/>
      <c r="AW1509" s="35"/>
      <c r="AX1509" s="35"/>
      <c r="AY1509" s="35"/>
      <c r="AZ1509" s="35"/>
      <c r="BA1509" s="35"/>
      <c r="BB1509" s="35"/>
      <c r="BC1509" s="35"/>
      <c r="BD1509" s="35"/>
      <c r="BE1509" s="35"/>
      <c r="BF1509" s="35"/>
      <c r="BG1509" s="35"/>
    </row>
    <row r="1510" ht="15.75" customHeight="1">
      <c r="A1510" s="35"/>
      <c r="B1510" s="35"/>
      <c r="C1510" s="35"/>
      <c r="D1510" s="35"/>
      <c r="E1510" s="35"/>
      <c r="F1510" s="35"/>
      <c r="G1510" s="35"/>
      <c r="H1510" s="35"/>
      <c r="I1510" s="35"/>
      <c r="J1510" s="35"/>
      <c r="K1510" s="35"/>
      <c r="L1510" s="35"/>
      <c r="M1510" s="35"/>
      <c r="N1510" s="35"/>
      <c r="O1510" s="35"/>
      <c r="P1510" s="35"/>
      <c r="Q1510" s="35"/>
      <c r="R1510" s="35"/>
      <c r="S1510" s="35"/>
      <c r="T1510" s="35"/>
      <c r="U1510" s="35"/>
      <c r="V1510" s="35"/>
      <c r="W1510" s="35"/>
      <c r="X1510" s="35"/>
      <c r="Y1510" s="35"/>
      <c r="Z1510" s="35"/>
      <c r="AA1510" s="35"/>
      <c r="AB1510" s="35"/>
      <c r="AC1510" s="35"/>
      <c r="AD1510" s="35"/>
      <c r="AE1510" s="35"/>
      <c r="AF1510" s="35"/>
      <c r="AG1510" s="35"/>
      <c r="AH1510" s="35"/>
      <c r="AI1510" s="35"/>
      <c r="AJ1510" s="35"/>
      <c r="AK1510" s="35"/>
      <c r="AL1510" s="35"/>
      <c r="AM1510" s="35"/>
      <c r="AN1510" s="35"/>
      <c r="AO1510" s="35"/>
      <c r="AP1510" s="35"/>
      <c r="AQ1510" s="35"/>
      <c r="AR1510" s="35"/>
      <c r="AS1510" s="35"/>
      <c r="AT1510" s="35"/>
      <c r="AU1510" s="35"/>
      <c r="AV1510" s="35"/>
      <c r="AW1510" s="35"/>
      <c r="AX1510" s="35"/>
      <c r="AY1510" s="35"/>
      <c r="AZ1510" s="35"/>
      <c r="BA1510" s="35"/>
      <c r="BB1510" s="35"/>
      <c r="BC1510" s="35"/>
      <c r="BD1510" s="35"/>
      <c r="BE1510" s="35"/>
      <c r="BF1510" s="35"/>
      <c r="BG1510" s="35"/>
    </row>
    <row r="1511" ht="15.75" customHeight="1">
      <c r="A1511" s="35"/>
      <c r="B1511" s="35"/>
      <c r="C1511" s="35"/>
      <c r="D1511" s="35"/>
      <c r="E1511" s="35"/>
      <c r="F1511" s="35"/>
      <c r="G1511" s="35"/>
      <c r="H1511" s="35"/>
      <c r="I1511" s="35"/>
      <c r="J1511" s="35"/>
      <c r="K1511" s="35"/>
      <c r="L1511" s="35"/>
      <c r="M1511" s="35"/>
      <c r="N1511" s="35"/>
      <c r="O1511" s="35"/>
      <c r="P1511" s="35"/>
      <c r="Q1511" s="35"/>
      <c r="R1511" s="35"/>
      <c r="S1511" s="35"/>
      <c r="T1511" s="35"/>
      <c r="U1511" s="35"/>
      <c r="V1511" s="35"/>
      <c r="W1511" s="35"/>
      <c r="X1511" s="35"/>
      <c r="Y1511" s="35"/>
      <c r="Z1511" s="35"/>
      <c r="AA1511" s="35"/>
      <c r="AB1511" s="35"/>
      <c r="AC1511" s="35"/>
      <c r="AD1511" s="35"/>
      <c r="AE1511" s="35"/>
      <c r="AF1511" s="35"/>
      <c r="AG1511" s="35"/>
      <c r="AH1511" s="35"/>
      <c r="AI1511" s="35"/>
      <c r="AJ1511" s="35"/>
      <c r="AK1511" s="35"/>
      <c r="AL1511" s="35"/>
      <c r="AM1511" s="35"/>
      <c r="AN1511" s="35"/>
      <c r="AO1511" s="35"/>
      <c r="AP1511" s="35"/>
      <c r="AQ1511" s="35"/>
      <c r="AR1511" s="35"/>
      <c r="AS1511" s="35"/>
      <c r="AT1511" s="35"/>
      <c r="AU1511" s="35"/>
      <c r="AV1511" s="35"/>
      <c r="AW1511" s="35"/>
      <c r="AX1511" s="35"/>
      <c r="AY1511" s="35"/>
      <c r="AZ1511" s="35"/>
      <c r="BA1511" s="35"/>
      <c r="BB1511" s="35"/>
      <c r="BC1511" s="35"/>
      <c r="BD1511" s="35"/>
      <c r="BE1511" s="35"/>
      <c r="BF1511" s="35"/>
      <c r="BG1511" s="35"/>
    </row>
    <row r="1512" ht="15.75" customHeight="1">
      <c r="A1512" s="35"/>
      <c r="B1512" s="35"/>
      <c r="C1512" s="35"/>
      <c r="D1512" s="35"/>
      <c r="E1512" s="35"/>
      <c r="F1512" s="35"/>
      <c r="G1512" s="35"/>
      <c r="H1512" s="35"/>
      <c r="I1512" s="35"/>
      <c r="J1512" s="35"/>
      <c r="K1512" s="35"/>
      <c r="L1512" s="35"/>
      <c r="M1512" s="35"/>
      <c r="N1512" s="35"/>
      <c r="O1512" s="35"/>
      <c r="P1512" s="35"/>
      <c r="Q1512" s="35"/>
      <c r="R1512" s="35"/>
      <c r="S1512" s="35"/>
      <c r="T1512" s="35"/>
      <c r="U1512" s="35"/>
      <c r="V1512" s="35"/>
      <c r="W1512" s="35"/>
      <c r="X1512" s="35"/>
      <c r="Y1512" s="35"/>
      <c r="Z1512" s="35"/>
      <c r="AA1512" s="35"/>
      <c r="AB1512" s="35"/>
      <c r="AC1512" s="35"/>
      <c r="AD1512" s="35"/>
      <c r="AE1512" s="35"/>
      <c r="AF1512" s="35"/>
      <c r="AG1512" s="35"/>
      <c r="AH1512" s="35"/>
      <c r="AI1512" s="35"/>
      <c r="AJ1512" s="35"/>
      <c r="AK1512" s="35"/>
      <c r="AL1512" s="35"/>
      <c r="AM1512" s="35"/>
      <c r="AN1512" s="35"/>
      <c r="AO1512" s="35"/>
      <c r="AP1512" s="35"/>
      <c r="AQ1512" s="35"/>
      <c r="AR1512" s="35"/>
      <c r="AS1512" s="35"/>
      <c r="AT1512" s="35"/>
      <c r="AU1512" s="35"/>
      <c r="AV1512" s="35"/>
      <c r="AW1512" s="35"/>
      <c r="AX1512" s="35"/>
      <c r="AY1512" s="35"/>
      <c r="AZ1512" s="35"/>
      <c r="BA1512" s="35"/>
      <c r="BB1512" s="35"/>
      <c r="BC1512" s="35"/>
      <c r="BD1512" s="35"/>
      <c r="BE1512" s="35"/>
      <c r="BF1512" s="35"/>
      <c r="BG1512" s="35"/>
    </row>
    <row r="1513" ht="15.75" customHeight="1">
      <c r="A1513" s="35"/>
      <c r="B1513" s="35"/>
      <c r="C1513" s="35"/>
      <c r="D1513" s="35"/>
      <c r="E1513" s="35"/>
      <c r="F1513" s="35"/>
      <c r="G1513" s="35"/>
      <c r="H1513" s="35"/>
      <c r="I1513" s="35"/>
      <c r="J1513" s="35"/>
      <c r="K1513" s="35"/>
      <c r="L1513" s="35"/>
      <c r="M1513" s="35"/>
      <c r="N1513" s="35"/>
      <c r="O1513" s="35"/>
      <c r="P1513" s="35"/>
      <c r="Q1513" s="35"/>
      <c r="R1513" s="35"/>
      <c r="S1513" s="35"/>
      <c r="T1513" s="35"/>
      <c r="U1513" s="35"/>
      <c r="V1513" s="35"/>
      <c r="W1513" s="35"/>
      <c r="X1513" s="35"/>
      <c r="Y1513" s="35"/>
      <c r="Z1513" s="35"/>
      <c r="AA1513" s="35"/>
      <c r="AB1513" s="35"/>
      <c r="AC1513" s="35"/>
      <c r="AD1513" s="35"/>
      <c r="AE1513" s="35"/>
      <c r="AF1513" s="35"/>
      <c r="AG1513" s="35"/>
      <c r="AH1513" s="35"/>
      <c r="AI1513" s="35"/>
      <c r="AJ1513" s="35"/>
      <c r="AK1513" s="35"/>
      <c r="AL1513" s="35"/>
      <c r="AM1513" s="35"/>
      <c r="AN1513" s="35"/>
      <c r="AO1513" s="35"/>
      <c r="AP1513" s="35"/>
      <c r="AQ1513" s="35"/>
      <c r="AR1513" s="35"/>
      <c r="AS1513" s="35"/>
      <c r="AT1513" s="35"/>
      <c r="AU1513" s="35"/>
      <c r="AV1513" s="35"/>
      <c r="AW1513" s="35"/>
      <c r="AX1513" s="35"/>
      <c r="AY1513" s="35"/>
      <c r="AZ1513" s="35"/>
      <c r="BA1513" s="35"/>
      <c r="BB1513" s="35"/>
      <c r="BC1513" s="35"/>
      <c r="BD1513" s="35"/>
      <c r="BE1513" s="35"/>
      <c r="BF1513" s="35"/>
      <c r="BG1513" s="35"/>
    </row>
    <row r="1514" ht="15.75" customHeight="1">
      <c r="A1514" s="35"/>
      <c r="B1514" s="35"/>
      <c r="C1514" s="35"/>
      <c r="D1514" s="35"/>
      <c r="E1514" s="35"/>
      <c r="F1514" s="35"/>
      <c r="G1514" s="35"/>
      <c r="H1514" s="35"/>
      <c r="I1514" s="35"/>
      <c r="J1514" s="35"/>
      <c r="K1514" s="35"/>
      <c r="L1514" s="35"/>
      <c r="M1514" s="35"/>
      <c r="N1514" s="35"/>
      <c r="O1514" s="35"/>
      <c r="P1514" s="35"/>
      <c r="Q1514" s="35"/>
      <c r="R1514" s="35"/>
      <c r="S1514" s="35"/>
      <c r="T1514" s="35"/>
      <c r="U1514" s="35"/>
      <c r="V1514" s="35"/>
      <c r="W1514" s="35"/>
      <c r="X1514" s="35"/>
      <c r="Y1514" s="35"/>
      <c r="Z1514" s="35"/>
      <c r="AA1514" s="35"/>
      <c r="AB1514" s="35"/>
      <c r="AC1514" s="35"/>
      <c r="AD1514" s="35"/>
      <c r="AE1514" s="35"/>
      <c r="AF1514" s="35"/>
      <c r="AG1514" s="35"/>
      <c r="AH1514" s="35"/>
      <c r="AI1514" s="35"/>
      <c r="AJ1514" s="35"/>
      <c r="AK1514" s="35"/>
      <c r="AL1514" s="35"/>
      <c r="AM1514" s="35"/>
      <c r="AN1514" s="35"/>
      <c r="AO1514" s="35"/>
      <c r="AP1514" s="35"/>
      <c r="AQ1514" s="35"/>
      <c r="AR1514" s="35"/>
      <c r="AS1514" s="35"/>
      <c r="AT1514" s="35"/>
      <c r="AU1514" s="35"/>
      <c r="AV1514" s="35"/>
      <c r="AW1514" s="35"/>
      <c r="AX1514" s="35"/>
      <c r="AY1514" s="35"/>
      <c r="AZ1514" s="35"/>
      <c r="BA1514" s="35"/>
      <c r="BB1514" s="35"/>
      <c r="BC1514" s="35"/>
      <c r="BD1514" s="35"/>
      <c r="BE1514" s="35"/>
      <c r="BF1514" s="35"/>
      <c r="BG1514" s="35"/>
    </row>
    <row r="1515" ht="15.75" customHeight="1">
      <c r="A1515" s="35"/>
      <c r="B1515" s="35"/>
      <c r="C1515" s="35"/>
      <c r="D1515" s="35"/>
      <c r="E1515" s="35"/>
      <c r="F1515" s="35"/>
      <c r="G1515" s="35"/>
      <c r="H1515" s="35"/>
      <c r="I1515" s="35"/>
      <c r="J1515" s="35"/>
      <c r="K1515" s="35"/>
      <c r="L1515" s="35"/>
      <c r="M1515" s="35"/>
      <c r="N1515" s="35"/>
      <c r="O1515" s="35"/>
      <c r="P1515" s="35"/>
      <c r="Q1515" s="35"/>
      <c r="R1515" s="35"/>
      <c r="S1515" s="35"/>
      <c r="T1515" s="35"/>
      <c r="U1515" s="35"/>
      <c r="V1515" s="35"/>
      <c r="W1515" s="35"/>
      <c r="X1515" s="35"/>
      <c r="Y1515" s="35"/>
      <c r="Z1515" s="35"/>
      <c r="AA1515" s="35"/>
      <c r="AB1515" s="35"/>
      <c r="AC1515" s="35"/>
      <c r="AD1515" s="35"/>
      <c r="AE1515" s="35"/>
      <c r="AF1515" s="35"/>
      <c r="AG1515" s="35"/>
      <c r="AH1515" s="35"/>
      <c r="AI1515" s="35"/>
      <c r="AJ1515" s="35"/>
      <c r="AK1515" s="35"/>
      <c r="AL1515" s="35"/>
      <c r="AM1515" s="35"/>
      <c r="AN1515" s="35"/>
      <c r="AO1515" s="35"/>
      <c r="AP1515" s="35"/>
      <c r="AQ1515" s="35"/>
      <c r="AR1515" s="35"/>
      <c r="AS1515" s="35"/>
      <c r="AT1515" s="35"/>
      <c r="AU1515" s="35"/>
      <c r="AV1515" s="35"/>
      <c r="AW1515" s="35"/>
      <c r="AX1515" s="35"/>
      <c r="AY1515" s="35"/>
      <c r="AZ1515" s="35"/>
      <c r="BA1515" s="35"/>
      <c r="BB1515" s="35"/>
      <c r="BC1515" s="35"/>
      <c r="BD1515" s="35"/>
      <c r="BE1515" s="35"/>
      <c r="BF1515" s="35"/>
      <c r="BG1515" s="35"/>
    </row>
    <row r="1516" ht="15.75" customHeight="1">
      <c r="A1516" s="35"/>
      <c r="B1516" s="35"/>
      <c r="C1516" s="35"/>
      <c r="D1516" s="35"/>
      <c r="E1516" s="35"/>
      <c r="F1516" s="35"/>
      <c r="G1516" s="35"/>
      <c r="H1516" s="35"/>
      <c r="I1516" s="35"/>
      <c r="J1516" s="35"/>
      <c r="K1516" s="35"/>
      <c r="L1516" s="35"/>
      <c r="M1516" s="35"/>
      <c r="N1516" s="35"/>
      <c r="O1516" s="35"/>
      <c r="P1516" s="35"/>
      <c r="Q1516" s="35"/>
      <c r="R1516" s="35"/>
      <c r="S1516" s="35"/>
      <c r="T1516" s="35"/>
      <c r="U1516" s="35"/>
      <c r="V1516" s="35"/>
      <c r="W1516" s="35"/>
      <c r="X1516" s="35"/>
      <c r="Y1516" s="35"/>
      <c r="Z1516" s="35"/>
      <c r="AA1516" s="35"/>
      <c r="AB1516" s="35"/>
      <c r="AC1516" s="35"/>
      <c r="AD1516" s="35"/>
      <c r="AE1516" s="35"/>
      <c r="AF1516" s="35"/>
      <c r="AG1516" s="35"/>
      <c r="AH1516" s="35"/>
      <c r="AI1516" s="35"/>
      <c r="AJ1516" s="35"/>
      <c r="AK1516" s="35"/>
      <c r="AL1516" s="35"/>
      <c r="AM1516" s="35"/>
      <c r="AN1516" s="35"/>
      <c r="AO1516" s="35"/>
      <c r="AP1516" s="35"/>
      <c r="AQ1516" s="35"/>
      <c r="AR1516" s="35"/>
      <c r="AS1516" s="35"/>
      <c r="AT1516" s="35"/>
      <c r="AU1516" s="35"/>
      <c r="AV1516" s="35"/>
      <c r="AW1516" s="35"/>
      <c r="AX1516" s="35"/>
      <c r="AY1516" s="35"/>
      <c r="AZ1516" s="35"/>
      <c r="BA1516" s="35"/>
      <c r="BB1516" s="35"/>
      <c r="BC1516" s="35"/>
      <c r="BD1516" s="35"/>
      <c r="BE1516" s="35"/>
      <c r="BF1516" s="35"/>
      <c r="BG1516" s="35"/>
    </row>
    <row r="1517" ht="15.75" customHeight="1">
      <c r="A1517" s="35"/>
      <c r="B1517" s="35"/>
      <c r="C1517" s="35"/>
      <c r="D1517" s="35"/>
      <c r="E1517" s="35"/>
      <c r="F1517" s="35"/>
      <c r="G1517" s="35"/>
      <c r="H1517" s="35"/>
      <c r="I1517" s="35"/>
      <c r="J1517" s="35"/>
      <c r="K1517" s="35"/>
      <c r="L1517" s="35"/>
      <c r="M1517" s="35"/>
      <c r="N1517" s="35"/>
      <c r="O1517" s="35"/>
      <c r="P1517" s="35"/>
      <c r="Q1517" s="35"/>
      <c r="R1517" s="35"/>
      <c r="S1517" s="35"/>
      <c r="T1517" s="35"/>
      <c r="U1517" s="35"/>
      <c r="V1517" s="35"/>
      <c r="W1517" s="35"/>
      <c r="X1517" s="35"/>
      <c r="Y1517" s="35"/>
      <c r="Z1517" s="35"/>
      <c r="AA1517" s="35"/>
      <c r="AB1517" s="35"/>
      <c r="AC1517" s="35"/>
      <c r="AD1517" s="35"/>
      <c r="AE1517" s="35"/>
      <c r="AF1517" s="35"/>
      <c r="AG1517" s="35"/>
      <c r="AH1517" s="35"/>
      <c r="AI1517" s="35"/>
      <c r="AJ1517" s="35"/>
      <c r="AK1517" s="35"/>
      <c r="AL1517" s="35"/>
      <c r="AM1517" s="35"/>
      <c r="AN1517" s="35"/>
      <c r="AO1517" s="35"/>
      <c r="AP1517" s="35"/>
      <c r="AQ1517" s="35"/>
      <c r="AR1517" s="35"/>
      <c r="AS1517" s="35"/>
      <c r="AT1517" s="35"/>
      <c r="AU1517" s="35"/>
      <c r="AV1517" s="35"/>
      <c r="AW1517" s="35"/>
      <c r="AX1517" s="35"/>
      <c r="AY1517" s="35"/>
      <c r="AZ1517" s="35"/>
      <c r="BA1517" s="35"/>
      <c r="BB1517" s="35"/>
      <c r="BC1517" s="35"/>
      <c r="BD1517" s="35"/>
      <c r="BE1517" s="35"/>
      <c r="BF1517" s="35"/>
      <c r="BG1517" s="35"/>
    </row>
    <row r="1518" ht="15.75" customHeight="1">
      <c r="A1518" s="35"/>
      <c r="B1518" s="35"/>
      <c r="C1518" s="35"/>
      <c r="D1518" s="35"/>
      <c r="E1518" s="35"/>
      <c r="F1518" s="35"/>
      <c r="G1518" s="35"/>
      <c r="H1518" s="35"/>
      <c r="I1518" s="35"/>
      <c r="J1518" s="35"/>
      <c r="K1518" s="35"/>
      <c r="L1518" s="35"/>
      <c r="M1518" s="35"/>
      <c r="N1518" s="35"/>
      <c r="O1518" s="35"/>
      <c r="P1518" s="35"/>
      <c r="Q1518" s="35"/>
      <c r="R1518" s="35"/>
      <c r="S1518" s="35"/>
      <c r="T1518" s="35"/>
      <c r="U1518" s="35"/>
      <c r="V1518" s="35"/>
      <c r="W1518" s="35"/>
      <c r="X1518" s="35"/>
      <c r="Y1518" s="35"/>
      <c r="Z1518" s="35"/>
      <c r="AA1518" s="35"/>
      <c r="AB1518" s="35"/>
      <c r="AC1518" s="35"/>
      <c r="AD1518" s="35"/>
      <c r="AE1518" s="35"/>
      <c r="AF1518" s="35"/>
      <c r="AG1518" s="35"/>
      <c r="AH1518" s="35"/>
      <c r="AI1518" s="35"/>
      <c r="AJ1518" s="35"/>
      <c r="AK1518" s="35"/>
      <c r="AL1518" s="35"/>
      <c r="AM1518" s="35"/>
      <c r="AN1518" s="35"/>
      <c r="AO1518" s="35"/>
      <c r="AP1518" s="35"/>
      <c r="AQ1518" s="35"/>
      <c r="AR1518" s="35"/>
      <c r="AS1518" s="35"/>
      <c r="AT1518" s="35"/>
      <c r="AU1518" s="35"/>
      <c r="AV1518" s="35"/>
      <c r="AW1518" s="35"/>
      <c r="AX1518" s="35"/>
      <c r="AY1518" s="35"/>
      <c r="AZ1518" s="35"/>
      <c r="BA1518" s="35"/>
      <c r="BB1518" s="35"/>
      <c r="BC1518" s="35"/>
      <c r="BD1518" s="35"/>
      <c r="BE1518" s="35"/>
      <c r="BF1518" s="35"/>
      <c r="BG1518" s="35"/>
    </row>
    <row r="1519" ht="15.75" customHeight="1">
      <c r="A1519" s="35"/>
      <c r="B1519" s="35"/>
      <c r="C1519" s="35"/>
      <c r="D1519" s="35"/>
      <c r="E1519" s="35"/>
      <c r="F1519" s="35"/>
      <c r="G1519" s="35"/>
      <c r="H1519" s="35"/>
      <c r="I1519" s="35"/>
      <c r="J1519" s="35"/>
      <c r="K1519" s="35"/>
      <c r="L1519" s="35"/>
      <c r="M1519" s="35"/>
      <c r="N1519" s="35"/>
      <c r="O1519" s="35"/>
      <c r="P1519" s="35"/>
      <c r="Q1519" s="35"/>
      <c r="R1519" s="35"/>
      <c r="S1519" s="35"/>
      <c r="T1519" s="35"/>
      <c r="U1519" s="35"/>
      <c r="V1519" s="35"/>
      <c r="W1519" s="35"/>
      <c r="X1519" s="35"/>
      <c r="Y1519" s="35"/>
      <c r="Z1519" s="35"/>
      <c r="AA1519" s="35"/>
      <c r="AB1519" s="35"/>
      <c r="AC1519" s="35"/>
      <c r="AD1519" s="35"/>
      <c r="AE1519" s="35"/>
      <c r="AF1519" s="35"/>
      <c r="AG1519" s="35"/>
      <c r="AH1519" s="35"/>
      <c r="AI1519" s="35"/>
      <c r="AJ1519" s="35"/>
      <c r="AK1519" s="35"/>
      <c r="AL1519" s="35"/>
      <c r="AM1519" s="35"/>
      <c r="AN1519" s="35"/>
      <c r="AO1519" s="35"/>
      <c r="AP1519" s="35"/>
      <c r="AQ1519" s="35"/>
      <c r="AR1519" s="35"/>
      <c r="AS1519" s="35"/>
      <c r="AT1519" s="35"/>
      <c r="AU1519" s="35"/>
      <c r="AV1519" s="35"/>
      <c r="AW1519" s="35"/>
      <c r="AX1519" s="35"/>
      <c r="AY1519" s="35"/>
      <c r="AZ1519" s="35"/>
      <c r="BA1519" s="35"/>
      <c r="BB1519" s="35"/>
      <c r="BC1519" s="35"/>
      <c r="BD1519" s="35"/>
      <c r="BE1519" s="35"/>
      <c r="BF1519" s="35"/>
      <c r="BG1519" s="35"/>
    </row>
    <row r="1520" ht="15.75" customHeight="1">
      <c r="A1520" s="35"/>
      <c r="B1520" s="35"/>
      <c r="C1520" s="35"/>
      <c r="D1520" s="35"/>
      <c r="E1520" s="35"/>
      <c r="F1520" s="35"/>
      <c r="G1520" s="35"/>
      <c r="H1520" s="35"/>
      <c r="I1520" s="35"/>
      <c r="J1520" s="35"/>
      <c r="K1520" s="35"/>
      <c r="L1520" s="35"/>
      <c r="M1520" s="35"/>
      <c r="N1520" s="35"/>
      <c r="O1520" s="35"/>
      <c r="P1520" s="35"/>
      <c r="Q1520" s="35"/>
      <c r="R1520" s="35"/>
      <c r="S1520" s="35"/>
      <c r="T1520" s="35"/>
      <c r="U1520" s="35"/>
      <c r="V1520" s="35"/>
      <c r="W1520" s="35"/>
      <c r="X1520" s="35"/>
      <c r="Y1520" s="35"/>
      <c r="Z1520" s="35"/>
      <c r="AA1520" s="35"/>
      <c r="AB1520" s="35"/>
      <c r="AC1520" s="35"/>
      <c r="AD1520" s="35"/>
      <c r="AE1520" s="35"/>
      <c r="AF1520" s="35"/>
      <c r="AG1520" s="35"/>
      <c r="AH1520" s="35"/>
      <c r="AI1520" s="35"/>
      <c r="AJ1520" s="35"/>
      <c r="AK1520" s="35"/>
      <c r="AL1520" s="35"/>
      <c r="AM1520" s="35"/>
      <c r="AN1520" s="35"/>
      <c r="AO1520" s="35"/>
      <c r="AP1520" s="35"/>
      <c r="AQ1520" s="35"/>
      <c r="AR1520" s="35"/>
      <c r="AS1520" s="35"/>
      <c r="AT1520" s="35"/>
      <c r="AU1520" s="35"/>
      <c r="AV1520" s="35"/>
      <c r="AW1520" s="35"/>
      <c r="AX1520" s="35"/>
      <c r="AY1520" s="35"/>
      <c r="AZ1520" s="35"/>
      <c r="BA1520" s="35"/>
      <c r="BB1520" s="35"/>
      <c r="BC1520" s="35"/>
      <c r="BD1520" s="35"/>
      <c r="BE1520" s="35"/>
      <c r="BF1520" s="35"/>
      <c r="BG1520" s="35"/>
    </row>
    <row r="1521" ht="15.75" customHeight="1">
      <c r="A1521" s="35"/>
      <c r="B1521" s="35"/>
      <c r="C1521" s="35"/>
      <c r="D1521" s="35"/>
      <c r="E1521" s="35"/>
      <c r="F1521" s="35"/>
      <c r="G1521" s="35"/>
      <c r="H1521" s="35"/>
      <c r="I1521" s="35"/>
      <c r="J1521" s="35"/>
      <c r="K1521" s="35"/>
      <c r="L1521" s="35"/>
      <c r="M1521" s="35"/>
      <c r="N1521" s="35"/>
      <c r="O1521" s="35"/>
      <c r="P1521" s="35"/>
      <c r="Q1521" s="35"/>
      <c r="R1521" s="35"/>
      <c r="S1521" s="35"/>
      <c r="T1521" s="35"/>
      <c r="U1521" s="35"/>
      <c r="V1521" s="35"/>
      <c r="W1521" s="35"/>
      <c r="X1521" s="35"/>
      <c r="Y1521" s="35"/>
      <c r="Z1521" s="35"/>
      <c r="AA1521" s="35"/>
      <c r="AB1521" s="35"/>
      <c r="AC1521" s="35"/>
      <c r="AD1521" s="35"/>
      <c r="AE1521" s="35"/>
      <c r="AF1521" s="35"/>
      <c r="AG1521" s="35"/>
      <c r="AH1521" s="35"/>
      <c r="AI1521" s="35"/>
      <c r="AJ1521" s="35"/>
      <c r="AK1521" s="35"/>
      <c r="AL1521" s="35"/>
      <c r="AM1521" s="35"/>
      <c r="AN1521" s="35"/>
      <c r="AO1521" s="35"/>
      <c r="AP1521" s="35"/>
      <c r="AQ1521" s="35"/>
      <c r="AR1521" s="35"/>
      <c r="AS1521" s="35"/>
      <c r="AT1521" s="35"/>
      <c r="AU1521" s="35"/>
      <c r="AV1521" s="35"/>
      <c r="AW1521" s="35"/>
      <c r="AX1521" s="35"/>
      <c r="AY1521" s="35"/>
      <c r="AZ1521" s="35"/>
      <c r="BA1521" s="35"/>
      <c r="BB1521" s="35"/>
      <c r="BC1521" s="35"/>
      <c r="BD1521" s="35"/>
      <c r="BE1521" s="35"/>
      <c r="BF1521" s="35"/>
      <c r="BG1521" s="35"/>
    </row>
    <row r="1522" ht="15.75" customHeight="1">
      <c r="A1522" s="35"/>
      <c r="B1522" s="35"/>
      <c r="C1522" s="35"/>
      <c r="D1522" s="35"/>
      <c r="E1522" s="35"/>
      <c r="F1522" s="35"/>
      <c r="G1522" s="35"/>
      <c r="H1522" s="35"/>
      <c r="I1522" s="35"/>
      <c r="J1522" s="35"/>
      <c r="K1522" s="35"/>
      <c r="L1522" s="35"/>
      <c r="M1522" s="35"/>
      <c r="N1522" s="35"/>
      <c r="O1522" s="35"/>
      <c r="P1522" s="35"/>
      <c r="Q1522" s="35"/>
      <c r="R1522" s="35"/>
      <c r="S1522" s="35"/>
      <c r="T1522" s="35"/>
      <c r="U1522" s="35"/>
      <c r="V1522" s="35"/>
      <c r="W1522" s="35"/>
      <c r="X1522" s="35"/>
      <c r="Y1522" s="35"/>
      <c r="Z1522" s="35"/>
      <c r="AA1522" s="35"/>
      <c r="AB1522" s="35"/>
      <c r="AC1522" s="35"/>
      <c r="AD1522" s="35"/>
      <c r="AE1522" s="35"/>
      <c r="AF1522" s="35"/>
      <c r="AG1522" s="35"/>
      <c r="AH1522" s="35"/>
      <c r="AI1522" s="35"/>
      <c r="AJ1522" s="35"/>
      <c r="AK1522" s="35"/>
      <c r="AL1522" s="35"/>
      <c r="AM1522" s="35"/>
      <c r="AN1522" s="35"/>
      <c r="AO1522" s="35"/>
      <c r="AP1522" s="35"/>
      <c r="AQ1522" s="35"/>
      <c r="AR1522" s="35"/>
      <c r="AS1522" s="35"/>
      <c r="AT1522" s="35"/>
      <c r="AU1522" s="35"/>
      <c r="AV1522" s="35"/>
      <c r="AW1522" s="35"/>
      <c r="AX1522" s="35"/>
      <c r="AY1522" s="35"/>
      <c r="AZ1522" s="35"/>
      <c r="BA1522" s="35"/>
      <c r="BB1522" s="35"/>
      <c r="BC1522" s="35"/>
      <c r="BD1522" s="35"/>
      <c r="BE1522" s="35"/>
      <c r="BF1522" s="35"/>
      <c r="BG1522" s="35"/>
    </row>
    <row r="1523" ht="15.75" customHeight="1">
      <c r="A1523" s="35"/>
      <c r="B1523" s="35"/>
      <c r="C1523" s="35"/>
      <c r="D1523" s="35"/>
      <c r="E1523" s="35"/>
      <c r="F1523" s="35"/>
      <c r="G1523" s="35"/>
      <c r="H1523" s="35"/>
      <c r="I1523" s="35"/>
      <c r="J1523" s="35"/>
      <c r="K1523" s="35"/>
      <c r="L1523" s="35"/>
      <c r="M1523" s="35"/>
      <c r="N1523" s="35"/>
      <c r="O1523" s="35"/>
      <c r="P1523" s="35"/>
      <c r="Q1523" s="35"/>
      <c r="R1523" s="35"/>
      <c r="S1523" s="35"/>
      <c r="T1523" s="35"/>
      <c r="U1523" s="35"/>
      <c r="V1523" s="35"/>
      <c r="W1523" s="35"/>
      <c r="X1523" s="35"/>
      <c r="Y1523" s="35"/>
      <c r="Z1523" s="35"/>
      <c r="AA1523" s="35"/>
      <c r="AB1523" s="35"/>
      <c r="AC1523" s="35"/>
      <c r="AD1523" s="35"/>
      <c r="AE1523" s="35"/>
      <c r="AF1523" s="35"/>
      <c r="AG1523" s="35"/>
      <c r="AH1523" s="35"/>
      <c r="AI1523" s="35"/>
      <c r="AJ1523" s="35"/>
      <c r="AK1523" s="35"/>
      <c r="AL1523" s="35"/>
      <c r="AM1523" s="35"/>
      <c r="AN1523" s="35"/>
      <c r="AO1523" s="35"/>
      <c r="AP1523" s="35"/>
      <c r="AQ1523" s="35"/>
      <c r="AR1523" s="35"/>
      <c r="AS1523" s="35"/>
      <c r="AT1523" s="35"/>
      <c r="AU1523" s="35"/>
      <c r="AV1523" s="35"/>
      <c r="AW1523" s="35"/>
      <c r="AX1523" s="35"/>
      <c r="AY1523" s="35"/>
      <c r="AZ1523" s="35"/>
      <c r="BA1523" s="35"/>
      <c r="BB1523" s="35"/>
      <c r="BC1523" s="35"/>
      <c r="BD1523" s="35"/>
      <c r="BE1523" s="35"/>
      <c r="BF1523" s="35"/>
      <c r="BG1523" s="35"/>
    </row>
    <row r="1524" ht="15.75" customHeight="1">
      <c r="A1524" s="35"/>
      <c r="B1524" s="35"/>
      <c r="C1524" s="35"/>
      <c r="D1524" s="35"/>
      <c r="E1524" s="35"/>
      <c r="F1524" s="35"/>
      <c r="G1524" s="35"/>
      <c r="H1524" s="35"/>
      <c r="I1524" s="35"/>
      <c r="J1524" s="35"/>
      <c r="K1524" s="35"/>
      <c r="L1524" s="35"/>
      <c r="M1524" s="35"/>
      <c r="N1524" s="35"/>
      <c r="O1524" s="35"/>
      <c r="P1524" s="35"/>
      <c r="Q1524" s="35"/>
      <c r="R1524" s="35"/>
      <c r="S1524" s="35"/>
      <c r="T1524" s="35"/>
      <c r="U1524" s="35"/>
      <c r="V1524" s="35"/>
      <c r="W1524" s="35"/>
      <c r="X1524" s="35"/>
      <c r="Y1524" s="35"/>
      <c r="Z1524" s="35"/>
      <c r="AA1524" s="35"/>
      <c r="AB1524" s="35"/>
      <c r="AC1524" s="35"/>
      <c r="AD1524" s="35"/>
      <c r="AE1524" s="35"/>
      <c r="AF1524" s="35"/>
      <c r="AG1524" s="35"/>
      <c r="AH1524" s="35"/>
      <c r="AI1524" s="35"/>
      <c r="AJ1524" s="35"/>
      <c r="AK1524" s="35"/>
      <c r="AL1524" s="35"/>
      <c r="AM1524" s="35"/>
      <c r="AN1524" s="35"/>
      <c r="AO1524" s="35"/>
      <c r="AP1524" s="35"/>
      <c r="AQ1524" s="35"/>
      <c r="AR1524" s="35"/>
      <c r="AS1524" s="35"/>
      <c r="AT1524" s="35"/>
      <c r="AU1524" s="35"/>
      <c r="AV1524" s="35"/>
      <c r="AW1524" s="35"/>
      <c r="AX1524" s="35"/>
      <c r="AY1524" s="35"/>
      <c r="AZ1524" s="35"/>
      <c r="BA1524" s="35"/>
      <c r="BB1524" s="35"/>
      <c r="BC1524" s="35"/>
      <c r="BD1524" s="35"/>
      <c r="BE1524" s="35"/>
      <c r="BF1524" s="35"/>
      <c r="BG1524" s="35"/>
    </row>
    <row r="1525" ht="15.75" customHeight="1">
      <c r="A1525" s="35"/>
      <c r="B1525" s="35"/>
      <c r="C1525" s="35"/>
      <c r="D1525" s="35"/>
      <c r="E1525" s="35"/>
      <c r="F1525" s="35"/>
      <c r="G1525" s="35"/>
      <c r="H1525" s="35"/>
      <c r="I1525" s="35"/>
      <c r="J1525" s="35"/>
      <c r="K1525" s="35"/>
      <c r="L1525" s="35"/>
      <c r="M1525" s="35"/>
      <c r="N1525" s="35"/>
      <c r="O1525" s="35"/>
      <c r="P1525" s="35"/>
      <c r="Q1525" s="35"/>
      <c r="R1525" s="35"/>
      <c r="S1525" s="35"/>
      <c r="T1525" s="35"/>
      <c r="U1525" s="35"/>
      <c r="V1525" s="35"/>
      <c r="W1525" s="35"/>
      <c r="X1525" s="35"/>
      <c r="Y1525" s="35"/>
      <c r="Z1525" s="35"/>
      <c r="AA1525" s="35"/>
      <c r="AB1525" s="35"/>
      <c r="AC1525" s="35"/>
      <c r="AD1525" s="35"/>
      <c r="AE1525" s="35"/>
      <c r="AF1525" s="35"/>
      <c r="AG1525" s="35"/>
      <c r="AH1525" s="35"/>
      <c r="AI1525" s="35"/>
      <c r="AJ1525" s="35"/>
      <c r="AK1525" s="35"/>
      <c r="AL1525" s="35"/>
      <c r="AM1525" s="35"/>
      <c r="AN1525" s="35"/>
      <c r="AO1525" s="35"/>
      <c r="AP1525" s="35"/>
      <c r="AQ1525" s="35"/>
      <c r="AR1525" s="35"/>
      <c r="AS1525" s="35"/>
      <c r="AT1525" s="35"/>
      <c r="AU1525" s="35"/>
      <c r="AV1525" s="35"/>
      <c r="AW1525" s="35"/>
      <c r="AX1525" s="35"/>
      <c r="AY1525" s="35"/>
      <c r="AZ1525" s="35"/>
      <c r="BA1525" s="35"/>
      <c r="BB1525" s="35"/>
      <c r="BC1525" s="35"/>
      <c r="BD1525" s="35"/>
      <c r="BE1525" s="35"/>
      <c r="BF1525" s="35"/>
      <c r="BG1525" s="35"/>
    </row>
    <row r="1526" ht="15.75" customHeight="1">
      <c r="A1526" s="35"/>
      <c r="B1526" s="35"/>
      <c r="C1526" s="35"/>
      <c r="D1526" s="35"/>
      <c r="E1526" s="35"/>
      <c r="F1526" s="35"/>
      <c r="G1526" s="35"/>
      <c r="H1526" s="35"/>
      <c r="I1526" s="35"/>
      <c r="J1526" s="35"/>
      <c r="K1526" s="35"/>
      <c r="L1526" s="35"/>
      <c r="M1526" s="35"/>
      <c r="N1526" s="35"/>
      <c r="O1526" s="35"/>
      <c r="P1526" s="35"/>
      <c r="Q1526" s="35"/>
      <c r="R1526" s="35"/>
      <c r="S1526" s="35"/>
      <c r="T1526" s="35"/>
      <c r="U1526" s="35"/>
      <c r="V1526" s="35"/>
      <c r="W1526" s="35"/>
      <c r="X1526" s="35"/>
      <c r="Y1526" s="35"/>
      <c r="Z1526" s="35"/>
      <c r="AA1526" s="35"/>
      <c r="AB1526" s="35"/>
      <c r="AC1526" s="35"/>
      <c r="AD1526" s="35"/>
      <c r="AE1526" s="35"/>
      <c r="AF1526" s="35"/>
      <c r="AG1526" s="35"/>
      <c r="AH1526" s="35"/>
      <c r="AI1526" s="35"/>
      <c r="AJ1526" s="35"/>
      <c r="AK1526" s="35"/>
      <c r="AL1526" s="35"/>
      <c r="AM1526" s="35"/>
      <c r="AN1526" s="35"/>
      <c r="AO1526" s="35"/>
      <c r="AP1526" s="35"/>
      <c r="AQ1526" s="35"/>
      <c r="AR1526" s="35"/>
      <c r="AS1526" s="35"/>
      <c r="AT1526" s="35"/>
      <c r="AU1526" s="35"/>
      <c r="AV1526" s="35"/>
      <c r="AW1526" s="35"/>
      <c r="AX1526" s="35"/>
      <c r="AY1526" s="35"/>
      <c r="AZ1526" s="35"/>
      <c r="BA1526" s="35"/>
      <c r="BB1526" s="35"/>
      <c r="BC1526" s="35"/>
      <c r="BD1526" s="35"/>
      <c r="BE1526" s="35"/>
      <c r="BF1526" s="35"/>
      <c r="BG1526" s="35"/>
    </row>
    <row r="1527" ht="15.75" customHeight="1">
      <c r="A1527" s="35"/>
      <c r="B1527" s="35"/>
      <c r="C1527" s="35"/>
      <c r="D1527" s="35"/>
      <c r="E1527" s="35"/>
      <c r="F1527" s="35"/>
      <c r="G1527" s="35"/>
      <c r="H1527" s="35"/>
      <c r="I1527" s="35"/>
      <c r="J1527" s="35"/>
      <c r="K1527" s="35"/>
      <c r="L1527" s="35"/>
      <c r="M1527" s="35"/>
      <c r="N1527" s="35"/>
      <c r="O1527" s="35"/>
      <c r="P1527" s="35"/>
      <c r="Q1527" s="35"/>
      <c r="R1527" s="35"/>
      <c r="S1527" s="35"/>
      <c r="T1527" s="35"/>
      <c r="U1527" s="35"/>
      <c r="V1527" s="35"/>
      <c r="W1527" s="35"/>
      <c r="X1527" s="35"/>
      <c r="Y1527" s="35"/>
      <c r="Z1527" s="35"/>
      <c r="AA1527" s="35"/>
      <c r="AB1527" s="35"/>
      <c r="AC1527" s="35"/>
      <c r="AD1527" s="35"/>
      <c r="AE1527" s="35"/>
      <c r="AF1527" s="35"/>
      <c r="AG1527" s="35"/>
      <c r="AH1527" s="35"/>
      <c r="AI1527" s="35"/>
      <c r="AJ1527" s="35"/>
      <c r="AK1527" s="35"/>
      <c r="AL1527" s="35"/>
      <c r="AM1527" s="35"/>
      <c r="AN1527" s="35"/>
      <c r="AO1527" s="35"/>
      <c r="AP1527" s="35"/>
      <c r="AQ1527" s="35"/>
      <c r="AR1527" s="35"/>
      <c r="AS1527" s="35"/>
      <c r="AT1527" s="35"/>
      <c r="AU1527" s="35"/>
      <c r="AV1527" s="35"/>
      <c r="AW1527" s="35"/>
      <c r="AX1527" s="35"/>
      <c r="AY1527" s="35"/>
      <c r="AZ1527" s="35"/>
      <c r="BA1527" s="35"/>
      <c r="BB1527" s="35"/>
      <c r="BC1527" s="35"/>
      <c r="BD1527" s="35"/>
      <c r="BE1527" s="35"/>
      <c r="BF1527" s="35"/>
      <c r="BG1527" s="35"/>
    </row>
    <row r="1528" ht="15.75" customHeight="1">
      <c r="A1528" s="35"/>
      <c r="B1528" s="35"/>
      <c r="C1528" s="35"/>
      <c r="D1528" s="35"/>
      <c r="E1528" s="35"/>
      <c r="F1528" s="35"/>
      <c r="G1528" s="35"/>
      <c r="H1528" s="35"/>
      <c r="I1528" s="35"/>
      <c r="J1528" s="35"/>
      <c r="K1528" s="35"/>
      <c r="L1528" s="35"/>
      <c r="M1528" s="35"/>
      <c r="N1528" s="35"/>
      <c r="O1528" s="35"/>
      <c r="P1528" s="35"/>
      <c r="Q1528" s="35"/>
      <c r="R1528" s="35"/>
      <c r="S1528" s="35"/>
      <c r="T1528" s="35"/>
      <c r="U1528" s="35"/>
      <c r="V1528" s="35"/>
      <c r="W1528" s="35"/>
      <c r="X1528" s="35"/>
      <c r="Y1528" s="35"/>
      <c r="Z1528" s="35"/>
      <c r="AA1528" s="35"/>
      <c r="AB1528" s="35"/>
      <c r="AC1528" s="35"/>
      <c r="AD1528" s="35"/>
      <c r="AE1528" s="35"/>
      <c r="AF1528" s="35"/>
      <c r="AG1528" s="35"/>
      <c r="AH1528" s="35"/>
      <c r="AI1528" s="35"/>
      <c r="AJ1528" s="35"/>
      <c r="AK1528" s="35"/>
      <c r="AL1528" s="35"/>
      <c r="AM1528" s="35"/>
      <c r="AN1528" s="35"/>
      <c r="AO1528" s="35"/>
      <c r="AP1528" s="35"/>
      <c r="AQ1528" s="35"/>
      <c r="AR1528" s="35"/>
      <c r="AS1528" s="35"/>
      <c r="AT1528" s="35"/>
      <c r="AU1528" s="35"/>
      <c r="AV1528" s="35"/>
      <c r="AW1528" s="35"/>
      <c r="AX1528" s="35"/>
      <c r="AY1528" s="35"/>
      <c r="AZ1528" s="35"/>
      <c r="BA1528" s="35"/>
      <c r="BB1528" s="35"/>
      <c r="BC1528" s="35"/>
      <c r="BD1528" s="35"/>
      <c r="BE1528" s="35"/>
      <c r="BF1528" s="35"/>
      <c r="BG1528" s="35"/>
    </row>
    <row r="1529" ht="15.75" customHeight="1">
      <c r="A1529" s="35"/>
      <c r="B1529" s="35"/>
      <c r="C1529" s="35"/>
      <c r="D1529" s="35"/>
      <c r="E1529" s="35"/>
      <c r="F1529" s="35"/>
      <c r="G1529" s="35"/>
      <c r="H1529" s="35"/>
      <c r="I1529" s="35"/>
      <c r="J1529" s="35"/>
      <c r="K1529" s="35"/>
      <c r="L1529" s="35"/>
      <c r="M1529" s="35"/>
      <c r="N1529" s="35"/>
      <c r="O1529" s="35"/>
      <c r="P1529" s="35"/>
      <c r="Q1529" s="35"/>
      <c r="R1529" s="35"/>
      <c r="S1529" s="35"/>
      <c r="T1529" s="35"/>
      <c r="U1529" s="35"/>
      <c r="V1529" s="35"/>
      <c r="W1529" s="35"/>
      <c r="X1529" s="35"/>
      <c r="Y1529" s="35"/>
      <c r="Z1529" s="35"/>
      <c r="AA1529" s="35"/>
      <c r="AB1529" s="35"/>
      <c r="AC1529" s="35"/>
      <c r="AD1529" s="35"/>
      <c r="AE1529" s="35"/>
      <c r="AF1529" s="35"/>
      <c r="AG1529" s="35"/>
      <c r="AH1529" s="35"/>
      <c r="AI1529" s="35"/>
      <c r="AJ1529" s="35"/>
      <c r="AK1529" s="35"/>
      <c r="AL1529" s="35"/>
      <c r="AM1529" s="35"/>
      <c r="AN1529" s="35"/>
      <c r="AO1529" s="35"/>
      <c r="AP1529" s="35"/>
      <c r="AQ1529" s="35"/>
      <c r="AR1529" s="35"/>
      <c r="AS1529" s="35"/>
      <c r="AT1529" s="35"/>
      <c r="AU1529" s="35"/>
      <c r="AV1529" s="35"/>
      <c r="AW1529" s="35"/>
      <c r="AX1529" s="35"/>
      <c r="AY1529" s="35"/>
      <c r="AZ1529" s="35"/>
      <c r="BA1529" s="35"/>
      <c r="BB1529" s="35"/>
      <c r="BC1529" s="35"/>
      <c r="BD1529" s="35"/>
      <c r="BE1529" s="35"/>
      <c r="BF1529" s="35"/>
      <c r="BG1529" s="35"/>
    </row>
    <row r="1530" ht="15.75" customHeight="1">
      <c r="A1530" s="35"/>
      <c r="B1530" s="35"/>
      <c r="C1530" s="35"/>
      <c r="D1530" s="35"/>
      <c r="E1530" s="35"/>
      <c r="F1530" s="35"/>
      <c r="G1530" s="35"/>
      <c r="H1530" s="35"/>
      <c r="I1530" s="35"/>
      <c r="J1530" s="35"/>
      <c r="K1530" s="35"/>
      <c r="L1530" s="35"/>
      <c r="M1530" s="35"/>
      <c r="N1530" s="35"/>
      <c r="O1530" s="35"/>
      <c r="P1530" s="35"/>
      <c r="Q1530" s="35"/>
      <c r="R1530" s="35"/>
      <c r="S1530" s="35"/>
      <c r="T1530" s="35"/>
      <c r="U1530" s="35"/>
      <c r="V1530" s="35"/>
      <c r="W1530" s="35"/>
      <c r="X1530" s="35"/>
      <c r="Y1530" s="35"/>
      <c r="Z1530" s="35"/>
      <c r="AA1530" s="35"/>
      <c r="AB1530" s="35"/>
      <c r="AC1530" s="35"/>
      <c r="AD1530" s="35"/>
      <c r="AE1530" s="35"/>
      <c r="AF1530" s="35"/>
      <c r="AG1530" s="35"/>
      <c r="AH1530" s="35"/>
      <c r="AI1530" s="35"/>
      <c r="AJ1530" s="35"/>
      <c r="AK1530" s="35"/>
      <c r="AL1530" s="35"/>
      <c r="AM1530" s="35"/>
      <c r="AN1530" s="35"/>
      <c r="AO1530" s="35"/>
      <c r="AP1530" s="35"/>
      <c r="AQ1530" s="35"/>
      <c r="AR1530" s="35"/>
      <c r="AS1530" s="35"/>
      <c r="AT1530" s="35"/>
      <c r="AU1530" s="35"/>
      <c r="AV1530" s="35"/>
      <c r="AW1530" s="35"/>
      <c r="AX1530" s="35"/>
      <c r="AY1530" s="35"/>
      <c r="AZ1530" s="35"/>
      <c r="BA1530" s="35"/>
      <c r="BB1530" s="35"/>
      <c r="BC1530" s="35"/>
      <c r="BD1530" s="35"/>
      <c r="BE1530" s="35"/>
      <c r="BF1530" s="35"/>
      <c r="BG1530" s="35"/>
    </row>
    <row r="1531" ht="15.75" customHeight="1">
      <c r="A1531" s="35"/>
      <c r="B1531" s="35"/>
      <c r="C1531" s="35"/>
      <c r="D1531" s="35"/>
      <c r="E1531" s="35"/>
      <c r="F1531" s="35"/>
      <c r="G1531" s="35"/>
      <c r="H1531" s="35"/>
      <c r="I1531" s="35"/>
      <c r="J1531" s="35"/>
      <c r="K1531" s="35"/>
      <c r="L1531" s="35"/>
      <c r="M1531" s="35"/>
      <c r="N1531" s="35"/>
      <c r="O1531" s="35"/>
      <c r="P1531" s="35"/>
      <c r="Q1531" s="35"/>
      <c r="R1531" s="35"/>
      <c r="S1531" s="35"/>
      <c r="T1531" s="35"/>
      <c r="U1531" s="35"/>
      <c r="V1531" s="35"/>
      <c r="W1531" s="35"/>
      <c r="X1531" s="35"/>
      <c r="Y1531" s="35"/>
      <c r="Z1531" s="35"/>
      <c r="AA1531" s="35"/>
      <c r="AB1531" s="35"/>
      <c r="AC1531" s="35"/>
      <c r="AD1531" s="35"/>
      <c r="AE1531" s="35"/>
      <c r="AF1531" s="35"/>
      <c r="AG1531" s="35"/>
      <c r="AH1531" s="35"/>
      <c r="AI1531" s="35"/>
      <c r="AJ1531" s="35"/>
      <c r="AK1531" s="35"/>
      <c r="AL1531" s="35"/>
      <c r="AM1531" s="35"/>
      <c r="AN1531" s="35"/>
      <c r="AO1531" s="35"/>
      <c r="AP1531" s="35"/>
      <c r="AQ1531" s="35"/>
      <c r="AR1531" s="35"/>
      <c r="AS1531" s="35"/>
      <c r="AT1531" s="35"/>
      <c r="AU1531" s="35"/>
      <c r="AV1531" s="35"/>
      <c r="AW1531" s="35"/>
      <c r="AX1531" s="35"/>
      <c r="AY1531" s="35"/>
      <c r="AZ1531" s="35"/>
      <c r="BA1531" s="35"/>
      <c r="BB1531" s="35"/>
      <c r="BC1531" s="35"/>
      <c r="BD1531" s="35"/>
      <c r="BE1531" s="35"/>
      <c r="BF1531" s="35"/>
      <c r="BG1531" s="35"/>
    </row>
    <row r="1532" ht="15.75" customHeight="1">
      <c r="A1532" s="35"/>
      <c r="B1532" s="35"/>
      <c r="C1532" s="35"/>
      <c r="D1532" s="35"/>
      <c r="E1532" s="35"/>
      <c r="F1532" s="35"/>
      <c r="G1532" s="35"/>
      <c r="H1532" s="35"/>
      <c r="I1532" s="35"/>
      <c r="J1532" s="35"/>
      <c r="K1532" s="35"/>
      <c r="L1532" s="35"/>
      <c r="M1532" s="35"/>
      <c r="N1532" s="35"/>
      <c r="O1532" s="35"/>
      <c r="P1532" s="35"/>
      <c r="Q1532" s="35"/>
      <c r="R1532" s="35"/>
      <c r="S1532" s="35"/>
      <c r="T1532" s="35"/>
      <c r="U1532" s="35"/>
      <c r="V1532" s="35"/>
      <c r="W1532" s="35"/>
      <c r="X1532" s="35"/>
      <c r="Y1532" s="35"/>
      <c r="Z1532" s="35"/>
      <c r="AA1532" s="35"/>
      <c r="AB1532" s="35"/>
      <c r="AC1532" s="35"/>
      <c r="AD1532" s="35"/>
      <c r="AE1532" s="35"/>
      <c r="AF1532" s="35"/>
      <c r="AG1532" s="35"/>
      <c r="AH1532" s="35"/>
      <c r="AI1532" s="35"/>
      <c r="AJ1532" s="35"/>
      <c r="AK1532" s="35"/>
      <c r="AL1532" s="35"/>
      <c r="AM1532" s="35"/>
      <c r="AN1532" s="35"/>
      <c r="AO1532" s="35"/>
      <c r="AP1532" s="35"/>
      <c r="AQ1532" s="35"/>
      <c r="AR1532" s="35"/>
      <c r="AS1532" s="35"/>
      <c r="AT1532" s="35"/>
      <c r="AU1532" s="35"/>
      <c r="AV1532" s="35"/>
      <c r="AW1532" s="35"/>
      <c r="AX1532" s="35"/>
      <c r="AY1532" s="35"/>
      <c r="AZ1532" s="35"/>
      <c r="BA1532" s="35"/>
      <c r="BB1532" s="35"/>
      <c r="BC1532" s="35"/>
      <c r="BD1532" s="35"/>
      <c r="BE1532" s="35"/>
      <c r="BF1532" s="35"/>
      <c r="BG1532" s="35"/>
    </row>
    <row r="1533" ht="15.75" customHeight="1">
      <c r="A1533" s="35"/>
      <c r="B1533" s="35"/>
      <c r="C1533" s="35"/>
      <c r="D1533" s="35"/>
      <c r="E1533" s="35"/>
      <c r="F1533" s="35"/>
      <c r="G1533" s="35"/>
      <c r="H1533" s="35"/>
      <c r="I1533" s="35"/>
      <c r="J1533" s="35"/>
      <c r="K1533" s="35"/>
      <c r="L1533" s="35"/>
      <c r="M1533" s="35"/>
      <c r="N1533" s="35"/>
      <c r="O1533" s="35"/>
      <c r="P1533" s="35"/>
      <c r="Q1533" s="35"/>
      <c r="R1533" s="35"/>
      <c r="S1533" s="35"/>
      <c r="T1533" s="35"/>
      <c r="U1533" s="35"/>
      <c r="V1533" s="35"/>
      <c r="W1533" s="35"/>
      <c r="X1533" s="35"/>
      <c r="Y1533" s="35"/>
      <c r="Z1533" s="35"/>
      <c r="AA1533" s="35"/>
      <c r="AB1533" s="35"/>
      <c r="AC1533" s="35"/>
      <c r="AD1533" s="35"/>
      <c r="AE1533" s="35"/>
      <c r="AF1533" s="35"/>
      <c r="AG1533" s="35"/>
      <c r="AH1533" s="35"/>
      <c r="AI1533" s="35"/>
      <c r="AJ1533" s="35"/>
      <c r="AK1533" s="35"/>
      <c r="AL1533" s="35"/>
      <c r="AM1533" s="35"/>
      <c r="AN1533" s="35"/>
      <c r="AO1533" s="35"/>
      <c r="AP1533" s="35"/>
      <c r="AQ1533" s="35"/>
      <c r="AR1533" s="35"/>
      <c r="AS1533" s="35"/>
      <c r="AT1533" s="35"/>
      <c r="AU1533" s="35"/>
      <c r="AV1533" s="35"/>
      <c r="AW1533" s="35"/>
      <c r="AX1533" s="35"/>
      <c r="AY1533" s="35"/>
      <c r="AZ1533" s="35"/>
      <c r="BA1533" s="35"/>
      <c r="BB1533" s="35"/>
      <c r="BC1533" s="35"/>
      <c r="BD1533" s="35"/>
      <c r="BE1533" s="35"/>
      <c r="BF1533" s="35"/>
      <c r="BG1533" s="35"/>
    </row>
    <row r="1534" ht="15.75" customHeight="1">
      <c r="A1534" s="35"/>
      <c r="B1534" s="35"/>
      <c r="C1534" s="35"/>
      <c r="D1534" s="35"/>
      <c r="E1534" s="35"/>
      <c r="F1534" s="35"/>
      <c r="G1534" s="35"/>
      <c r="H1534" s="35"/>
      <c r="I1534" s="35"/>
      <c r="J1534" s="35"/>
      <c r="K1534" s="35"/>
      <c r="L1534" s="35"/>
      <c r="M1534" s="35"/>
      <c r="N1534" s="35"/>
      <c r="O1534" s="35"/>
      <c r="P1534" s="35"/>
      <c r="Q1534" s="35"/>
      <c r="R1534" s="35"/>
      <c r="S1534" s="35"/>
      <c r="T1534" s="35"/>
      <c r="U1534" s="35"/>
      <c r="V1534" s="35"/>
      <c r="W1534" s="35"/>
      <c r="X1534" s="35"/>
      <c r="Y1534" s="35"/>
      <c r="Z1534" s="35"/>
      <c r="AA1534" s="35"/>
      <c r="AB1534" s="35"/>
      <c r="AC1534" s="35"/>
      <c r="AD1534" s="35"/>
      <c r="AE1534" s="35"/>
      <c r="AF1534" s="35"/>
      <c r="AG1534" s="35"/>
      <c r="AH1534" s="35"/>
      <c r="AI1534" s="35"/>
      <c r="AJ1534" s="35"/>
      <c r="AK1534" s="35"/>
      <c r="AL1534" s="35"/>
      <c r="AM1534" s="35"/>
      <c r="AN1534" s="35"/>
      <c r="AO1534" s="35"/>
      <c r="AP1534" s="35"/>
      <c r="AQ1534" s="35"/>
      <c r="AR1534" s="35"/>
      <c r="AS1534" s="35"/>
      <c r="AT1534" s="35"/>
      <c r="AU1534" s="35"/>
      <c r="AV1534" s="35"/>
      <c r="AW1534" s="35"/>
      <c r="AX1534" s="35"/>
      <c r="AY1534" s="35"/>
      <c r="AZ1534" s="35"/>
      <c r="BA1534" s="35"/>
      <c r="BB1534" s="35"/>
      <c r="BC1534" s="35"/>
      <c r="BD1534" s="35"/>
      <c r="BE1534" s="35"/>
      <c r="BF1534" s="35"/>
      <c r="BG1534" s="35"/>
    </row>
    <row r="1535" ht="15.75" customHeight="1">
      <c r="A1535" s="35"/>
      <c r="B1535" s="35"/>
      <c r="C1535" s="35"/>
      <c r="D1535" s="35"/>
      <c r="E1535" s="35"/>
      <c r="F1535" s="35"/>
      <c r="G1535" s="35"/>
      <c r="H1535" s="35"/>
      <c r="I1535" s="35"/>
      <c r="J1535" s="35"/>
      <c r="K1535" s="35"/>
      <c r="L1535" s="35"/>
      <c r="M1535" s="35"/>
      <c r="N1535" s="35"/>
      <c r="O1535" s="35"/>
      <c r="P1535" s="35"/>
      <c r="Q1535" s="35"/>
      <c r="R1535" s="35"/>
      <c r="S1535" s="35"/>
      <c r="T1535" s="35"/>
      <c r="U1535" s="35"/>
      <c r="V1535" s="35"/>
      <c r="W1535" s="35"/>
      <c r="X1535" s="35"/>
      <c r="Y1535" s="35"/>
      <c r="Z1535" s="35"/>
      <c r="AA1535" s="35"/>
      <c r="AB1535" s="35"/>
      <c r="AC1535" s="35"/>
      <c r="AD1535" s="35"/>
      <c r="AE1535" s="35"/>
      <c r="AF1535" s="35"/>
      <c r="AG1535" s="35"/>
      <c r="AH1535" s="35"/>
      <c r="AI1535" s="35"/>
      <c r="AJ1535" s="35"/>
      <c r="AK1535" s="35"/>
      <c r="AL1535" s="35"/>
      <c r="AM1535" s="35"/>
      <c r="AN1535" s="35"/>
      <c r="AO1535" s="35"/>
      <c r="AP1535" s="35"/>
      <c r="AQ1535" s="35"/>
      <c r="AR1535" s="35"/>
      <c r="AS1535" s="35"/>
      <c r="AT1535" s="35"/>
      <c r="AU1535" s="35"/>
      <c r="AV1535" s="35"/>
      <c r="AW1535" s="35"/>
      <c r="AX1535" s="35"/>
      <c r="AY1535" s="35"/>
      <c r="AZ1535" s="35"/>
      <c r="BA1535" s="35"/>
      <c r="BB1535" s="35"/>
      <c r="BC1535" s="35"/>
      <c r="BD1535" s="35"/>
      <c r="BE1535" s="35"/>
      <c r="BF1535" s="35"/>
      <c r="BG1535" s="35"/>
    </row>
    <row r="1536" ht="15.75" customHeight="1">
      <c r="A1536" s="35"/>
      <c r="B1536" s="35"/>
      <c r="C1536" s="35"/>
      <c r="D1536" s="35"/>
      <c r="E1536" s="35"/>
      <c r="F1536" s="35"/>
      <c r="G1536" s="35"/>
      <c r="H1536" s="35"/>
      <c r="I1536" s="35"/>
      <c r="J1536" s="35"/>
      <c r="K1536" s="35"/>
      <c r="L1536" s="35"/>
      <c r="M1536" s="35"/>
      <c r="N1536" s="35"/>
      <c r="O1536" s="35"/>
      <c r="P1536" s="35"/>
      <c r="Q1536" s="35"/>
      <c r="R1536" s="35"/>
      <c r="S1536" s="35"/>
      <c r="T1536" s="35"/>
      <c r="U1536" s="35"/>
      <c r="V1536" s="35"/>
      <c r="W1536" s="35"/>
      <c r="X1536" s="35"/>
      <c r="Y1536" s="35"/>
      <c r="Z1536" s="35"/>
      <c r="AA1536" s="35"/>
      <c r="AB1536" s="35"/>
      <c r="AC1536" s="35"/>
      <c r="AD1536" s="35"/>
      <c r="AE1536" s="35"/>
      <c r="AF1536" s="35"/>
      <c r="AG1536" s="35"/>
      <c r="AH1536" s="35"/>
      <c r="AI1536" s="35"/>
      <c r="AJ1536" s="35"/>
      <c r="AK1536" s="35"/>
      <c r="AL1536" s="35"/>
      <c r="AM1536" s="35"/>
      <c r="AN1536" s="35"/>
      <c r="AO1536" s="35"/>
      <c r="AP1536" s="35"/>
      <c r="AQ1536" s="35"/>
      <c r="AR1536" s="35"/>
      <c r="AS1536" s="35"/>
      <c r="AT1536" s="35"/>
      <c r="AU1536" s="35"/>
      <c r="AV1536" s="35"/>
      <c r="AW1536" s="35"/>
      <c r="AX1536" s="35"/>
      <c r="AY1536" s="35"/>
      <c r="AZ1536" s="35"/>
      <c r="BA1536" s="35"/>
      <c r="BB1536" s="35"/>
      <c r="BC1536" s="35"/>
      <c r="BD1536" s="35"/>
      <c r="BE1536" s="35"/>
      <c r="BF1536" s="35"/>
      <c r="BG1536" s="35"/>
    </row>
    <row r="1537" ht="15.75" customHeight="1">
      <c r="A1537" s="35"/>
      <c r="B1537" s="35"/>
      <c r="C1537" s="35"/>
      <c r="D1537" s="35"/>
      <c r="E1537" s="35"/>
      <c r="F1537" s="35"/>
      <c r="G1537" s="35"/>
      <c r="H1537" s="35"/>
      <c r="I1537" s="35"/>
      <c r="J1537" s="35"/>
      <c r="K1537" s="35"/>
      <c r="L1537" s="35"/>
      <c r="M1537" s="35"/>
      <c r="N1537" s="35"/>
      <c r="O1537" s="35"/>
      <c r="P1537" s="35"/>
      <c r="Q1537" s="35"/>
      <c r="R1537" s="35"/>
      <c r="S1537" s="35"/>
      <c r="T1537" s="35"/>
      <c r="U1537" s="35"/>
      <c r="V1537" s="35"/>
      <c r="W1537" s="35"/>
      <c r="X1537" s="35"/>
      <c r="Y1537" s="35"/>
      <c r="Z1537" s="35"/>
      <c r="AA1537" s="35"/>
      <c r="AB1537" s="35"/>
      <c r="AC1537" s="35"/>
      <c r="AD1537" s="35"/>
      <c r="AE1537" s="35"/>
      <c r="AF1537" s="35"/>
      <c r="AG1537" s="35"/>
      <c r="AH1537" s="35"/>
      <c r="AI1537" s="35"/>
      <c r="AJ1537" s="35"/>
      <c r="AK1537" s="35"/>
      <c r="AL1537" s="35"/>
      <c r="AM1537" s="35"/>
      <c r="AN1537" s="35"/>
      <c r="AO1537" s="35"/>
      <c r="AP1537" s="35"/>
      <c r="AQ1537" s="35"/>
      <c r="AR1537" s="35"/>
      <c r="AS1537" s="35"/>
      <c r="AT1537" s="35"/>
      <c r="AU1537" s="35"/>
      <c r="AV1537" s="35"/>
      <c r="AW1537" s="35"/>
      <c r="AX1537" s="35"/>
      <c r="AY1537" s="35"/>
      <c r="AZ1537" s="35"/>
      <c r="BA1537" s="35"/>
      <c r="BB1537" s="35"/>
      <c r="BC1537" s="35"/>
      <c r="BD1537" s="35"/>
      <c r="BE1537" s="35"/>
      <c r="BF1537" s="35"/>
      <c r="BG1537" s="35"/>
    </row>
    <row r="1538" ht="15.75" customHeight="1">
      <c r="A1538" s="35"/>
      <c r="B1538" s="35"/>
      <c r="C1538" s="35"/>
      <c r="D1538" s="35"/>
      <c r="E1538" s="35"/>
      <c r="F1538" s="35"/>
      <c r="G1538" s="35"/>
      <c r="H1538" s="35"/>
      <c r="I1538" s="35"/>
      <c r="J1538" s="35"/>
      <c r="K1538" s="35"/>
      <c r="L1538" s="35"/>
      <c r="M1538" s="35"/>
      <c r="N1538" s="35"/>
      <c r="O1538" s="35"/>
      <c r="P1538" s="35"/>
      <c r="Q1538" s="35"/>
      <c r="R1538" s="35"/>
      <c r="S1538" s="35"/>
      <c r="T1538" s="35"/>
      <c r="U1538" s="35"/>
      <c r="V1538" s="35"/>
      <c r="W1538" s="35"/>
      <c r="X1538" s="35"/>
      <c r="Y1538" s="35"/>
      <c r="Z1538" s="35"/>
      <c r="AA1538" s="35"/>
      <c r="AB1538" s="35"/>
      <c r="AC1538" s="35"/>
      <c r="AD1538" s="35"/>
      <c r="AE1538" s="35"/>
      <c r="AF1538" s="35"/>
      <c r="AG1538" s="35"/>
      <c r="AH1538" s="35"/>
      <c r="AI1538" s="35"/>
      <c r="AJ1538" s="35"/>
      <c r="AK1538" s="35"/>
      <c r="AL1538" s="35"/>
      <c r="AM1538" s="35"/>
      <c r="AN1538" s="35"/>
      <c r="AO1538" s="35"/>
      <c r="AP1538" s="35"/>
      <c r="AQ1538" s="35"/>
      <c r="AR1538" s="35"/>
      <c r="AS1538" s="35"/>
      <c r="AT1538" s="35"/>
      <c r="AU1538" s="35"/>
      <c r="AV1538" s="35"/>
      <c r="AW1538" s="35"/>
      <c r="AX1538" s="35"/>
      <c r="AY1538" s="35"/>
      <c r="AZ1538" s="35"/>
      <c r="BA1538" s="35"/>
      <c r="BB1538" s="35"/>
      <c r="BC1538" s="35"/>
      <c r="BD1538" s="35"/>
      <c r="BE1538" s="35"/>
      <c r="BF1538" s="35"/>
      <c r="BG1538" s="35"/>
    </row>
    <row r="1539" ht="15.75" customHeight="1">
      <c r="A1539" s="35"/>
      <c r="B1539" s="35"/>
      <c r="C1539" s="35"/>
      <c r="D1539" s="35"/>
      <c r="E1539" s="35"/>
      <c r="F1539" s="35"/>
      <c r="G1539" s="35"/>
      <c r="H1539" s="35"/>
      <c r="I1539" s="35"/>
      <c r="J1539" s="35"/>
      <c r="K1539" s="35"/>
      <c r="L1539" s="35"/>
      <c r="M1539" s="35"/>
      <c r="N1539" s="35"/>
      <c r="O1539" s="35"/>
      <c r="P1539" s="35"/>
      <c r="Q1539" s="35"/>
      <c r="R1539" s="35"/>
      <c r="S1539" s="35"/>
      <c r="T1539" s="35"/>
      <c r="U1539" s="35"/>
      <c r="V1539" s="35"/>
      <c r="W1539" s="35"/>
      <c r="X1539" s="35"/>
      <c r="Y1539" s="35"/>
      <c r="Z1539" s="35"/>
      <c r="AA1539" s="35"/>
      <c r="AB1539" s="35"/>
      <c r="AC1539" s="35"/>
      <c r="AD1539" s="35"/>
      <c r="AE1539" s="35"/>
      <c r="AF1539" s="35"/>
      <c r="AG1539" s="35"/>
      <c r="AH1539" s="35"/>
      <c r="AI1539" s="35"/>
      <c r="AJ1539" s="35"/>
      <c r="AK1539" s="35"/>
      <c r="AL1539" s="35"/>
      <c r="AM1539" s="35"/>
      <c r="AN1539" s="35"/>
      <c r="AO1539" s="35"/>
      <c r="AP1539" s="35"/>
      <c r="AQ1539" s="35"/>
      <c r="AR1539" s="35"/>
      <c r="AS1539" s="35"/>
      <c r="AT1539" s="35"/>
      <c r="AU1539" s="35"/>
      <c r="AV1539" s="35"/>
      <c r="AW1539" s="35"/>
      <c r="AX1539" s="35"/>
      <c r="AY1539" s="35"/>
      <c r="AZ1539" s="35"/>
      <c r="BA1539" s="35"/>
      <c r="BB1539" s="35"/>
      <c r="BC1539" s="35"/>
      <c r="BD1539" s="35"/>
      <c r="BE1539" s="35"/>
      <c r="BF1539" s="35"/>
      <c r="BG1539" s="35"/>
    </row>
    <row r="1540" ht="15.75" customHeight="1">
      <c r="A1540" s="35"/>
      <c r="B1540" s="35"/>
      <c r="C1540" s="35"/>
      <c r="D1540" s="35"/>
      <c r="E1540" s="35"/>
      <c r="F1540" s="35"/>
      <c r="G1540" s="35"/>
      <c r="H1540" s="35"/>
      <c r="I1540" s="35"/>
      <c r="J1540" s="35"/>
      <c r="K1540" s="35"/>
      <c r="L1540" s="35"/>
      <c r="M1540" s="35"/>
      <c r="N1540" s="35"/>
      <c r="O1540" s="35"/>
      <c r="P1540" s="35"/>
      <c r="Q1540" s="35"/>
      <c r="R1540" s="35"/>
      <c r="S1540" s="35"/>
      <c r="T1540" s="35"/>
      <c r="U1540" s="35"/>
      <c r="V1540" s="35"/>
      <c r="W1540" s="35"/>
      <c r="X1540" s="35"/>
      <c r="Y1540" s="35"/>
      <c r="Z1540" s="35"/>
      <c r="AA1540" s="35"/>
      <c r="AB1540" s="35"/>
      <c r="AC1540" s="35"/>
      <c r="AD1540" s="35"/>
      <c r="AE1540" s="35"/>
      <c r="AF1540" s="35"/>
      <c r="AG1540" s="35"/>
      <c r="AH1540" s="35"/>
      <c r="AI1540" s="35"/>
      <c r="AJ1540" s="35"/>
      <c r="AK1540" s="35"/>
      <c r="AL1540" s="35"/>
      <c r="AM1540" s="35"/>
      <c r="AN1540" s="35"/>
      <c r="AO1540" s="35"/>
      <c r="AP1540" s="35"/>
      <c r="AQ1540" s="35"/>
      <c r="AR1540" s="35"/>
      <c r="AS1540" s="35"/>
      <c r="AT1540" s="35"/>
      <c r="AU1540" s="35"/>
      <c r="AV1540" s="35"/>
      <c r="AW1540" s="35"/>
      <c r="AX1540" s="35"/>
      <c r="AY1540" s="35"/>
      <c r="AZ1540" s="35"/>
      <c r="BA1540" s="35"/>
      <c r="BB1540" s="35"/>
      <c r="BC1540" s="35"/>
      <c r="BD1540" s="35"/>
      <c r="BE1540" s="35"/>
      <c r="BF1540" s="35"/>
      <c r="BG1540" s="35"/>
    </row>
    <row r="1541" ht="15.75" customHeight="1">
      <c r="A1541" s="35"/>
      <c r="B1541" s="35"/>
      <c r="C1541" s="35"/>
      <c r="D1541" s="35"/>
      <c r="E1541" s="35"/>
      <c r="F1541" s="35"/>
      <c r="G1541" s="35"/>
      <c r="H1541" s="35"/>
      <c r="I1541" s="35"/>
      <c r="J1541" s="35"/>
      <c r="K1541" s="35"/>
      <c r="L1541" s="35"/>
      <c r="M1541" s="35"/>
      <c r="N1541" s="35"/>
      <c r="O1541" s="35"/>
      <c r="P1541" s="35"/>
      <c r="Q1541" s="35"/>
      <c r="R1541" s="35"/>
      <c r="S1541" s="35"/>
      <c r="T1541" s="35"/>
      <c r="U1541" s="35"/>
      <c r="V1541" s="35"/>
      <c r="W1541" s="35"/>
      <c r="X1541" s="35"/>
      <c r="Y1541" s="35"/>
      <c r="Z1541" s="35"/>
      <c r="AA1541" s="35"/>
      <c r="AB1541" s="35"/>
      <c r="AC1541" s="35"/>
      <c r="AD1541" s="35"/>
      <c r="AE1541" s="35"/>
      <c r="AF1541" s="35"/>
      <c r="AG1541" s="35"/>
      <c r="AH1541" s="35"/>
      <c r="AI1541" s="35"/>
      <c r="AJ1541" s="35"/>
      <c r="AK1541" s="35"/>
      <c r="AL1541" s="35"/>
      <c r="AM1541" s="35"/>
      <c r="AN1541" s="35"/>
      <c r="AO1541" s="35"/>
      <c r="AP1541" s="35"/>
      <c r="AQ1541" s="35"/>
      <c r="AR1541" s="35"/>
      <c r="AS1541" s="35"/>
      <c r="AT1541" s="35"/>
      <c r="AU1541" s="35"/>
      <c r="AV1541" s="35"/>
      <c r="AW1541" s="35"/>
      <c r="AX1541" s="35"/>
      <c r="AY1541" s="35"/>
      <c r="AZ1541" s="35"/>
      <c r="BA1541" s="35"/>
      <c r="BB1541" s="35"/>
      <c r="BC1541" s="35"/>
      <c r="BD1541" s="35"/>
      <c r="BE1541" s="35"/>
      <c r="BF1541" s="35"/>
      <c r="BG1541" s="35"/>
    </row>
    <row r="1542" ht="15.75" customHeight="1">
      <c r="A1542" s="35"/>
      <c r="B1542" s="35"/>
      <c r="C1542" s="35"/>
      <c r="D1542" s="35"/>
      <c r="E1542" s="35"/>
      <c r="F1542" s="35"/>
      <c r="G1542" s="35"/>
      <c r="H1542" s="35"/>
      <c r="I1542" s="35"/>
      <c r="J1542" s="35"/>
      <c r="K1542" s="35"/>
      <c r="L1542" s="35"/>
      <c r="M1542" s="35"/>
      <c r="N1542" s="35"/>
      <c r="O1542" s="35"/>
      <c r="P1542" s="35"/>
      <c r="Q1542" s="35"/>
      <c r="R1542" s="35"/>
      <c r="S1542" s="35"/>
      <c r="T1542" s="35"/>
      <c r="U1542" s="35"/>
      <c r="V1542" s="35"/>
      <c r="W1542" s="35"/>
      <c r="X1542" s="35"/>
      <c r="Y1542" s="35"/>
      <c r="Z1542" s="35"/>
      <c r="AA1542" s="35"/>
      <c r="AB1542" s="35"/>
      <c r="AC1542" s="35"/>
      <c r="AD1542" s="35"/>
      <c r="AE1542" s="35"/>
      <c r="AF1542" s="35"/>
      <c r="AG1542" s="35"/>
      <c r="AH1542" s="35"/>
      <c r="AI1542" s="35"/>
      <c r="AJ1542" s="35"/>
      <c r="AK1542" s="35"/>
      <c r="AL1542" s="35"/>
      <c r="AM1542" s="35"/>
      <c r="AN1542" s="35"/>
      <c r="AO1542" s="35"/>
      <c r="AP1542" s="35"/>
      <c r="AQ1542" s="35"/>
      <c r="AR1542" s="35"/>
      <c r="AS1542" s="35"/>
      <c r="AT1542" s="35"/>
      <c r="AU1542" s="35"/>
      <c r="AV1542" s="35"/>
      <c r="AW1542" s="35"/>
      <c r="AX1542" s="35"/>
      <c r="AY1542" s="35"/>
      <c r="AZ1542" s="35"/>
      <c r="BA1542" s="35"/>
      <c r="BB1542" s="35"/>
      <c r="BC1542" s="35"/>
      <c r="BD1542" s="35"/>
      <c r="BE1542" s="35"/>
      <c r="BF1542" s="35"/>
      <c r="BG1542" s="35"/>
    </row>
    <row r="1543" ht="15.75" customHeight="1">
      <c r="A1543" s="35"/>
      <c r="B1543" s="35"/>
      <c r="C1543" s="35"/>
      <c r="D1543" s="35"/>
      <c r="E1543" s="35"/>
      <c r="F1543" s="35"/>
      <c r="G1543" s="35"/>
      <c r="H1543" s="35"/>
      <c r="I1543" s="35"/>
      <c r="J1543" s="35"/>
      <c r="K1543" s="35"/>
      <c r="L1543" s="35"/>
      <c r="M1543" s="35"/>
      <c r="N1543" s="35"/>
      <c r="O1543" s="35"/>
      <c r="P1543" s="35"/>
      <c r="Q1543" s="35"/>
      <c r="R1543" s="35"/>
      <c r="S1543" s="35"/>
      <c r="T1543" s="35"/>
      <c r="U1543" s="35"/>
      <c r="V1543" s="35"/>
      <c r="W1543" s="35"/>
      <c r="X1543" s="35"/>
      <c r="Y1543" s="35"/>
      <c r="Z1543" s="35"/>
      <c r="AA1543" s="35"/>
      <c r="AB1543" s="35"/>
      <c r="AC1543" s="35"/>
      <c r="AD1543" s="35"/>
      <c r="AE1543" s="35"/>
      <c r="AF1543" s="35"/>
      <c r="AG1543" s="35"/>
      <c r="AH1543" s="35"/>
      <c r="AI1543" s="35"/>
      <c r="AJ1543" s="35"/>
      <c r="AK1543" s="35"/>
      <c r="AL1543" s="35"/>
      <c r="AM1543" s="35"/>
      <c r="AN1543" s="35"/>
      <c r="AO1543" s="35"/>
      <c r="AP1543" s="35"/>
      <c r="AQ1543" s="35"/>
      <c r="AR1543" s="35"/>
      <c r="AS1543" s="35"/>
      <c r="AT1543" s="35"/>
      <c r="AU1543" s="35"/>
      <c r="AV1543" s="35"/>
      <c r="AW1543" s="35"/>
      <c r="AX1543" s="35"/>
      <c r="AY1543" s="35"/>
      <c r="AZ1543" s="35"/>
      <c r="BA1543" s="35"/>
      <c r="BB1543" s="35"/>
      <c r="BC1543" s="35"/>
      <c r="BD1543" s="35"/>
      <c r="BE1543" s="35"/>
      <c r="BF1543" s="35"/>
      <c r="BG1543" s="35"/>
    </row>
    <row r="1544" ht="15.75" customHeight="1">
      <c r="A1544" s="35"/>
      <c r="B1544" s="35"/>
      <c r="C1544" s="35"/>
      <c r="D1544" s="35"/>
      <c r="E1544" s="35"/>
      <c r="F1544" s="35"/>
      <c r="G1544" s="35"/>
      <c r="H1544" s="35"/>
      <c r="I1544" s="35"/>
      <c r="J1544" s="35"/>
      <c r="K1544" s="35"/>
      <c r="L1544" s="35"/>
      <c r="M1544" s="35"/>
      <c r="N1544" s="35"/>
      <c r="O1544" s="35"/>
      <c r="P1544" s="35"/>
      <c r="Q1544" s="35"/>
      <c r="R1544" s="35"/>
      <c r="S1544" s="35"/>
      <c r="T1544" s="35"/>
      <c r="U1544" s="35"/>
      <c r="V1544" s="35"/>
      <c r="W1544" s="35"/>
      <c r="X1544" s="35"/>
      <c r="Y1544" s="35"/>
      <c r="Z1544" s="35"/>
      <c r="AA1544" s="35"/>
      <c r="AB1544" s="35"/>
      <c r="AC1544" s="35"/>
      <c r="AD1544" s="35"/>
      <c r="AE1544" s="35"/>
      <c r="AF1544" s="35"/>
      <c r="AG1544" s="35"/>
      <c r="AH1544" s="35"/>
      <c r="AI1544" s="35"/>
      <c r="AJ1544" s="35"/>
      <c r="AK1544" s="35"/>
      <c r="AL1544" s="35"/>
      <c r="AM1544" s="35"/>
      <c r="AN1544" s="35"/>
      <c r="AO1544" s="35"/>
      <c r="AP1544" s="35"/>
      <c r="AQ1544" s="35"/>
      <c r="AR1544" s="35"/>
      <c r="AS1544" s="35"/>
      <c r="AT1544" s="35"/>
      <c r="AU1544" s="35"/>
      <c r="AV1544" s="35"/>
      <c r="AW1544" s="35"/>
      <c r="AX1544" s="35"/>
      <c r="AY1544" s="35"/>
      <c r="AZ1544" s="35"/>
      <c r="BA1544" s="35"/>
      <c r="BB1544" s="35"/>
      <c r="BC1544" s="35"/>
      <c r="BD1544" s="35"/>
      <c r="BE1544" s="35"/>
      <c r="BF1544" s="35"/>
      <c r="BG1544" s="35"/>
    </row>
    <row r="1545" ht="15.75" customHeight="1">
      <c r="A1545" s="35"/>
      <c r="B1545" s="35"/>
      <c r="C1545" s="35"/>
      <c r="D1545" s="35"/>
      <c r="E1545" s="35"/>
      <c r="F1545" s="35"/>
      <c r="G1545" s="35"/>
      <c r="H1545" s="35"/>
      <c r="I1545" s="35"/>
      <c r="J1545" s="35"/>
      <c r="K1545" s="35"/>
      <c r="L1545" s="35"/>
      <c r="M1545" s="35"/>
      <c r="N1545" s="35"/>
      <c r="O1545" s="35"/>
      <c r="P1545" s="35"/>
      <c r="Q1545" s="35"/>
      <c r="R1545" s="35"/>
      <c r="S1545" s="35"/>
      <c r="T1545" s="35"/>
      <c r="U1545" s="35"/>
      <c r="V1545" s="35"/>
      <c r="W1545" s="35"/>
      <c r="X1545" s="35"/>
      <c r="Y1545" s="35"/>
      <c r="Z1545" s="35"/>
      <c r="AA1545" s="35"/>
      <c r="AB1545" s="35"/>
      <c r="AC1545" s="35"/>
      <c r="AD1545" s="35"/>
      <c r="AE1545" s="35"/>
      <c r="AF1545" s="35"/>
      <c r="AG1545" s="35"/>
      <c r="AH1545" s="35"/>
      <c r="AI1545" s="35"/>
      <c r="AJ1545" s="35"/>
      <c r="AK1545" s="35"/>
      <c r="AL1545" s="35"/>
      <c r="AM1545" s="35"/>
      <c r="AN1545" s="35"/>
      <c r="AO1545" s="35"/>
      <c r="AP1545" s="35"/>
      <c r="AQ1545" s="35"/>
      <c r="AR1545" s="35"/>
      <c r="AS1545" s="35"/>
      <c r="AT1545" s="35"/>
      <c r="AU1545" s="35"/>
      <c r="AV1545" s="35"/>
      <c r="AW1545" s="35"/>
      <c r="AX1545" s="35"/>
      <c r="AY1545" s="35"/>
      <c r="AZ1545" s="35"/>
      <c r="BA1545" s="35"/>
      <c r="BB1545" s="35"/>
      <c r="BC1545" s="35"/>
      <c r="BD1545" s="35"/>
      <c r="BE1545" s="35"/>
      <c r="BF1545" s="35"/>
      <c r="BG1545" s="35"/>
    </row>
    <row r="1546" ht="15.75" customHeight="1">
      <c r="A1546" s="35"/>
      <c r="B1546" s="35"/>
      <c r="C1546" s="35"/>
      <c r="D1546" s="35"/>
      <c r="E1546" s="35"/>
      <c r="F1546" s="35"/>
      <c r="G1546" s="35"/>
      <c r="H1546" s="35"/>
      <c r="I1546" s="35"/>
      <c r="J1546" s="35"/>
      <c r="K1546" s="35"/>
      <c r="L1546" s="35"/>
      <c r="M1546" s="35"/>
      <c r="N1546" s="35"/>
      <c r="O1546" s="35"/>
      <c r="P1546" s="35"/>
      <c r="Q1546" s="35"/>
      <c r="R1546" s="35"/>
      <c r="S1546" s="35"/>
      <c r="T1546" s="35"/>
      <c r="U1546" s="35"/>
      <c r="V1546" s="35"/>
      <c r="W1546" s="35"/>
      <c r="X1546" s="35"/>
      <c r="Y1546" s="35"/>
      <c r="Z1546" s="35"/>
      <c r="AA1546" s="35"/>
      <c r="AB1546" s="35"/>
      <c r="AC1546" s="35"/>
      <c r="AD1546" s="35"/>
      <c r="AE1546" s="35"/>
      <c r="AF1546" s="35"/>
      <c r="AG1546" s="35"/>
      <c r="AH1546" s="35"/>
      <c r="AI1546" s="35"/>
      <c r="AJ1546" s="35"/>
      <c r="AK1546" s="35"/>
      <c r="AL1546" s="35"/>
      <c r="AM1546" s="35"/>
      <c r="AN1546" s="35"/>
      <c r="AO1546" s="35"/>
      <c r="AP1546" s="35"/>
      <c r="AQ1546" s="35"/>
      <c r="AR1546" s="35"/>
      <c r="AS1546" s="35"/>
      <c r="AT1546" s="35"/>
      <c r="AU1546" s="35"/>
      <c r="AV1546" s="35"/>
      <c r="AW1546" s="35"/>
      <c r="AX1546" s="35"/>
      <c r="AY1546" s="35"/>
      <c r="AZ1546" s="35"/>
      <c r="BA1546" s="35"/>
      <c r="BB1546" s="35"/>
      <c r="BC1546" s="35"/>
      <c r="BD1546" s="35"/>
      <c r="BE1546" s="35"/>
      <c r="BF1546" s="35"/>
      <c r="BG1546" s="35"/>
    </row>
    <row r="1547" ht="15.75" customHeight="1">
      <c r="A1547" s="35"/>
      <c r="B1547" s="35"/>
      <c r="C1547" s="35"/>
      <c r="D1547" s="35"/>
      <c r="E1547" s="35"/>
      <c r="F1547" s="35"/>
      <c r="G1547" s="35"/>
      <c r="H1547" s="35"/>
      <c r="I1547" s="35"/>
      <c r="J1547" s="35"/>
      <c r="K1547" s="35"/>
      <c r="L1547" s="35"/>
      <c r="M1547" s="35"/>
      <c r="N1547" s="35"/>
      <c r="O1547" s="35"/>
      <c r="P1547" s="35"/>
      <c r="Q1547" s="35"/>
      <c r="R1547" s="35"/>
      <c r="S1547" s="35"/>
      <c r="T1547" s="35"/>
      <c r="U1547" s="35"/>
      <c r="V1547" s="35"/>
      <c r="W1547" s="35"/>
      <c r="X1547" s="35"/>
      <c r="Y1547" s="35"/>
      <c r="Z1547" s="35"/>
      <c r="AA1547" s="35"/>
      <c r="AB1547" s="35"/>
      <c r="AC1547" s="35"/>
      <c r="AD1547" s="35"/>
      <c r="AE1547" s="35"/>
      <c r="AF1547" s="35"/>
      <c r="AG1547" s="35"/>
      <c r="AH1547" s="35"/>
      <c r="AI1547" s="35"/>
      <c r="AJ1547" s="35"/>
      <c r="AK1547" s="35"/>
      <c r="AL1547" s="35"/>
      <c r="AM1547" s="35"/>
      <c r="AN1547" s="35"/>
      <c r="AO1547" s="35"/>
      <c r="AP1547" s="35"/>
      <c r="AQ1547" s="35"/>
      <c r="AR1547" s="35"/>
      <c r="AS1547" s="35"/>
      <c r="AT1547" s="35"/>
      <c r="AU1547" s="35"/>
      <c r="AV1547" s="35"/>
      <c r="AW1547" s="35"/>
      <c r="AX1547" s="35"/>
      <c r="AY1547" s="35"/>
      <c r="AZ1547" s="35"/>
      <c r="BA1547" s="35"/>
      <c r="BB1547" s="35"/>
      <c r="BC1547" s="35"/>
      <c r="BD1547" s="35"/>
      <c r="BE1547" s="35"/>
      <c r="BF1547" s="35"/>
      <c r="BG1547" s="35"/>
    </row>
    <row r="1548" ht="15.75" customHeight="1">
      <c r="A1548" s="35"/>
      <c r="B1548" s="35"/>
      <c r="C1548" s="35"/>
      <c r="D1548" s="35"/>
      <c r="E1548" s="35"/>
      <c r="F1548" s="35"/>
      <c r="G1548" s="35"/>
      <c r="H1548" s="35"/>
      <c r="I1548" s="35"/>
      <c r="J1548" s="35"/>
      <c r="K1548" s="35"/>
      <c r="L1548" s="35"/>
      <c r="M1548" s="35"/>
      <c r="N1548" s="35"/>
      <c r="O1548" s="35"/>
      <c r="P1548" s="35"/>
      <c r="Q1548" s="35"/>
      <c r="R1548" s="35"/>
      <c r="S1548" s="35"/>
      <c r="T1548" s="35"/>
      <c r="U1548" s="35"/>
      <c r="V1548" s="35"/>
      <c r="W1548" s="35"/>
      <c r="X1548" s="35"/>
      <c r="Y1548" s="35"/>
      <c r="Z1548" s="35"/>
      <c r="AA1548" s="35"/>
      <c r="AB1548" s="35"/>
      <c r="AC1548" s="35"/>
      <c r="AD1548" s="35"/>
      <c r="AE1548" s="35"/>
      <c r="AF1548" s="35"/>
      <c r="AG1548" s="35"/>
      <c r="AH1548" s="35"/>
      <c r="AI1548" s="35"/>
      <c r="AJ1548" s="35"/>
      <c r="AK1548" s="35"/>
      <c r="AL1548" s="35"/>
      <c r="AM1548" s="35"/>
      <c r="AN1548" s="35"/>
      <c r="AO1548" s="35"/>
      <c r="AP1548" s="35"/>
      <c r="AQ1548" s="35"/>
      <c r="AR1548" s="35"/>
      <c r="AS1548" s="35"/>
      <c r="AT1548" s="35"/>
      <c r="AU1548" s="35"/>
      <c r="AV1548" s="35"/>
      <c r="AW1548" s="35"/>
      <c r="AX1548" s="35"/>
      <c r="AY1548" s="35"/>
      <c r="AZ1548" s="35"/>
      <c r="BA1548" s="35"/>
      <c r="BB1548" s="35"/>
      <c r="BC1548" s="35"/>
      <c r="BD1548" s="35"/>
      <c r="BE1548" s="35"/>
      <c r="BF1548" s="35"/>
      <c r="BG1548" s="35"/>
    </row>
    <row r="1549" ht="15.75" customHeight="1">
      <c r="A1549" s="35"/>
      <c r="B1549" s="35"/>
      <c r="C1549" s="35"/>
      <c r="D1549" s="35"/>
      <c r="E1549" s="35"/>
      <c r="F1549" s="35"/>
      <c r="G1549" s="35"/>
      <c r="H1549" s="35"/>
      <c r="I1549" s="35"/>
      <c r="J1549" s="35"/>
      <c r="K1549" s="35"/>
      <c r="L1549" s="35"/>
      <c r="M1549" s="35"/>
      <c r="N1549" s="35"/>
      <c r="O1549" s="35"/>
      <c r="P1549" s="35"/>
      <c r="Q1549" s="35"/>
      <c r="R1549" s="35"/>
      <c r="S1549" s="35"/>
      <c r="T1549" s="35"/>
      <c r="U1549" s="35"/>
      <c r="V1549" s="35"/>
      <c r="W1549" s="35"/>
      <c r="X1549" s="35"/>
      <c r="Y1549" s="35"/>
      <c r="Z1549" s="35"/>
      <c r="AA1549" s="35"/>
      <c r="AB1549" s="35"/>
      <c r="AC1549" s="35"/>
      <c r="AD1549" s="35"/>
      <c r="AE1549" s="35"/>
      <c r="AF1549" s="35"/>
      <c r="AG1549" s="35"/>
      <c r="AH1549" s="35"/>
      <c r="AI1549" s="35"/>
      <c r="AJ1549" s="35"/>
      <c r="AK1549" s="35"/>
      <c r="AL1549" s="35"/>
      <c r="AM1549" s="35"/>
      <c r="AN1549" s="35"/>
      <c r="AO1549" s="35"/>
      <c r="AP1549" s="35"/>
      <c r="AQ1549" s="35"/>
      <c r="AR1549" s="35"/>
      <c r="AS1549" s="35"/>
      <c r="AT1549" s="35"/>
      <c r="AU1549" s="35"/>
      <c r="AV1549" s="35"/>
      <c r="AW1549" s="35"/>
      <c r="AX1549" s="35"/>
      <c r="AY1549" s="35"/>
      <c r="AZ1549" s="35"/>
      <c r="BA1549" s="35"/>
      <c r="BB1549" s="35"/>
      <c r="BC1549" s="35"/>
      <c r="BD1549" s="35"/>
      <c r="BE1549" s="35"/>
      <c r="BF1549" s="35"/>
      <c r="BG1549" s="35"/>
    </row>
    <row r="1550" ht="15.75" customHeight="1">
      <c r="A1550" s="35"/>
      <c r="B1550" s="35"/>
      <c r="C1550" s="35"/>
      <c r="D1550" s="35"/>
      <c r="E1550" s="35"/>
      <c r="F1550" s="35"/>
      <c r="G1550" s="35"/>
      <c r="H1550" s="35"/>
      <c r="I1550" s="35"/>
      <c r="J1550" s="35"/>
      <c r="K1550" s="35"/>
      <c r="L1550" s="35"/>
      <c r="M1550" s="35"/>
      <c r="N1550" s="35"/>
      <c r="O1550" s="35"/>
      <c r="P1550" s="35"/>
      <c r="Q1550" s="35"/>
      <c r="R1550" s="35"/>
      <c r="S1550" s="35"/>
      <c r="T1550" s="35"/>
      <c r="U1550" s="35"/>
      <c r="V1550" s="35"/>
      <c r="W1550" s="35"/>
      <c r="X1550" s="35"/>
      <c r="Y1550" s="35"/>
      <c r="Z1550" s="35"/>
      <c r="AA1550" s="35"/>
      <c r="AB1550" s="35"/>
      <c r="AC1550" s="35"/>
      <c r="AD1550" s="35"/>
      <c r="AE1550" s="35"/>
      <c r="AF1550" s="35"/>
      <c r="AG1550" s="35"/>
      <c r="AH1550" s="35"/>
      <c r="AI1550" s="35"/>
      <c r="AJ1550" s="35"/>
      <c r="AK1550" s="35"/>
      <c r="AL1550" s="35"/>
      <c r="AM1550" s="35"/>
      <c r="AN1550" s="35"/>
      <c r="AO1550" s="35"/>
      <c r="AP1550" s="35"/>
      <c r="AQ1550" s="35"/>
      <c r="AR1550" s="35"/>
      <c r="AS1550" s="35"/>
      <c r="AT1550" s="35"/>
      <c r="AU1550" s="35"/>
      <c r="AV1550" s="35"/>
      <c r="AW1550" s="35"/>
      <c r="AX1550" s="35"/>
      <c r="AY1550" s="35"/>
      <c r="AZ1550" s="35"/>
      <c r="BA1550" s="35"/>
      <c r="BB1550" s="35"/>
      <c r="BC1550" s="35"/>
      <c r="BD1550" s="35"/>
      <c r="BE1550" s="35"/>
      <c r="BF1550" s="35"/>
      <c r="BG1550" s="35"/>
    </row>
    <row r="1551" ht="15.75" customHeight="1">
      <c r="A1551" s="35"/>
      <c r="B1551" s="35"/>
      <c r="C1551" s="35"/>
      <c r="D1551" s="35"/>
      <c r="E1551" s="35"/>
      <c r="F1551" s="35"/>
      <c r="G1551" s="35"/>
      <c r="H1551" s="35"/>
      <c r="I1551" s="35"/>
      <c r="J1551" s="35"/>
      <c r="K1551" s="35"/>
      <c r="L1551" s="35"/>
      <c r="M1551" s="35"/>
      <c r="N1551" s="35"/>
      <c r="O1551" s="35"/>
      <c r="P1551" s="35"/>
      <c r="Q1551" s="35"/>
      <c r="R1551" s="35"/>
      <c r="S1551" s="35"/>
      <c r="T1551" s="35"/>
      <c r="U1551" s="35"/>
      <c r="V1551" s="35"/>
      <c r="W1551" s="35"/>
      <c r="X1551" s="35"/>
      <c r="Y1551" s="35"/>
      <c r="Z1551" s="35"/>
      <c r="AA1551" s="35"/>
      <c r="AB1551" s="35"/>
      <c r="AC1551" s="35"/>
      <c r="AD1551" s="35"/>
      <c r="AE1551" s="35"/>
      <c r="AF1551" s="35"/>
      <c r="AG1551" s="35"/>
      <c r="AH1551" s="35"/>
      <c r="AI1551" s="35"/>
      <c r="AJ1551" s="35"/>
      <c r="AK1551" s="35"/>
      <c r="AL1551" s="35"/>
      <c r="AM1551" s="35"/>
      <c r="AN1551" s="35"/>
      <c r="AO1551" s="35"/>
      <c r="AP1551" s="35"/>
      <c r="AQ1551" s="35"/>
      <c r="AR1551" s="35"/>
      <c r="AS1551" s="35"/>
      <c r="AT1551" s="35"/>
      <c r="AU1551" s="35"/>
      <c r="AV1551" s="35"/>
      <c r="AW1551" s="35"/>
      <c r="AX1551" s="35"/>
      <c r="AY1551" s="35"/>
      <c r="AZ1551" s="35"/>
      <c r="BA1551" s="35"/>
      <c r="BB1551" s="35"/>
      <c r="BC1551" s="35"/>
      <c r="BD1551" s="35"/>
      <c r="BE1551" s="35"/>
      <c r="BF1551" s="35"/>
      <c r="BG1551" s="35"/>
    </row>
    <row r="1552" ht="15.75" customHeight="1">
      <c r="A1552" s="35"/>
      <c r="B1552" s="35"/>
      <c r="C1552" s="35"/>
      <c r="D1552" s="35"/>
      <c r="E1552" s="35"/>
      <c r="F1552" s="35"/>
      <c r="G1552" s="35"/>
      <c r="H1552" s="35"/>
      <c r="I1552" s="35"/>
      <c r="J1552" s="35"/>
      <c r="K1552" s="35"/>
      <c r="L1552" s="35"/>
      <c r="M1552" s="35"/>
      <c r="N1552" s="35"/>
      <c r="O1552" s="35"/>
      <c r="P1552" s="35"/>
      <c r="Q1552" s="35"/>
      <c r="R1552" s="35"/>
      <c r="S1552" s="35"/>
      <c r="T1552" s="35"/>
      <c r="U1552" s="35"/>
      <c r="V1552" s="35"/>
      <c r="W1552" s="35"/>
      <c r="X1552" s="35"/>
      <c r="Y1552" s="35"/>
      <c r="Z1552" s="35"/>
      <c r="AA1552" s="35"/>
      <c r="AB1552" s="35"/>
      <c r="AC1552" s="35"/>
      <c r="AD1552" s="35"/>
      <c r="AE1552" s="35"/>
      <c r="AF1552" s="35"/>
      <c r="AG1552" s="35"/>
      <c r="AH1552" s="35"/>
      <c r="AI1552" s="35"/>
      <c r="AJ1552" s="35"/>
      <c r="AK1552" s="35"/>
      <c r="AL1552" s="35"/>
      <c r="AM1552" s="35"/>
      <c r="AN1552" s="35"/>
      <c r="AO1552" s="35"/>
      <c r="AP1552" s="35"/>
      <c r="AQ1552" s="35"/>
      <c r="AR1552" s="35"/>
      <c r="AS1552" s="35"/>
      <c r="AT1552" s="35"/>
      <c r="AU1552" s="35"/>
      <c r="AV1552" s="35"/>
      <c r="AW1552" s="35"/>
      <c r="AX1552" s="35"/>
      <c r="AY1552" s="35"/>
      <c r="AZ1552" s="35"/>
      <c r="BA1552" s="35"/>
      <c r="BB1552" s="35"/>
      <c r="BC1552" s="35"/>
      <c r="BD1552" s="35"/>
      <c r="BE1552" s="35"/>
      <c r="BF1552" s="35"/>
      <c r="BG1552" s="35"/>
    </row>
    <row r="1553" ht="15.75" customHeight="1">
      <c r="A1553" s="35"/>
      <c r="B1553" s="35"/>
      <c r="C1553" s="35"/>
      <c r="D1553" s="35"/>
      <c r="E1553" s="35"/>
      <c r="F1553" s="35"/>
      <c r="G1553" s="35"/>
      <c r="H1553" s="35"/>
      <c r="I1553" s="35"/>
      <c r="J1553" s="35"/>
      <c r="K1553" s="35"/>
      <c r="L1553" s="35"/>
      <c r="M1553" s="35"/>
      <c r="N1553" s="35"/>
      <c r="O1553" s="35"/>
      <c r="P1553" s="35"/>
      <c r="Q1553" s="35"/>
      <c r="R1553" s="35"/>
      <c r="S1553" s="35"/>
      <c r="T1553" s="35"/>
      <c r="U1553" s="35"/>
      <c r="V1553" s="35"/>
      <c r="W1553" s="35"/>
      <c r="X1553" s="35"/>
      <c r="Y1553" s="35"/>
      <c r="Z1553" s="35"/>
      <c r="AA1553" s="35"/>
      <c r="AB1553" s="35"/>
      <c r="AC1553" s="35"/>
      <c r="AD1553" s="35"/>
      <c r="AE1553" s="35"/>
      <c r="AF1553" s="35"/>
      <c r="AG1553" s="35"/>
      <c r="AH1553" s="35"/>
      <c r="AI1553" s="35"/>
      <c r="AJ1553" s="35"/>
      <c r="AK1553" s="35"/>
      <c r="AL1553" s="35"/>
      <c r="AM1553" s="35"/>
      <c r="AN1553" s="35"/>
      <c r="AO1553" s="35"/>
      <c r="AP1553" s="35"/>
      <c r="AQ1553" s="35"/>
      <c r="AR1553" s="35"/>
      <c r="AS1553" s="35"/>
      <c r="AT1553" s="35"/>
      <c r="AU1553" s="35"/>
      <c r="AV1553" s="35"/>
      <c r="AW1553" s="35"/>
      <c r="AX1553" s="35"/>
      <c r="AY1553" s="35"/>
      <c r="AZ1553" s="35"/>
      <c r="BA1553" s="35"/>
      <c r="BB1553" s="35"/>
      <c r="BC1553" s="35"/>
      <c r="BD1553" s="35"/>
      <c r="BE1553" s="35"/>
      <c r="BF1553" s="35"/>
      <c r="BG1553" s="35"/>
    </row>
    <row r="1554" ht="15.75" customHeight="1">
      <c r="A1554" s="35"/>
      <c r="B1554" s="35"/>
      <c r="C1554" s="35"/>
      <c r="D1554" s="35"/>
      <c r="E1554" s="35"/>
      <c r="F1554" s="35"/>
      <c r="G1554" s="35"/>
      <c r="H1554" s="35"/>
      <c r="I1554" s="35"/>
      <c r="J1554" s="35"/>
      <c r="K1554" s="35"/>
      <c r="L1554" s="35"/>
      <c r="M1554" s="35"/>
      <c r="N1554" s="35"/>
      <c r="O1554" s="35"/>
      <c r="P1554" s="35"/>
      <c r="Q1554" s="35"/>
      <c r="R1554" s="35"/>
      <c r="S1554" s="35"/>
      <c r="T1554" s="35"/>
      <c r="U1554" s="35"/>
      <c r="V1554" s="35"/>
      <c r="W1554" s="35"/>
      <c r="X1554" s="35"/>
      <c r="Y1554" s="35"/>
      <c r="Z1554" s="35"/>
      <c r="AA1554" s="35"/>
      <c r="AB1554" s="35"/>
      <c r="AC1554" s="35"/>
      <c r="AD1554" s="35"/>
      <c r="AE1554" s="35"/>
      <c r="AF1554" s="35"/>
      <c r="AG1554" s="35"/>
      <c r="AH1554" s="35"/>
      <c r="AI1554" s="35"/>
      <c r="AJ1554" s="35"/>
      <c r="AK1554" s="35"/>
      <c r="AL1554" s="35"/>
      <c r="AM1554" s="35"/>
      <c r="AN1554" s="35"/>
      <c r="AO1554" s="35"/>
      <c r="AP1554" s="35"/>
      <c r="AQ1554" s="35"/>
      <c r="AR1554" s="35"/>
      <c r="AS1554" s="35"/>
      <c r="AT1554" s="35"/>
      <c r="AU1554" s="35"/>
      <c r="AV1554" s="35"/>
      <c r="AW1554" s="35"/>
      <c r="AX1554" s="35"/>
      <c r="AY1554" s="35"/>
      <c r="AZ1554" s="35"/>
      <c r="BA1554" s="35"/>
      <c r="BB1554" s="35"/>
      <c r="BC1554" s="35"/>
      <c r="BD1554" s="35"/>
      <c r="BE1554" s="35"/>
      <c r="BF1554" s="35"/>
      <c r="BG1554" s="35"/>
    </row>
    <row r="1555" ht="15.75" customHeight="1">
      <c r="A1555" s="35"/>
      <c r="B1555" s="35"/>
      <c r="C1555" s="35"/>
      <c r="D1555" s="35"/>
      <c r="E1555" s="35"/>
      <c r="F1555" s="35"/>
      <c r="G1555" s="35"/>
      <c r="H1555" s="35"/>
      <c r="I1555" s="35"/>
      <c r="J1555" s="35"/>
      <c r="K1555" s="35"/>
      <c r="L1555" s="35"/>
      <c r="M1555" s="35"/>
      <c r="N1555" s="35"/>
      <c r="O1555" s="35"/>
      <c r="P1555" s="35"/>
      <c r="Q1555" s="35"/>
      <c r="R1555" s="35"/>
      <c r="S1555" s="35"/>
      <c r="T1555" s="35"/>
      <c r="U1555" s="35"/>
      <c r="V1555" s="35"/>
      <c r="W1555" s="35"/>
      <c r="X1555" s="35"/>
      <c r="Y1555" s="35"/>
      <c r="Z1555" s="35"/>
      <c r="AA1555" s="35"/>
      <c r="AB1555" s="35"/>
      <c r="AC1555" s="35"/>
      <c r="AD1555" s="35"/>
      <c r="AE1555" s="35"/>
      <c r="AF1555" s="35"/>
      <c r="AG1555" s="35"/>
      <c r="AH1555" s="35"/>
      <c r="AI1555" s="35"/>
      <c r="AJ1555" s="35"/>
      <c r="AK1555" s="35"/>
      <c r="AL1555" s="35"/>
      <c r="AM1555" s="35"/>
      <c r="AN1555" s="35"/>
      <c r="AO1555" s="35"/>
      <c r="AP1555" s="35"/>
      <c r="AQ1555" s="35"/>
      <c r="AR1555" s="35"/>
      <c r="AS1555" s="35"/>
      <c r="AT1555" s="35"/>
      <c r="AU1555" s="35"/>
      <c r="AV1555" s="35"/>
      <c r="AW1555" s="35"/>
      <c r="AX1555" s="35"/>
      <c r="AY1555" s="35"/>
      <c r="AZ1555" s="35"/>
      <c r="BA1555" s="35"/>
      <c r="BB1555" s="35"/>
      <c r="BC1555" s="35"/>
      <c r="BD1555" s="35"/>
      <c r="BE1555" s="35"/>
      <c r="BF1555" s="35"/>
      <c r="BG1555" s="35"/>
    </row>
    <row r="1556" ht="15.75" customHeight="1">
      <c r="A1556" s="35"/>
      <c r="B1556" s="35"/>
      <c r="C1556" s="35"/>
      <c r="D1556" s="35"/>
      <c r="E1556" s="35"/>
      <c r="F1556" s="35"/>
      <c r="G1556" s="35"/>
      <c r="H1556" s="35"/>
      <c r="I1556" s="35"/>
      <c r="J1556" s="35"/>
      <c r="K1556" s="35"/>
      <c r="L1556" s="35"/>
      <c r="M1556" s="35"/>
      <c r="N1556" s="35"/>
      <c r="O1556" s="35"/>
      <c r="P1556" s="35"/>
      <c r="Q1556" s="35"/>
      <c r="R1556" s="35"/>
      <c r="S1556" s="35"/>
      <c r="T1556" s="35"/>
      <c r="U1556" s="35"/>
      <c r="V1556" s="35"/>
      <c r="W1556" s="35"/>
      <c r="X1556" s="35"/>
      <c r="Y1556" s="35"/>
      <c r="Z1556" s="35"/>
      <c r="AA1556" s="35"/>
      <c r="AB1556" s="35"/>
      <c r="AC1556" s="35"/>
      <c r="AD1556" s="35"/>
      <c r="AE1556" s="35"/>
      <c r="AF1556" s="35"/>
      <c r="AG1556" s="35"/>
      <c r="AH1556" s="35"/>
      <c r="AI1556" s="35"/>
      <c r="AJ1556" s="35"/>
      <c r="AK1556" s="35"/>
      <c r="AL1556" s="35"/>
      <c r="AM1556" s="35"/>
      <c r="AN1556" s="35"/>
      <c r="AO1556" s="35"/>
      <c r="AP1556" s="35"/>
      <c r="AQ1556" s="35"/>
      <c r="AR1556" s="35"/>
      <c r="AS1556" s="35"/>
      <c r="AT1556" s="35"/>
      <c r="AU1556" s="35"/>
      <c r="AV1556" s="35"/>
      <c r="AW1556" s="35"/>
      <c r="AX1556" s="35"/>
      <c r="AY1556" s="35"/>
      <c r="AZ1556" s="35"/>
      <c r="BA1556" s="35"/>
      <c r="BB1556" s="35"/>
      <c r="BC1556" s="35"/>
      <c r="BD1556" s="35"/>
      <c r="BE1556" s="35"/>
      <c r="BF1556" s="35"/>
      <c r="BG1556" s="35"/>
    </row>
    <row r="1557" ht="15.75" customHeight="1">
      <c r="A1557" s="35"/>
      <c r="B1557" s="35"/>
      <c r="C1557" s="35"/>
      <c r="D1557" s="35"/>
      <c r="E1557" s="35"/>
      <c r="F1557" s="35"/>
      <c r="G1557" s="35"/>
      <c r="H1557" s="35"/>
      <c r="I1557" s="35"/>
      <c r="J1557" s="35"/>
      <c r="K1557" s="35"/>
      <c r="L1557" s="35"/>
      <c r="M1557" s="35"/>
      <c r="N1557" s="35"/>
      <c r="O1557" s="35"/>
      <c r="P1557" s="35"/>
      <c r="Q1557" s="35"/>
      <c r="R1557" s="35"/>
      <c r="S1557" s="35"/>
      <c r="T1557" s="35"/>
      <c r="U1557" s="35"/>
      <c r="V1557" s="35"/>
      <c r="W1557" s="35"/>
      <c r="X1557" s="35"/>
      <c r="Y1557" s="35"/>
      <c r="Z1557" s="35"/>
      <c r="AA1557" s="35"/>
      <c r="AB1557" s="35"/>
      <c r="AC1557" s="35"/>
      <c r="AD1557" s="35"/>
      <c r="AE1557" s="35"/>
      <c r="AF1557" s="35"/>
      <c r="AG1557" s="35"/>
      <c r="AH1557" s="35"/>
      <c r="AI1557" s="35"/>
      <c r="AJ1557" s="35"/>
      <c r="AK1557" s="35"/>
      <c r="AL1557" s="35"/>
      <c r="AM1557" s="35"/>
      <c r="AN1557" s="35"/>
      <c r="AO1557" s="35"/>
      <c r="AP1557" s="35"/>
      <c r="AQ1557" s="35"/>
      <c r="AR1557" s="35"/>
      <c r="AS1557" s="35"/>
      <c r="AT1557" s="35"/>
      <c r="AU1557" s="35"/>
      <c r="AV1557" s="35"/>
      <c r="AW1557" s="35"/>
      <c r="AX1557" s="35"/>
      <c r="AY1557" s="35"/>
      <c r="AZ1557" s="35"/>
      <c r="BA1557" s="35"/>
      <c r="BB1557" s="35"/>
      <c r="BC1557" s="35"/>
      <c r="BD1557" s="35"/>
      <c r="BE1557" s="35"/>
      <c r="BF1557" s="35"/>
      <c r="BG1557" s="35"/>
    </row>
    <row r="1558" ht="15.75" customHeight="1">
      <c r="A1558" s="35"/>
      <c r="B1558" s="35"/>
      <c r="C1558" s="35"/>
      <c r="D1558" s="35"/>
      <c r="E1558" s="35"/>
      <c r="F1558" s="35"/>
      <c r="G1558" s="35"/>
      <c r="H1558" s="35"/>
      <c r="I1558" s="35"/>
      <c r="J1558" s="35"/>
      <c r="K1558" s="35"/>
      <c r="L1558" s="35"/>
      <c r="M1558" s="35"/>
      <c r="N1558" s="35"/>
      <c r="O1558" s="35"/>
      <c r="P1558" s="35"/>
      <c r="Q1558" s="35"/>
      <c r="R1558" s="35"/>
      <c r="S1558" s="35"/>
      <c r="T1558" s="35"/>
      <c r="U1558" s="35"/>
      <c r="V1558" s="35"/>
      <c r="W1558" s="35"/>
      <c r="X1558" s="35"/>
      <c r="Y1558" s="35"/>
      <c r="Z1558" s="35"/>
      <c r="AA1558" s="35"/>
      <c r="AB1558" s="35"/>
      <c r="AC1558" s="35"/>
      <c r="AD1558" s="35"/>
      <c r="AE1558" s="35"/>
      <c r="AF1558" s="35"/>
      <c r="AG1558" s="35"/>
      <c r="AH1558" s="35"/>
      <c r="AI1558" s="35"/>
      <c r="AJ1558" s="35"/>
      <c r="AK1558" s="35"/>
      <c r="AL1558" s="35"/>
      <c r="AM1558" s="35"/>
      <c r="AN1558" s="35"/>
      <c r="AO1558" s="35"/>
      <c r="AP1558" s="35"/>
      <c r="AQ1558" s="35"/>
      <c r="AR1558" s="35"/>
      <c r="AS1558" s="35"/>
      <c r="AT1558" s="35"/>
      <c r="AU1558" s="35"/>
      <c r="AV1558" s="35"/>
      <c r="AW1558" s="35"/>
      <c r="AX1558" s="35"/>
      <c r="AY1558" s="35"/>
      <c r="AZ1558" s="35"/>
      <c r="BA1558" s="35"/>
      <c r="BB1558" s="35"/>
      <c r="BC1558" s="35"/>
      <c r="BD1558" s="35"/>
      <c r="BE1558" s="35"/>
      <c r="BF1558" s="35"/>
      <c r="BG1558" s="35"/>
    </row>
    <row r="1559" ht="15.75" customHeight="1">
      <c r="A1559" s="35"/>
      <c r="B1559" s="35"/>
      <c r="C1559" s="35"/>
      <c r="D1559" s="35"/>
      <c r="E1559" s="35"/>
      <c r="F1559" s="35"/>
      <c r="G1559" s="35"/>
      <c r="H1559" s="35"/>
      <c r="I1559" s="35"/>
      <c r="J1559" s="35"/>
      <c r="K1559" s="35"/>
      <c r="L1559" s="35"/>
      <c r="M1559" s="35"/>
      <c r="N1559" s="35"/>
      <c r="O1559" s="35"/>
      <c r="P1559" s="35"/>
      <c r="Q1559" s="35"/>
      <c r="R1559" s="35"/>
      <c r="S1559" s="35"/>
      <c r="T1559" s="35"/>
      <c r="U1559" s="35"/>
      <c r="V1559" s="35"/>
      <c r="W1559" s="35"/>
      <c r="X1559" s="35"/>
      <c r="Y1559" s="35"/>
      <c r="Z1559" s="35"/>
      <c r="AA1559" s="35"/>
      <c r="AB1559" s="35"/>
      <c r="AC1559" s="35"/>
      <c r="AD1559" s="35"/>
      <c r="AE1559" s="35"/>
      <c r="AF1559" s="35"/>
      <c r="AG1559" s="35"/>
      <c r="AH1559" s="35"/>
      <c r="AI1559" s="35"/>
      <c r="AJ1559" s="35"/>
      <c r="AK1559" s="35"/>
      <c r="AL1559" s="35"/>
      <c r="AM1559" s="35"/>
      <c r="AN1559" s="35"/>
      <c r="AO1559" s="35"/>
      <c r="AP1559" s="35"/>
      <c r="AQ1559" s="35"/>
      <c r="AR1559" s="35"/>
      <c r="AS1559" s="35"/>
      <c r="AT1559" s="35"/>
      <c r="AU1559" s="35"/>
      <c r="AV1559" s="35"/>
      <c r="AW1559" s="35"/>
      <c r="AX1559" s="35"/>
      <c r="AY1559" s="35"/>
      <c r="AZ1559" s="35"/>
      <c r="BA1559" s="35"/>
      <c r="BB1559" s="35"/>
      <c r="BC1559" s="35"/>
      <c r="BD1559" s="35"/>
      <c r="BE1559" s="35"/>
      <c r="BF1559" s="35"/>
      <c r="BG1559" s="35"/>
    </row>
    <row r="1560" ht="15.75" customHeight="1">
      <c r="A1560" s="35"/>
      <c r="B1560" s="35"/>
      <c r="C1560" s="35"/>
      <c r="D1560" s="35"/>
      <c r="E1560" s="35"/>
      <c r="F1560" s="35"/>
      <c r="G1560" s="35"/>
      <c r="H1560" s="35"/>
      <c r="I1560" s="35"/>
      <c r="J1560" s="35"/>
      <c r="K1560" s="35"/>
      <c r="L1560" s="35"/>
      <c r="M1560" s="35"/>
      <c r="N1560" s="35"/>
      <c r="O1560" s="35"/>
      <c r="P1560" s="35"/>
      <c r="Q1560" s="35"/>
      <c r="R1560" s="35"/>
      <c r="S1560" s="35"/>
      <c r="T1560" s="35"/>
      <c r="U1560" s="35"/>
      <c r="V1560" s="35"/>
      <c r="W1560" s="35"/>
      <c r="X1560" s="35"/>
      <c r="Y1560" s="35"/>
      <c r="Z1560" s="35"/>
      <c r="AA1560" s="35"/>
      <c r="AB1560" s="35"/>
      <c r="AC1560" s="35"/>
      <c r="AD1560" s="35"/>
      <c r="AE1560" s="35"/>
      <c r="AF1560" s="35"/>
      <c r="AG1560" s="35"/>
      <c r="AH1560" s="35"/>
      <c r="AI1560" s="35"/>
      <c r="AJ1560" s="35"/>
      <c r="AK1560" s="35"/>
      <c r="AL1560" s="35"/>
      <c r="AM1560" s="35"/>
      <c r="AN1560" s="35"/>
      <c r="AO1560" s="35"/>
      <c r="AP1560" s="35"/>
      <c r="AQ1560" s="35"/>
      <c r="AR1560" s="35"/>
      <c r="AS1560" s="35"/>
      <c r="AT1560" s="35"/>
      <c r="AU1560" s="35"/>
      <c r="AV1560" s="35"/>
      <c r="AW1560" s="35"/>
      <c r="AX1560" s="35"/>
      <c r="AY1560" s="35"/>
      <c r="AZ1560" s="35"/>
      <c r="BA1560" s="35"/>
      <c r="BB1560" s="35"/>
      <c r="BC1560" s="35"/>
      <c r="BD1560" s="35"/>
      <c r="BE1560" s="35"/>
      <c r="BF1560" s="35"/>
      <c r="BG1560" s="35"/>
    </row>
    <row r="1561" ht="15.75" customHeight="1">
      <c r="A1561" s="35"/>
      <c r="B1561" s="35"/>
      <c r="C1561" s="35"/>
      <c r="D1561" s="35"/>
      <c r="E1561" s="35"/>
      <c r="F1561" s="35"/>
      <c r="G1561" s="35"/>
      <c r="H1561" s="35"/>
      <c r="I1561" s="35"/>
      <c r="J1561" s="35"/>
      <c r="K1561" s="35"/>
      <c r="L1561" s="35"/>
      <c r="M1561" s="35"/>
      <c r="N1561" s="35"/>
      <c r="O1561" s="35"/>
      <c r="P1561" s="35"/>
      <c r="Q1561" s="35"/>
      <c r="R1561" s="35"/>
      <c r="S1561" s="35"/>
      <c r="T1561" s="35"/>
      <c r="U1561" s="35"/>
      <c r="V1561" s="35"/>
      <c r="W1561" s="35"/>
      <c r="X1561" s="35"/>
      <c r="Y1561" s="35"/>
      <c r="Z1561" s="35"/>
      <c r="AA1561" s="35"/>
      <c r="AB1561" s="35"/>
      <c r="AC1561" s="35"/>
      <c r="AD1561" s="35"/>
      <c r="AE1561" s="35"/>
      <c r="AF1561" s="35"/>
      <c r="AG1561" s="35"/>
      <c r="AH1561" s="35"/>
      <c r="AI1561" s="35"/>
      <c r="AJ1561" s="35"/>
      <c r="AK1561" s="35"/>
      <c r="AL1561" s="35"/>
      <c r="AM1561" s="35"/>
      <c r="AN1561" s="35"/>
      <c r="AO1561" s="35"/>
      <c r="AP1561" s="35"/>
      <c r="AQ1561" s="35"/>
      <c r="AR1561" s="35"/>
      <c r="AS1561" s="35"/>
      <c r="AT1561" s="35"/>
      <c r="AU1561" s="35"/>
      <c r="AV1561" s="35"/>
      <c r="AW1561" s="35"/>
      <c r="AX1561" s="35"/>
      <c r="AY1561" s="35"/>
      <c r="AZ1561" s="35"/>
      <c r="BA1561" s="35"/>
      <c r="BB1561" s="35"/>
      <c r="BC1561" s="35"/>
      <c r="BD1561" s="35"/>
      <c r="BE1561" s="35"/>
      <c r="BF1561" s="35"/>
      <c r="BG1561" s="35"/>
    </row>
    <row r="1562" ht="15.75" customHeight="1">
      <c r="A1562" s="35"/>
      <c r="B1562" s="35"/>
      <c r="C1562" s="35"/>
      <c r="D1562" s="35"/>
      <c r="E1562" s="35"/>
      <c r="F1562" s="35"/>
      <c r="G1562" s="35"/>
      <c r="H1562" s="35"/>
      <c r="I1562" s="35"/>
      <c r="J1562" s="35"/>
      <c r="K1562" s="35"/>
      <c r="L1562" s="35"/>
      <c r="M1562" s="35"/>
      <c r="N1562" s="35"/>
      <c r="O1562" s="35"/>
      <c r="P1562" s="35"/>
      <c r="Q1562" s="35"/>
      <c r="R1562" s="35"/>
      <c r="S1562" s="35"/>
      <c r="T1562" s="35"/>
      <c r="U1562" s="35"/>
      <c r="V1562" s="35"/>
      <c r="W1562" s="35"/>
      <c r="X1562" s="35"/>
      <c r="Y1562" s="35"/>
      <c r="Z1562" s="35"/>
      <c r="AA1562" s="35"/>
      <c r="AB1562" s="35"/>
      <c r="AC1562" s="35"/>
      <c r="AD1562" s="35"/>
      <c r="AE1562" s="35"/>
      <c r="AF1562" s="35"/>
      <c r="AG1562" s="35"/>
      <c r="AH1562" s="35"/>
      <c r="AI1562" s="35"/>
      <c r="AJ1562" s="35"/>
      <c r="AK1562" s="35"/>
      <c r="AL1562" s="35"/>
      <c r="AM1562" s="35"/>
      <c r="AN1562" s="35"/>
      <c r="AO1562" s="35"/>
      <c r="AP1562" s="35"/>
      <c r="AQ1562" s="35"/>
      <c r="AR1562" s="35"/>
      <c r="AS1562" s="35"/>
      <c r="AT1562" s="35"/>
      <c r="AU1562" s="35"/>
      <c r="AV1562" s="35"/>
      <c r="AW1562" s="35"/>
      <c r="AX1562" s="35"/>
      <c r="AY1562" s="35"/>
      <c r="AZ1562" s="35"/>
      <c r="BA1562" s="35"/>
      <c r="BB1562" s="35"/>
      <c r="BC1562" s="35"/>
      <c r="BD1562" s="35"/>
      <c r="BE1562" s="35"/>
      <c r="BF1562" s="35"/>
      <c r="BG1562" s="35"/>
    </row>
    <row r="1563" ht="15.75" customHeight="1">
      <c r="A1563" s="35"/>
      <c r="B1563" s="35"/>
      <c r="C1563" s="35"/>
      <c r="D1563" s="35"/>
      <c r="E1563" s="35"/>
      <c r="F1563" s="35"/>
      <c r="G1563" s="35"/>
      <c r="H1563" s="35"/>
      <c r="I1563" s="35"/>
      <c r="J1563" s="35"/>
      <c r="K1563" s="35"/>
      <c r="L1563" s="35"/>
      <c r="M1563" s="35"/>
      <c r="N1563" s="35"/>
      <c r="O1563" s="35"/>
      <c r="P1563" s="35"/>
      <c r="Q1563" s="35"/>
      <c r="R1563" s="35"/>
      <c r="S1563" s="35"/>
      <c r="T1563" s="35"/>
      <c r="U1563" s="35"/>
      <c r="V1563" s="35"/>
      <c r="W1563" s="35"/>
      <c r="X1563" s="35"/>
      <c r="Y1563" s="35"/>
      <c r="Z1563" s="35"/>
      <c r="AA1563" s="35"/>
      <c r="AB1563" s="35"/>
      <c r="AC1563" s="35"/>
      <c r="AD1563" s="35"/>
      <c r="AE1563" s="35"/>
      <c r="AF1563" s="35"/>
      <c r="AG1563" s="35"/>
      <c r="AH1563" s="35"/>
      <c r="AI1563" s="35"/>
      <c r="AJ1563" s="35"/>
      <c r="AK1563" s="35"/>
      <c r="AL1563" s="35"/>
      <c r="AM1563" s="35"/>
      <c r="AN1563" s="35"/>
      <c r="AO1563" s="35"/>
      <c r="AP1563" s="35"/>
      <c r="AQ1563" s="35"/>
      <c r="AR1563" s="35"/>
      <c r="AS1563" s="35"/>
      <c r="AT1563" s="35"/>
      <c r="AU1563" s="35"/>
      <c r="AV1563" s="35"/>
      <c r="AW1563" s="35"/>
      <c r="AX1563" s="35"/>
      <c r="AY1563" s="35"/>
      <c r="AZ1563" s="35"/>
      <c r="BA1563" s="35"/>
      <c r="BB1563" s="35"/>
      <c r="BC1563" s="35"/>
      <c r="BD1563" s="35"/>
      <c r="BE1563" s="35"/>
      <c r="BF1563" s="35"/>
      <c r="BG1563" s="35"/>
    </row>
    <row r="1564" ht="15.75" customHeight="1">
      <c r="A1564" s="35"/>
      <c r="B1564" s="35"/>
      <c r="C1564" s="35"/>
      <c r="D1564" s="35"/>
      <c r="E1564" s="35"/>
      <c r="F1564" s="35"/>
      <c r="G1564" s="35"/>
      <c r="H1564" s="35"/>
      <c r="I1564" s="35"/>
      <c r="J1564" s="35"/>
      <c r="K1564" s="35"/>
      <c r="L1564" s="35"/>
      <c r="M1564" s="35"/>
      <c r="N1564" s="35"/>
      <c r="O1564" s="35"/>
      <c r="P1564" s="35"/>
      <c r="Q1564" s="35"/>
      <c r="R1564" s="35"/>
      <c r="S1564" s="35"/>
      <c r="T1564" s="35"/>
      <c r="U1564" s="35"/>
      <c r="V1564" s="35"/>
      <c r="W1564" s="35"/>
      <c r="X1564" s="35"/>
      <c r="Y1564" s="35"/>
      <c r="Z1564" s="35"/>
      <c r="AA1564" s="35"/>
      <c r="AB1564" s="35"/>
      <c r="AC1564" s="35"/>
      <c r="AD1564" s="35"/>
      <c r="AE1564" s="35"/>
      <c r="AF1564" s="35"/>
      <c r="AG1564" s="35"/>
      <c r="AH1564" s="35"/>
      <c r="AI1564" s="35"/>
      <c r="AJ1564" s="35"/>
      <c r="AK1564" s="35"/>
      <c r="AL1564" s="35"/>
      <c r="AM1564" s="35"/>
      <c r="AN1564" s="35"/>
      <c r="AO1564" s="35"/>
      <c r="AP1564" s="35"/>
      <c r="AQ1564" s="35"/>
      <c r="AR1564" s="35"/>
      <c r="AS1564" s="35"/>
      <c r="AT1564" s="35"/>
      <c r="AU1564" s="35"/>
      <c r="AV1564" s="35"/>
      <c r="AW1564" s="35"/>
      <c r="AX1564" s="35"/>
      <c r="AY1564" s="35"/>
      <c r="AZ1564" s="35"/>
      <c r="BA1564" s="35"/>
      <c r="BB1564" s="35"/>
      <c r="BC1564" s="35"/>
      <c r="BD1564" s="35"/>
      <c r="BE1564" s="35"/>
      <c r="BF1564" s="35"/>
      <c r="BG1564" s="35"/>
    </row>
    <row r="1565" ht="15.75" customHeight="1">
      <c r="A1565" s="35"/>
      <c r="B1565" s="35"/>
      <c r="C1565" s="35"/>
      <c r="D1565" s="35"/>
      <c r="E1565" s="35"/>
      <c r="F1565" s="35"/>
      <c r="G1565" s="35"/>
      <c r="H1565" s="35"/>
      <c r="I1565" s="35"/>
      <c r="J1565" s="35"/>
      <c r="K1565" s="35"/>
      <c r="L1565" s="35"/>
      <c r="M1565" s="35"/>
      <c r="N1565" s="35"/>
      <c r="O1565" s="35"/>
      <c r="P1565" s="35"/>
      <c r="Q1565" s="35"/>
      <c r="R1565" s="35"/>
      <c r="S1565" s="35"/>
      <c r="T1565" s="35"/>
      <c r="U1565" s="35"/>
      <c r="V1565" s="35"/>
      <c r="W1565" s="35"/>
      <c r="X1565" s="35"/>
      <c r="Y1565" s="35"/>
      <c r="Z1565" s="35"/>
      <c r="AA1565" s="35"/>
      <c r="AB1565" s="35"/>
      <c r="AC1565" s="35"/>
      <c r="AD1565" s="35"/>
      <c r="AE1565" s="35"/>
      <c r="AF1565" s="35"/>
      <c r="AG1565" s="35"/>
      <c r="AH1565" s="35"/>
      <c r="AI1565" s="35"/>
      <c r="AJ1565" s="35"/>
      <c r="AK1565" s="35"/>
      <c r="AL1565" s="35"/>
      <c r="AM1565" s="35"/>
      <c r="AN1565" s="35"/>
      <c r="AO1565" s="35"/>
      <c r="AP1565" s="35"/>
      <c r="AQ1565" s="35"/>
      <c r="AR1565" s="35"/>
      <c r="AS1565" s="35"/>
      <c r="AT1565" s="35"/>
      <c r="AU1565" s="35"/>
      <c r="AV1565" s="35"/>
      <c r="AW1565" s="35"/>
      <c r="AX1565" s="35"/>
      <c r="AY1565" s="35"/>
      <c r="AZ1565" s="35"/>
      <c r="BA1565" s="35"/>
      <c r="BB1565" s="35"/>
      <c r="BC1565" s="35"/>
      <c r="BD1565" s="35"/>
      <c r="BE1565" s="35"/>
      <c r="BF1565" s="35"/>
      <c r="BG1565" s="35"/>
    </row>
    <row r="1566" ht="15.75" customHeight="1">
      <c r="A1566" s="35"/>
      <c r="B1566" s="35"/>
      <c r="C1566" s="35"/>
      <c r="D1566" s="35"/>
      <c r="E1566" s="35"/>
      <c r="F1566" s="35"/>
      <c r="G1566" s="35"/>
      <c r="H1566" s="35"/>
      <c r="I1566" s="35"/>
      <c r="J1566" s="35"/>
      <c r="K1566" s="35"/>
      <c r="L1566" s="35"/>
      <c r="M1566" s="35"/>
      <c r="N1566" s="35"/>
      <c r="O1566" s="35"/>
      <c r="P1566" s="35"/>
      <c r="Q1566" s="35"/>
      <c r="R1566" s="35"/>
      <c r="S1566" s="35"/>
      <c r="T1566" s="35"/>
      <c r="U1566" s="35"/>
      <c r="V1566" s="35"/>
      <c r="W1566" s="35"/>
      <c r="X1566" s="35"/>
      <c r="Y1566" s="35"/>
      <c r="Z1566" s="35"/>
      <c r="AA1566" s="35"/>
      <c r="AB1566" s="35"/>
      <c r="AC1566" s="35"/>
      <c r="AD1566" s="35"/>
      <c r="AE1566" s="35"/>
      <c r="AF1566" s="35"/>
      <c r="AG1566" s="35"/>
      <c r="AH1566" s="35"/>
      <c r="AI1566" s="35"/>
      <c r="AJ1566" s="35"/>
      <c r="AK1566" s="35"/>
      <c r="AL1566" s="35"/>
      <c r="AM1566" s="35"/>
      <c r="AN1566" s="35"/>
      <c r="AO1566" s="35"/>
      <c r="AP1566" s="35"/>
      <c r="AQ1566" s="35"/>
      <c r="AR1566" s="35"/>
      <c r="AS1566" s="35"/>
      <c r="AT1566" s="35"/>
      <c r="AU1566" s="35"/>
      <c r="AV1566" s="35"/>
      <c r="AW1566" s="35"/>
      <c r="AX1566" s="35"/>
      <c r="AY1566" s="35"/>
      <c r="AZ1566" s="35"/>
      <c r="BA1566" s="35"/>
      <c r="BB1566" s="35"/>
      <c r="BC1566" s="35"/>
      <c r="BD1566" s="35"/>
      <c r="BE1566" s="35"/>
      <c r="BF1566" s="35"/>
      <c r="BG1566" s="35"/>
    </row>
    <row r="1567" ht="15.75" customHeight="1">
      <c r="A1567" s="35"/>
      <c r="B1567" s="35"/>
      <c r="C1567" s="35"/>
      <c r="D1567" s="35"/>
      <c r="E1567" s="35"/>
      <c r="F1567" s="35"/>
      <c r="G1567" s="35"/>
      <c r="H1567" s="35"/>
      <c r="I1567" s="35"/>
      <c r="J1567" s="35"/>
      <c r="K1567" s="35"/>
      <c r="L1567" s="35"/>
      <c r="M1567" s="35"/>
      <c r="N1567" s="35"/>
      <c r="O1567" s="35"/>
      <c r="P1567" s="35"/>
      <c r="Q1567" s="35"/>
      <c r="R1567" s="35"/>
      <c r="S1567" s="35"/>
      <c r="T1567" s="35"/>
      <c r="U1567" s="35"/>
      <c r="V1567" s="35"/>
      <c r="W1567" s="35"/>
      <c r="X1567" s="35"/>
      <c r="Y1567" s="35"/>
      <c r="Z1567" s="35"/>
      <c r="AA1567" s="35"/>
      <c r="AB1567" s="35"/>
      <c r="AC1567" s="35"/>
      <c r="AD1567" s="35"/>
      <c r="AE1567" s="35"/>
      <c r="AF1567" s="35"/>
      <c r="AG1567" s="35"/>
      <c r="AH1567" s="35"/>
      <c r="AI1567" s="35"/>
      <c r="AJ1567" s="35"/>
      <c r="AK1567" s="35"/>
      <c r="AL1567" s="35"/>
      <c r="AM1567" s="35"/>
      <c r="AN1567" s="35"/>
      <c r="AO1567" s="35"/>
      <c r="AP1567" s="35"/>
      <c r="AQ1567" s="35"/>
      <c r="AR1567" s="35"/>
      <c r="AS1567" s="35"/>
      <c r="AT1567" s="35"/>
      <c r="AU1567" s="35"/>
      <c r="AV1567" s="35"/>
      <c r="AW1567" s="35"/>
      <c r="AX1567" s="35"/>
      <c r="AY1567" s="35"/>
      <c r="AZ1567" s="35"/>
      <c r="BA1567" s="35"/>
      <c r="BB1567" s="35"/>
      <c r="BC1567" s="35"/>
      <c r="BD1567" s="35"/>
      <c r="BE1567" s="35"/>
      <c r="BF1567" s="35"/>
      <c r="BG1567" s="35"/>
    </row>
    <row r="1568" ht="15.75" customHeight="1">
      <c r="A1568" s="35"/>
      <c r="B1568" s="35"/>
      <c r="C1568" s="35"/>
      <c r="D1568" s="35"/>
      <c r="E1568" s="35"/>
      <c r="F1568" s="35"/>
      <c r="G1568" s="35"/>
      <c r="H1568" s="35"/>
      <c r="I1568" s="35"/>
      <c r="J1568" s="35"/>
      <c r="K1568" s="35"/>
      <c r="L1568" s="35"/>
      <c r="M1568" s="35"/>
      <c r="N1568" s="35"/>
      <c r="O1568" s="35"/>
      <c r="P1568" s="35"/>
      <c r="Q1568" s="35"/>
      <c r="R1568" s="35"/>
      <c r="S1568" s="35"/>
      <c r="T1568" s="35"/>
      <c r="U1568" s="35"/>
      <c r="V1568" s="35"/>
      <c r="W1568" s="35"/>
      <c r="X1568" s="35"/>
      <c r="Y1568" s="35"/>
      <c r="Z1568" s="35"/>
      <c r="AA1568" s="35"/>
      <c r="AB1568" s="35"/>
      <c r="AC1568" s="35"/>
      <c r="AD1568" s="35"/>
      <c r="AE1568" s="35"/>
      <c r="AF1568" s="35"/>
      <c r="AG1568" s="35"/>
      <c r="AH1568" s="35"/>
      <c r="AI1568" s="35"/>
      <c r="AJ1568" s="35"/>
      <c r="AK1568" s="35"/>
      <c r="AL1568" s="35"/>
      <c r="AM1568" s="35"/>
      <c r="AN1568" s="35"/>
      <c r="AO1568" s="35"/>
      <c r="AP1568" s="35"/>
      <c r="AQ1568" s="35"/>
      <c r="AR1568" s="35"/>
      <c r="AS1568" s="35"/>
      <c r="AT1568" s="35"/>
      <c r="AU1568" s="35"/>
      <c r="AV1568" s="35"/>
      <c r="AW1568" s="35"/>
      <c r="AX1568" s="35"/>
      <c r="AY1568" s="35"/>
      <c r="AZ1568" s="35"/>
      <c r="BA1568" s="35"/>
      <c r="BB1568" s="35"/>
      <c r="BC1568" s="35"/>
      <c r="BD1568" s="35"/>
      <c r="BE1568" s="35"/>
      <c r="BF1568" s="35"/>
      <c r="BG1568" s="35"/>
    </row>
    <row r="1569" ht="15.75" customHeight="1">
      <c r="A1569" s="35"/>
      <c r="B1569" s="35"/>
      <c r="C1569" s="35"/>
      <c r="D1569" s="35"/>
      <c r="E1569" s="35"/>
      <c r="F1569" s="35"/>
      <c r="G1569" s="35"/>
      <c r="H1569" s="35"/>
      <c r="I1569" s="35"/>
      <c r="J1569" s="35"/>
      <c r="K1569" s="35"/>
      <c r="L1569" s="35"/>
      <c r="M1569" s="35"/>
      <c r="N1569" s="35"/>
      <c r="O1569" s="35"/>
      <c r="P1569" s="35"/>
      <c r="Q1569" s="35"/>
      <c r="R1569" s="35"/>
      <c r="S1569" s="35"/>
      <c r="T1569" s="35"/>
      <c r="U1569" s="35"/>
      <c r="V1569" s="35"/>
      <c r="W1569" s="35"/>
      <c r="X1569" s="35"/>
      <c r="Y1569" s="35"/>
      <c r="Z1569" s="35"/>
      <c r="AA1569" s="35"/>
      <c r="AB1569" s="35"/>
      <c r="AC1569" s="35"/>
      <c r="AD1569" s="35"/>
      <c r="AE1569" s="35"/>
      <c r="AF1569" s="35"/>
      <c r="AG1569" s="35"/>
      <c r="AH1569" s="35"/>
      <c r="AI1569" s="35"/>
      <c r="AJ1569" s="35"/>
      <c r="AK1569" s="35"/>
      <c r="AL1569" s="35"/>
      <c r="AM1569" s="35"/>
      <c r="AN1569" s="35"/>
      <c r="AO1569" s="35"/>
      <c r="AP1569" s="35"/>
      <c r="AQ1569" s="35"/>
      <c r="AR1569" s="35"/>
      <c r="AS1569" s="35"/>
      <c r="AT1569" s="35"/>
      <c r="AU1569" s="35"/>
      <c r="AV1569" s="35"/>
      <c r="AW1569" s="35"/>
      <c r="AX1569" s="35"/>
      <c r="AY1569" s="35"/>
      <c r="AZ1569" s="35"/>
      <c r="BA1569" s="35"/>
      <c r="BB1569" s="35"/>
      <c r="BC1569" s="35"/>
      <c r="BD1569" s="35"/>
      <c r="BE1569" s="35"/>
      <c r="BF1569" s="35"/>
      <c r="BG1569" s="35"/>
    </row>
    <row r="1570" ht="15.75" customHeight="1">
      <c r="A1570" s="35"/>
      <c r="B1570" s="35"/>
      <c r="C1570" s="35"/>
      <c r="D1570" s="35"/>
      <c r="E1570" s="35"/>
      <c r="F1570" s="35"/>
      <c r="G1570" s="35"/>
      <c r="H1570" s="35"/>
      <c r="I1570" s="35"/>
      <c r="J1570" s="35"/>
      <c r="K1570" s="35"/>
      <c r="L1570" s="35"/>
      <c r="M1570" s="35"/>
      <c r="N1570" s="35"/>
      <c r="O1570" s="35"/>
      <c r="P1570" s="35"/>
      <c r="Q1570" s="35"/>
      <c r="R1570" s="35"/>
      <c r="S1570" s="35"/>
      <c r="T1570" s="35"/>
      <c r="U1570" s="35"/>
      <c r="V1570" s="35"/>
      <c r="W1570" s="35"/>
      <c r="X1570" s="35"/>
      <c r="Y1570" s="35"/>
      <c r="Z1570" s="35"/>
      <c r="AA1570" s="35"/>
      <c r="AB1570" s="35"/>
      <c r="AC1570" s="35"/>
      <c r="AD1570" s="35"/>
      <c r="AE1570" s="35"/>
      <c r="AF1570" s="35"/>
      <c r="AG1570" s="35"/>
      <c r="AH1570" s="35"/>
      <c r="AI1570" s="35"/>
      <c r="AJ1570" s="35"/>
      <c r="AK1570" s="35"/>
      <c r="AL1570" s="35"/>
      <c r="AM1570" s="35"/>
      <c r="AN1570" s="35"/>
      <c r="AO1570" s="35"/>
      <c r="AP1570" s="35"/>
      <c r="AQ1570" s="35"/>
      <c r="AR1570" s="35"/>
      <c r="AS1570" s="35"/>
      <c r="AT1570" s="35"/>
      <c r="AU1570" s="35"/>
      <c r="AV1570" s="35"/>
      <c r="AW1570" s="35"/>
      <c r="AX1570" s="35"/>
      <c r="AY1570" s="35"/>
      <c r="AZ1570" s="35"/>
      <c r="BA1570" s="35"/>
      <c r="BB1570" s="35"/>
      <c r="BC1570" s="35"/>
      <c r="BD1570" s="35"/>
      <c r="BE1570" s="35"/>
      <c r="BF1570" s="35"/>
      <c r="BG1570" s="35"/>
    </row>
    <row r="1571" ht="15.75" customHeight="1">
      <c r="A1571" s="35"/>
      <c r="B1571" s="35"/>
      <c r="C1571" s="35"/>
      <c r="D1571" s="35"/>
      <c r="E1571" s="35"/>
      <c r="F1571" s="35"/>
      <c r="G1571" s="35"/>
      <c r="H1571" s="35"/>
      <c r="I1571" s="35"/>
      <c r="J1571" s="35"/>
      <c r="K1571" s="35"/>
      <c r="L1571" s="35"/>
      <c r="M1571" s="35"/>
      <c r="N1571" s="35"/>
      <c r="O1571" s="35"/>
      <c r="P1571" s="35"/>
      <c r="Q1571" s="35"/>
      <c r="R1571" s="35"/>
      <c r="S1571" s="35"/>
      <c r="T1571" s="35"/>
      <c r="U1571" s="35"/>
      <c r="V1571" s="35"/>
      <c r="W1571" s="35"/>
      <c r="X1571" s="35"/>
      <c r="Y1571" s="35"/>
      <c r="Z1571" s="35"/>
      <c r="AA1571" s="35"/>
      <c r="AB1571" s="35"/>
      <c r="AC1571" s="35"/>
      <c r="AD1571" s="35"/>
      <c r="AE1571" s="35"/>
      <c r="AF1571" s="35"/>
      <c r="AG1571" s="35"/>
      <c r="AH1571" s="35"/>
      <c r="AI1571" s="35"/>
      <c r="AJ1571" s="35"/>
      <c r="AK1571" s="35"/>
      <c r="AL1571" s="35"/>
      <c r="AM1571" s="35"/>
      <c r="AN1571" s="35"/>
      <c r="AO1571" s="35"/>
      <c r="AP1571" s="35"/>
      <c r="AQ1571" s="35"/>
      <c r="AR1571" s="35"/>
      <c r="AS1571" s="35"/>
      <c r="AT1571" s="35"/>
      <c r="AU1571" s="35"/>
      <c r="AV1571" s="35"/>
      <c r="AW1571" s="35"/>
      <c r="AX1571" s="35"/>
      <c r="AY1571" s="35"/>
      <c r="AZ1571" s="35"/>
      <c r="BA1571" s="35"/>
      <c r="BB1571" s="35"/>
      <c r="BC1571" s="35"/>
      <c r="BD1571" s="35"/>
      <c r="BE1571" s="35"/>
      <c r="BF1571" s="35"/>
      <c r="BG1571" s="35"/>
    </row>
    <row r="1572" ht="15.75" customHeight="1">
      <c r="A1572" s="35"/>
      <c r="B1572" s="35"/>
      <c r="C1572" s="35"/>
      <c r="D1572" s="35"/>
      <c r="E1572" s="35"/>
      <c r="F1572" s="35"/>
      <c r="G1572" s="35"/>
      <c r="H1572" s="35"/>
      <c r="I1572" s="35"/>
      <c r="J1572" s="35"/>
      <c r="K1572" s="35"/>
      <c r="L1572" s="35"/>
      <c r="M1572" s="35"/>
      <c r="N1572" s="35"/>
      <c r="O1572" s="35"/>
      <c r="P1572" s="35"/>
      <c r="Q1572" s="35"/>
      <c r="R1572" s="35"/>
      <c r="S1572" s="35"/>
      <c r="T1572" s="35"/>
      <c r="U1572" s="35"/>
      <c r="V1572" s="35"/>
      <c r="W1572" s="35"/>
      <c r="X1572" s="35"/>
      <c r="Y1572" s="35"/>
      <c r="Z1572" s="35"/>
      <c r="AA1572" s="35"/>
      <c r="AB1572" s="35"/>
      <c r="AC1572" s="35"/>
      <c r="AD1572" s="35"/>
      <c r="AE1572" s="35"/>
      <c r="AF1572" s="35"/>
      <c r="AG1572" s="35"/>
      <c r="AH1572" s="35"/>
      <c r="AI1572" s="35"/>
      <c r="AJ1572" s="35"/>
      <c r="AK1572" s="35"/>
      <c r="AL1572" s="35"/>
      <c r="AM1572" s="35"/>
      <c r="AN1572" s="35"/>
      <c r="AO1572" s="35"/>
      <c r="AP1572" s="35"/>
      <c r="AQ1572" s="35"/>
      <c r="AR1572" s="35"/>
      <c r="AS1572" s="35"/>
      <c r="AT1572" s="35"/>
      <c r="AU1572" s="35"/>
      <c r="AV1572" s="35"/>
      <c r="AW1572" s="35"/>
      <c r="AX1572" s="35"/>
      <c r="AY1572" s="35"/>
      <c r="AZ1572" s="35"/>
      <c r="BA1572" s="35"/>
      <c r="BB1572" s="35"/>
      <c r="BC1572" s="35"/>
      <c r="BD1572" s="35"/>
      <c r="BE1572" s="35"/>
      <c r="BF1572" s="35"/>
      <c r="BG1572" s="35"/>
    </row>
    <row r="1573" ht="15.75" customHeight="1">
      <c r="A1573" s="35"/>
      <c r="B1573" s="35"/>
      <c r="C1573" s="35"/>
      <c r="D1573" s="35"/>
      <c r="E1573" s="35"/>
      <c r="F1573" s="35"/>
      <c r="G1573" s="35"/>
      <c r="H1573" s="35"/>
      <c r="I1573" s="35"/>
      <c r="J1573" s="35"/>
      <c r="K1573" s="35"/>
      <c r="L1573" s="35"/>
      <c r="M1573" s="35"/>
      <c r="N1573" s="35"/>
      <c r="O1573" s="35"/>
      <c r="P1573" s="35"/>
      <c r="Q1573" s="35"/>
      <c r="R1573" s="35"/>
      <c r="S1573" s="35"/>
      <c r="T1573" s="35"/>
      <c r="U1573" s="35"/>
      <c r="V1573" s="35"/>
      <c r="W1573" s="35"/>
      <c r="X1573" s="35"/>
      <c r="Y1573" s="35"/>
      <c r="Z1573" s="35"/>
      <c r="AA1573" s="35"/>
      <c r="AB1573" s="35"/>
      <c r="AC1573" s="35"/>
      <c r="AD1573" s="35"/>
      <c r="AE1573" s="35"/>
      <c r="AF1573" s="35"/>
      <c r="AG1573" s="35"/>
      <c r="AH1573" s="35"/>
      <c r="AI1573" s="35"/>
      <c r="AJ1573" s="35"/>
      <c r="AK1573" s="35"/>
      <c r="AL1573" s="35"/>
      <c r="AM1573" s="35"/>
      <c r="AN1573" s="35"/>
      <c r="AO1573" s="35"/>
      <c r="AP1573" s="35"/>
      <c r="AQ1573" s="35"/>
      <c r="AR1573" s="35"/>
      <c r="AS1573" s="35"/>
      <c r="AT1573" s="35"/>
      <c r="AU1573" s="35"/>
      <c r="AV1573" s="35"/>
      <c r="AW1573" s="35"/>
      <c r="AX1573" s="35"/>
      <c r="AY1573" s="35"/>
      <c r="AZ1573" s="35"/>
      <c r="BA1573" s="35"/>
      <c r="BB1573" s="35"/>
      <c r="BC1573" s="35"/>
      <c r="BD1573" s="35"/>
      <c r="BE1573" s="35"/>
      <c r="BF1573" s="35"/>
      <c r="BG1573" s="35"/>
    </row>
    <row r="1574" ht="15.75" customHeight="1">
      <c r="A1574" s="35"/>
      <c r="B1574" s="35"/>
      <c r="C1574" s="35"/>
      <c r="D1574" s="35"/>
      <c r="E1574" s="35"/>
      <c r="F1574" s="35"/>
      <c r="G1574" s="35"/>
      <c r="H1574" s="35"/>
      <c r="I1574" s="35"/>
      <c r="J1574" s="35"/>
      <c r="K1574" s="35"/>
      <c r="L1574" s="35"/>
      <c r="M1574" s="35"/>
      <c r="N1574" s="35"/>
      <c r="O1574" s="35"/>
      <c r="P1574" s="35"/>
      <c r="Q1574" s="35"/>
      <c r="R1574" s="35"/>
      <c r="S1574" s="35"/>
      <c r="T1574" s="35"/>
      <c r="U1574" s="35"/>
      <c r="V1574" s="35"/>
      <c r="W1574" s="35"/>
      <c r="X1574" s="35"/>
      <c r="Y1574" s="35"/>
      <c r="Z1574" s="35"/>
      <c r="AA1574" s="35"/>
      <c r="AB1574" s="35"/>
      <c r="AC1574" s="35"/>
      <c r="AD1574" s="35"/>
      <c r="AE1574" s="35"/>
      <c r="AF1574" s="35"/>
      <c r="AG1574" s="35"/>
      <c r="AH1574" s="35"/>
      <c r="AI1574" s="35"/>
      <c r="AJ1574" s="35"/>
      <c r="AK1574" s="35"/>
      <c r="AL1574" s="35"/>
      <c r="AM1574" s="35"/>
      <c r="AN1574" s="35"/>
      <c r="AO1574" s="35"/>
      <c r="AP1574" s="35"/>
      <c r="AQ1574" s="35"/>
      <c r="AR1574" s="35"/>
      <c r="AS1574" s="35"/>
      <c r="AT1574" s="35"/>
      <c r="AU1574" s="35"/>
      <c r="AV1574" s="35"/>
      <c r="AW1574" s="35"/>
      <c r="AX1574" s="35"/>
      <c r="AY1574" s="35"/>
      <c r="AZ1574" s="35"/>
      <c r="BA1574" s="35"/>
      <c r="BB1574" s="35"/>
      <c r="BC1574" s="35"/>
      <c r="BD1574" s="35"/>
      <c r="BE1574" s="35"/>
      <c r="BF1574" s="35"/>
      <c r="BG1574" s="35"/>
    </row>
    <row r="1575" ht="15.75" customHeight="1">
      <c r="A1575" s="35"/>
      <c r="B1575" s="35"/>
      <c r="C1575" s="35"/>
      <c r="D1575" s="35"/>
      <c r="E1575" s="35"/>
      <c r="F1575" s="35"/>
      <c r="G1575" s="35"/>
      <c r="H1575" s="35"/>
      <c r="I1575" s="35"/>
      <c r="J1575" s="35"/>
      <c r="K1575" s="35"/>
      <c r="L1575" s="35"/>
      <c r="M1575" s="35"/>
      <c r="N1575" s="35"/>
      <c r="O1575" s="35"/>
      <c r="P1575" s="35"/>
      <c r="Q1575" s="35"/>
      <c r="R1575" s="35"/>
      <c r="S1575" s="35"/>
      <c r="T1575" s="35"/>
      <c r="U1575" s="35"/>
      <c r="V1575" s="35"/>
      <c r="W1575" s="35"/>
      <c r="X1575" s="35"/>
      <c r="Y1575" s="35"/>
      <c r="Z1575" s="35"/>
      <c r="AA1575" s="35"/>
      <c r="AB1575" s="35"/>
      <c r="AC1575" s="35"/>
      <c r="AD1575" s="35"/>
      <c r="AE1575" s="35"/>
      <c r="AF1575" s="35"/>
      <c r="AG1575" s="35"/>
      <c r="AH1575" s="35"/>
      <c r="AI1575" s="35"/>
      <c r="AJ1575" s="35"/>
      <c r="AK1575" s="35"/>
      <c r="AL1575" s="35"/>
      <c r="AM1575" s="35"/>
      <c r="AN1575" s="35"/>
      <c r="AO1575" s="35"/>
      <c r="AP1575" s="35"/>
      <c r="AQ1575" s="35"/>
      <c r="AR1575" s="35"/>
      <c r="AS1575" s="35"/>
      <c r="AT1575" s="35"/>
      <c r="AU1575" s="35"/>
      <c r="AV1575" s="35"/>
      <c r="AW1575" s="35"/>
      <c r="AX1575" s="35"/>
      <c r="AY1575" s="35"/>
      <c r="AZ1575" s="35"/>
      <c r="BA1575" s="35"/>
      <c r="BB1575" s="35"/>
      <c r="BC1575" s="35"/>
      <c r="BD1575" s="35"/>
      <c r="BE1575" s="35"/>
      <c r="BF1575" s="35"/>
      <c r="BG1575" s="35"/>
    </row>
    <row r="1576" ht="15.75" customHeight="1">
      <c r="A1576" s="35"/>
      <c r="B1576" s="35"/>
      <c r="C1576" s="35"/>
      <c r="D1576" s="35"/>
      <c r="E1576" s="35"/>
      <c r="F1576" s="35"/>
      <c r="G1576" s="35"/>
      <c r="H1576" s="35"/>
      <c r="I1576" s="35"/>
      <c r="J1576" s="35"/>
      <c r="K1576" s="35"/>
      <c r="L1576" s="35"/>
      <c r="M1576" s="35"/>
      <c r="N1576" s="35"/>
      <c r="O1576" s="35"/>
      <c r="P1576" s="35"/>
      <c r="Q1576" s="35"/>
      <c r="R1576" s="35"/>
      <c r="S1576" s="35"/>
      <c r="T1576" s="35"/>
      <c r="U1576" s="35"/>
      <c r="V1576" s="35"/>
      <c r="W1576" s="35"/>
      <c r="X1576" s="35"/>
      <c r="Y1576" s="35"/>
      <c r="Z1576" s="35"/>
      <c r="AA1576" s="35"/>
      <c r="AB1576" s="35"/>
      <c r="AC1576" s="35"/>
      <c r="AD1576" s="35"/>
      <c r="AE1576" s="35"/>
      <c r="AF1576" s="35"/>
      <c r="AG1576" s="35"/>
      <c r="AH1576" s="35"/>
      <c r="AI1576" s="35"/>
      <c r="AJ1576" s="35"/>
      <c r="AK1576" s="35"/>
      <c r="AL1576" s="35"/>
      <c r="AM1576" s="35"/>
      <c r="AN1576" s="35"/>
      <c r="AO1576" s="35"/>
      <c r="AP1576" s="35"/>
      <c r="AQ1576" s="35"/>
      <c r="AR1576" s="35"/>
      <c r="AS1576" s="35"/>
      <c r="AT1576" s="35"/>
      <c r="AU1576" s="35"/>
      <c r="AV1576" s="35"/>
      <c r="AW1576" s="35"/>
      <c r="AX1576" s="35"/>
      <c r="AY1576" s="35"/>
      <c r="AZ1576" s="35"/>
      <c r="BA1576" s="35"/>
      <c r="BB1576" s="35"/>
      <c r="BC1576" s="35"/>
      <c r="BD1576" s="35"/>
      <c r="BE1576" s="35"/>
      <c r="BF1576" s="35"/>
      <c r="BG1576" s="35"/>
    </row>
    <row r="1577" ht="15.75" customHeight="1">
      <c r="A1577" s="35"/>
      <c r="B1577" s="35"/>
      <c r="C1577" s="35"/>
      <c r="D1577" s="35"/>
      <c r="E1577" s="35"/>
      <c r="F1577" s="35"/>
      <c r="G1577" s="35"/>
      <c r="H1577" s="35"/>
      <c r="I1577" s="35"/>
      <c r="J1577" s="35"/>
      <c r="K1577" s="35"/>
      <c r="L1577" s="35"/>
      <c r="M1577" s="35"/>
      <c r="N1577" s="35"/>
      <c r="O1577" s="35"/>
      <c r="P1577" s="35"/>
      <c r="Q1577" s="35"/>
      <c r="R1577" s="35"/>
      <c r="S1577" s="35"/>
      <c r="T1577" s="35"/>
      <c r="U1577" s="35"/>
      <c r="V1577" s="35"/>
      <c r="W1577" s="35"/>
      <c r="X1577" s="35"/>
      <c r="Y1577" s="35"/>
      <c r="Z1577" s="35"/>
      <c r="AA1577" s="35"/>
      <c r="AB1577" s="35"/>
      <c r="AC1577" s="35"/>
      <c r="AD1577" s="35"/>
      <c r="AE1577" s="35"/>
      <c r="AF1577" s="35"/>
      <c r="AG1577" s="35"/>
      <c r="AH1577" s="35"/>
      <c r="AI1577" s="35"/>
      <c r="AJ1577" s="35"/>
      <c r="AK1577" s="35"/>
      <c r="AL1577" s="35"/>
      <c r="AM1577" s="35"/>
      <c r="AN1577" s="35"/>
      <c r="AO1577" s="35"/>
      <c r="AP1577" s="35"/>
      <c r="AQ1577" s="35"/>
      <c r="AR1577" s="35"/>
      <c r="AS1577" s="35"/>
      <c r="AT1577" s="35"/>
      <c r="AU1577" s="35"/>
      <c r="AV1577" s="35"/>
      <c r="AW1577" s="35"/>
      <c r="AX1577" s="35"/>
      <c r="AY1577" s="35"/>
      <c r="AZ1577" s="35"/>
      <c r="BA1577" s="35"/>
      <c r="BB1577" s="35"/>
      <c r="BC1577" s="35"/>
      <c r="BD1577" s="35"/>
      <c r="BE1577" s="35"/>
      <c r="BF1577" s="35"/>
      <c r="BG1577" s="35"/>
    </row>
    <row r="1578" ht="15.75" customHeight="1">
      <c r="A1578" s="35"/>
      <c r="B1578" s="35"/>
      <c r="C1578" s="35"/>
      <c r="D1578" s="35"/>
      <c r="E1578" s="35"/>
      <c r="F1578" s="35"/>
      <c r="G1578" s="35"/>
      <c r="H1578" s="35"/>
      <c r="I1578" s="35"/>
      <c r="J1578" s="35"/>
      <c r="K1578" s="35"/>
      <c r="L1578" s="35"/>
      <c r="M1578" s="35"/>
      <c r="N1578" s="35"/>
      <c r="O1578" s="35"/>
      <c r="P1578" s="35"/>
      <c r="Q1578" s="35"/>
      <c r="R1578" s="35"/>
      <c r="S1578" s="35"/>
      <c r="T1578" s="35"/>
      <c r="U1578" s="35"/>
      <c r="V1578" s="35"/>
      <c r="W1578" s="35"/>
      <c r="X1578" s="35"/>
      <c r="Y1578" s="35"/>
      <c r="Z1578" s="35"/>
      <c r="AA1578" s="35"/>
      <c r="AB1578" s="35"/>
      <c r="AC1578" s="35"/>
      <c r="AD1578" s="35"/>
      <c r="AE1578" s="35"/>
      <c r="AF1578" s="35"/>
      <c r="AG1578" s="35"/>
      <c r="AH1578" s="35"/>
      <c r="AI1578" s="35"/>
      <c r="AJ1578" s="35"/>
      <c r="AK1578" s="35"/>
      <c r="AL1578" s="35"/>
      <c r="AM1578" s="35"/>
      <c r="AN1578" s="35"/>
      <c r="AO1578" s="35"/>
      <c r="AP1578" s="35"/>
      <c r="AQ1578" s="35"/>
      <c r="AR1578" s="35"/>
      <c r="AS1578" s="35"/>
      <c r="AT1578" s="35"/>
      <c r="AU1578" s="35"/>
      <c r="AV1578" s="35"/>
      <c r="AW1578" s="35"/>
      <c r="AX1578" s="35"/>
      <c r="AY1578" s="35"/>
      <c r="AZ1578" s="35"/>
      <c r="BA1578" s="35"/>
      <c r="BB1578" s="35"/>
      <c r="BC1578" s="35"/>
      <c r="BD1578" s="35"/>
      <c r="BE1578" s="35"/>
      <c r="BF1578" s="35"/>
      <c r="BG1578" s="35"/>
    </row>
    <row r="1579" ht="15.75" customHeight="1">
      <c r="A1579" s="35"/>
      <c r="B1579" s="35"/>
      <c r="C1579" s="35"/>
      <c r="D1579" s="35"/>
      <c r="E1579" s="35"/>
      <c r="F1579" s="35"/>
      <c r="G1579" s="35"/>
      <c r="H1579" s="35"/>
      <c r="I1579" s="35"/>
      <c r="J1579" s="35"/>
      <c r="K1579" s="35"/>
      <c r="L1579" s="35"/>
      <c r="M1579" s="35"/>
      <c r="N1579" s="35"/>
      <c r="O1579" s="35"/>
      <c r="P1579" s="35"/>
      <c r="Q1579" s="35"/>
      <c r="R1579" s="35"/>
      <c r="S1579" s="35"/>
      <c r="T1579" s="35"/>
      <c r="U1579" s="35"/>
      <c r="V1579" s="35"/>
      <c r="W1579" s="35"/>
      <c r="X1579" s="35"/>
      <c r="Y1579" s="35"/>
      <c r="Z1579" s="35"/>
      <c r="AA1579" s="35"/>
      <c r="AB1579" s="35"/>
      <c r="AC1579" s="35"/>
      <c r="AD1579" s="35"/>
      <c r="AE1579" s="35"/>
      <c r="AF1579" s="35"/>
      <c r="AG1579" s="35"/>
      <c r="AH1579" s="35"/>
      <c r="AI1579" s="35"/>
      <c r="AJ1579" s="35"/>
      <c r="AK1579" s="35"/>
      <c r="AL1579" s="35"/>
      <c r="AM1579" s="35"/>
      <c r="AN1579" s="35"/>
      <c r="AO1579" s="35"/>
      <c r="AP1579" s="35"/>
      <c r="AQ1579" s="35"/>
      <c r="AR1579" s="35"/>
      <c r="AS1579" s="35"/>
      <c r="AT1579" s="35"/>
      <c r="AU1579" s="35"/>
      <c r="AV1579" s="35"/>
      <c r="AW1579" s="35"/>
      <c r="AX1579" s="35"/>
      <c r="AY1579" s="35"/>
      <c r="AZ1579" s="35"/>
      <c r="BA1579" s="35"/>
      <c r="BB1579" s="35"/>
      <c r="BC1579" s="35"/>
      <c r="BD1579" s="35"/>
      <c r="BE1579" s="35"/>
      <c r="BF1579" s="35"/>
      <c r="BG1579" s="35"/>
    </row>
    <row r="1580" ht="15.75" customHeight="1">
      <c r="A1580" s="35"/>
      <c r="B1580" s="35"/>
      <c r="C1580" s="35"/>
      <c r="D1580" s="35"/>
      <c r="E1580" s="35"/>
      <c r="F1580" s="35"/>
      <c r="G1580" s="35"/>
      <c r="H1580" s="35"/>
      <c r="I1580" s="35"/>
      <c r="J1580" s="35"/>
      <c r="K1580" s="35"/>
      <c r="L1580" s="35"/>
      <c r="M1580" s="35"/>
      <c r="N1580" s="35"/>
      <c r="O1580" s="35"/>
      <c r="P1580" s="35"/>
      <c r="Q1580" s="35"/>
      <c r="R1580" s="35"/>
      <c r="S1580" s="35"/>
      <c r="T1580" s="35"/>
      <c r="U1580" s="35"/>
      <c r="V1580" s="35"/>
      <c r="W1580" s="35"/>
      <c r="X1580" s="35"/>
      <c r="Y1580" s="35"/>
      <c r="Z1580" s="35"/>
      <c r="AA1580" s="35"/>
      <c r="AB1580" s="35"/>
      <c r="AC1580" s="35"/>
      <c r="AD1580" s="35"/>
      <c r="AE1580" s="35"/>
      <c r="AF1580" s="35"/>
      <c r="AG1580" s="35"/>
      <c r="AH1580" s="35"/>
      <c r="AI1580" s="35"/>
      <c r="AJ1580" s="35"/>
      <c r="AK1580" s="35"/>
      <c r="AL1580" s="35"/>
      <c r="AM1580" s="35"/>
      <c r="AN1580" s="35"/>
      <c r="AO1580" s="35"/>
      <c r="AP1580" s="35"/>
      <c r="AQ1580" s="35"/>
      <c r="AR1580" s="35"/>
      <c r="AS1580" s="35"/>
      <c r="AT1580" s="35"/>
      <c r="AU1580" s="35"/>
      <c r="AV1580" s="35"/>
      <c r="AW1580" s="35"/>
      <c r="AX1580" s="35"/>
      <c r="AY1580" s="35"/>
      <c r="AZ1580" s="35"/>
      <c r="BA1580" s="35"/>
      <c r="BB1580" s="35"/>
      <c r="BC1580" s="35"/>
      <c r="BD1580" s="35"/>
      <c r="BE1580" s="35"/>
      <c r="BF1580" s="35"/>
      <c r="BG1580" s="35"/>
    </row>
    <row r="1581" ht="15.75" customHeight="1">
      <c r="A1581" s="35"/>
      <c r="B1581" s="35"/>
      <c r="C1581" s="35"/>
      <c r="D1581" s="35"/>
      <c r="E1581" s="35"/>
      <c r="F1581" s="35"/>
      <c r="G1581" s="35"/>
      <c r="H1581" s="35"/>
      <c r="I1581" s="35"/>
      <c r="J1581" s="35"/>
      <c r="K1581" s="35"/>
      <c r="L1581" s="35"/>
      <c r="M1581" s="35"/>
      <c r="N1581" s="35"/>
      <c r="O1581" s="35"/>
      <c r="P1581" s="35"/>
      <c r="Q1581" s="35"/>
      <c r="R1581" s="35"/>
      <c r="S1581" s="35"/>
      <c r="T1581" s="35"/>
      <c r="U1581" s="35"/>
      <c r="V1581" s="35"/>
      <c r="W1581" s="35"/>
      <c r="X1581" s="35"/>
      <c r="Y1581" s="35"/>
      <c r="Z1581" s="35"/>
      <c r="AA1581" s="35"/>
      <c r="AB1581" s="35"/>
      <c r="AC1581" s="35"/>
      <c r="AD1581" s="35"/>
      <c r="AE1581" s="35"/>
      <c r="AF1581" s="35"/>
      <c r="AG1581" s="35"/>
      <c r="AH1581" s="35"/>
      <c r="AI1581" s="35"/>
      <c r="AJ1581" s="35"/>
      <c r="AK1581" s="35"/>
      <c r="AL1581" s="35"/>
      <c r="AM1581" s="35"/>
      <c r="AN1581" s="35"/>
      <c r="AO1581" s="35"/>
      <c r="AP1581" s="35"/>
      <c r="AQ1581" s="35"/>
      <c r="AR1581" s="35"/>
      <c r="AS1581" s="35"/>
      <c r="AT1581" s="35"/>
      <c r="AU1581" s="35"/>
      <c r="AV1581" s="35"/>
      <c r="AW1581" s="35"/>
      <c r="AX1581" s="35"/>
      <c r="AY1581" s="35"/>
      <c r="AZ1581" s="35"/>
      <c r="BA1581" s="35"/>
      <c r="BB1581" s="35"/>
      <c r="BC1581" s="35"/>
      <c r="BD1581" s="35"/>
      <c r="BE1581" s="35"/>
      <c r="BF1581" s="35"/>
      <c r="BG1581" s="35"/>
    </row>
    <row r="1582" ht="15.75" customHeight="1">
      <c r="A1582" s="35"/>
      <c r="B1582" s="35"/>
      <c r="C1582" s="35"/>
      <c r="D1582" s="35"/>
      <c r="E1582" s="35"/>
      <c r="F1582" s="35"/>
      <c r="G1582" s="35"/>
      <c r="H1582" s="35"/>
      <c r="I1582" s="35"/>
      <c r="J1582" s="35"/>
      <c r="K1582" s="35"/>
      <c r="L1582" s="35"/>
      <c r="M1582" s="35"/>
      <c r="N1582" s="35"/>
      <c r="O1582" s="35"/>
      <c r="P1582" s="35"/>
      <c r="Q1582" s="35"/>
      <c r="R1582" s="35"/>
      <c r="S1582" s="35"/>
      <c r="T1582" s="35"/>
      <c r="U1582" s="35"/>
      <c r="V1582" s="35"/>
      <c r="W1582" s="35"/>
      <c r="X1582" s="35"/>
      <c r="Y1582" s="35"/>
      <c r="Z1582" s="35"/>
      <c r="AA1582" s="35"/>
      <c r="AB1582" s="35"/>
      <c r="AC1582" s="35"/>
      <c r="AD1582" s="35"/>
      <c r="AE1582" s="35"/>
      <c r="AF1582" s="35"/>
      <c r="AG1582" s="35"/>
      <c r="AH1582" s="35"/>
      <c r="AI1582" s="35"/>
      <c r="AJ1582" s="35"/>
      <c r="AK1582" s="35"/>
      <c r="AL1582" s="35"/>
      <c r="AM1582" s="35"/>
      <c r="AN1582" s="35"/>
      <c r="AO1582" s="35"/>
      <c r="AP1582" s="35"/>
      <c r="AQ1582" s="35"/>
      <c r="AR1582" s="35"/>
      <c r="AS1582" s="35"/>
      <c r="AT1582" s="35"/>
      <c r="AU1582" s="35"/>
      <c r="AV1582" s="35"/>
      <c r="AW1582" s="35"/>
      <c r="AX1582" s="35"/>
      <c r="AY1582" s="35"/>
      <c r="AZ1582" s="35"/>
      <c r="BA1582" s="35"/>
      <c r="BB1582" s="35"/>
      <c r="BC1582" s="35"/>
      <c r="BD1582" s="35"/>
      <c r="BE1582" s="35"/>
      <c r="BF1582" s="35"/>
      <c r="BG1582" s="35"/>
    </row>
    <row r="1583" ht="15.75" customHeight="1">
      <c r="A1583" s="35"/>
      <c r="B1583" s="35"/>
      <c r="C1583" s="35"/>
      <c r="D1583" s="35"/>
      <c r="E1583" s="35"/>
      <c r="F1583" s="35"/>
      <c r="G1583" s="35"/>
      <c r="H1583" s="35"/>
      <c r="I1583" s="35"/>
      <c r="J1583" s="35"/>
      <c r="K1583" s="35"/>
      <c r="L1583" s="35"/>
      <c r="M1583" s="35"/>
      <c r="N1583" s="35"/>
      <c r="O1583" s="35"/>
      <c r="P1583" s="35"/>
      <c r="Q1583" s="35"/>
      <c r="R1583" s="35"/>
      <c r="S1583" s="35"/>
      <c r="T1583" s="35"/>
      <c r="U1583" s="35"/>
      <c r="V1583" s="35"/>
      <c r="W1583" s="35"/>
      <c r="X1583" s="35"/>
      <c r="Y1583" s="35"/>
      <c r="Z1583" s="35"/>
      <c r="AA1583" s="35"/>
      <c r="AB1583" s="35"/>
      <c r="AC1583" s="35"/>
      <c r="AD1583" s="35"/>
      <c r="AE1583" s="35"/>
      <c r="AF1583" s="35"/>
      <c r="AG1583" s="35"/>
      <c r="AH1583" s="35"/>
      <c r="AI1583" s="35"/>
      <c r="AJ1583" s="35"/>
      <c r="AK1583" s="35"/>
      <c r="AL1583" s="35"/>
      <c r="AM1583" s="35"/>
      <c r="AN1583" s="35"/>
      <c r="AO1583" s="35"/>
      <c r="AP1583" s="35"/>
      <c r="AQ1583" s="35"/>
      <c r="AR1583" s="35"/>
      <c r="AS1583" s="35"/>
      <c r="AT1583" s="35"/>
      <c r="AU1583" s="35"/>
      <c r="AV1583" s="35"/>
      <c r="AW1583" s="35"/>
      <c r="AX1583" s="35"/>
      <c r="AY1583" s="35"/>
      <c r="AZ1583" s="35"/>
      <c r="BA1583" s="35"/>
      <c r="BB1583" s="35"/>
      <c r="BC1583" s="35"/>
      <c r="BD1583" s="35"/>
      <c r="BE1583" s="35"/>
      <c r="BF1583" s="35"/>
      <c r="BG1583" s="35"/>
    </row>
    <row r="1584" ht="15.75" customHeight="1">
      <c r="A1584" s="35"/>
      <c r="B1584" s="35"/>
      <c r="C1584" s="35"/>
      <c r="D1584" s="35"/>
      <c r="E1584" s="35"/>
      <c r="F1584" s="35"/>
      <c r="G1584" s="35"/>
      <c r="H1584" s="35"/>
      <c r="I1584" s="35"/>
      <c r="J1584" s="35"/>
      <c r="K1584" s="35"/>
      <c r="L1584" s="35"/>
      <c r="M1584" s="35"/>
      <c r="N1584" s="35"/>
      <c r="O1584" s="35"/>
      <c r="P1584" s="35"/>
      <c r="Q1584" s="35"/>
      <c r="R1584" s="35"/>
      <c r="S1584" s="35"/>
      <c r="T1584" s="35"/>
      <c r="U1584" s="35"/>
      <c r="V1584" s="35"/>
      <c r="W1584" s="35"/>
      <c r="X1584" s="35"/>
      <c r="Y1584" s="35"/>
      <c r="Z1584" s="35"/>
      <c r="AA1584" s="35"/>
      <c r="AB1584" s="35"/>
      <c r="AC1584" s="35"/>
      <c r="AD1584" s="35"/>
      <c r="AE1584" s="35"/>
      <c r="AF1584" s="35"/>
      <c r="AG1584" s="35"/>
      <c r="AH1584" s="35"/>
      <c r="AI1584" s="35"/>
      <c r="AJ1584" s="35"/>
      <c r="AK1584" s="35"/>
      <c r="AL1584" s="35"/>
      <c r="AM1584" s="35"/>
      <c r="AN1584" s="35"/>
      <c r="AO1584" s="35"/>
      <c r="AP1584" s="35"/>
      <c r="AQ1584" s="35"/>
      <c r="AR1584" s="35"/>
      <c r="AS1584" s="35"/>
      <c r="AT1584" s="35"/>
      <c r="AU1584" s="35"/>
      <c r="AV1584" s="35"/>
      <c r="AW1584" s="35"/>
      <c r="AX1584" s="35"/>
      <c r="AY1584" s="35"/>
      <c r="AZ1584" s="35"/>
      <c r="BA1584" s="35"/>
      <c r="BB1584" s="35"/>
      <c r="BC1584" s="35"/>
      <c r="BD1584" s="35"/>
      <c r="BE1584" s="35"/>
      <c r="BF1584" s="35"/>
      <c r="BG1584" s="35"/>
    </row>
    <row r="1585" ht="15.75" customHeight="1">
      <c r="A1585" s="35"/>
      <c r="B1585" s="35"/>
      <c r="C1585" s="35"/>
      <c r="D1585" s="35"/>
      <c r="E1585" s="35"/>
      <c r="F1585" s="35"/>
      <c r="G1585" s="35"/>
      <c r="H1585" s="35"/>
      <c r="I1585" s="35"/>
      <c r="J1585" s="35"/>
      <c r="K1585" s="35"/>
      <c r="L1585" s="35"/>
      <c r="M1585" s="35"/>
      <c r="N1585" s="35"/>
      <c r="O1585" s="35"/>
      <c r="P1585" s="35"/>
      <c r="Q1585" s="35"/>
      <c r="R1585" s="35"/>
      <c r="S1585" s="35"/>
      <c r="T1585" s="35"/>
      <c r="U1585" s="35"/>
      <c r="V1585" s="35"/>
      <c r="W1585" s="35"/>
      <c r="X1585" s="35"/>
      <c r="Y1585" s="35"/>
      <c r="Z1585" s="35"/>
      <c r="AA1585" s="35"/>
      <c r="AB1585" s="35"/>
      <c r="AC1585" s="35"/>
      <c r="AD1585" s="35"/>
      <c r="AE1585" s="35"/>
      <c r="AF1585" s="35"/>
      <c r="AG1585" s="35"/>
      <c r="AH1585" s="35"/>
      <c r="AI1585" s="35"/>
      <c r="AJ1585" s="35"/>
      <c r="AK1585" s="35"/>
      <c r="AL1585" s="35"/>
      <c r="AM1585" s="35"/>
      <c r="AN1585" s="35"/>
      <c r="AO1585" s="35"/>
      <c r="AP1585" s="35"/>
      <c r="AQ1585" s="35"/>
      <c r="AR1585" s="35"/>
      <c r="AS1585" s="35"/>
      <c r="AT1585" s="35"/>
      <c r="AU1585" s="35"/>
      <c r="AV1585" s="35"/>
      <c r="AW1585" s="35"/>
      <c r="AX1585" s="35"/>
      <c r="AY1585" s="35"/>
      <c r="AZ1585" s="35"/>
      <c r="BA1585" s="35"/>
      <c r="BB1585" s="35"/>
      <c r="BC1585" s="35"/>
      <c r="BD1585" s="35"/>
      <c r="BE1585" s="35"/>
      <c r="BF1585" s="35"/>
      <c r="BG1585" s="35"/>
    </row>
    <row r="1586" ht="15.75" customHeight="1">
      <c r="A1586" s="35"/>
      <c r="B1586" s="35"/>
      <c r="C1586" s="35"/>
      <c r="D1586" s="35"/>
      <c r="E1586" s="35"/>
      <c r="F1586" s="35"/>
      <c r="G1586" s="35"/>
      <c r="H1586" s="35"/>
      <c r="I1586" s="35"/>
      <c r="J1586" s="35"/>
      <c r="K1586" s="35"/>
      <c r="L1586" s="35"/>
      <c r="M1586" s="35"/>
      <c r="N1586" s="35"/>
      <c r="O1586" s="35"/>
      <c r="P1586" s="35"/>
      <c r="Q1586" s="35"/>
      <c r="R1586" s="35"/>
      <c r="S1586" s="35"/>
      <c r="T1586" s="35"/>
      <c r="U1586" s="35"/>
      <c r="V1586" s="35"/>
      <c r="W1586" s="35"/>
      <c r="X1586" s="35"/>
      <c r="Y1586" s="35"/>
      <c r="Z1586" s="35"/>
      <c r="AA1586" s="35"/>
      <c r="AB1586" s="35"/>
      <c r="AC1586" s="35"/>
      <c r="AD1586" s="35"/>
      <c r="AE1586" s="35"/>
      <c r="AF1586" s="35"/>
      <c r="AG1586" s="35"/>
      <c r="AH1586" s="35"/>
      <c r="AI1586" s="35"/>
      <c r="AJ1586" s="35"/>
      <c r="AK1586" s="35"/>
      <c r="AL1586" s="35"/>
      <c r="AM1586" s="35"/>
      <c r="AN1586" s="35"/>
      <c r="AO1586" s="35"/>
      <c r="AP1586" s="35"/>
      <c r="AQ1586" s="35"/>
      <c r="AR1586" s="35"/>
      <c r="AS1586" s="35"/>
      <c r="AT1586" s="35"/>
      <c r="AU1586" s="35"/>
      <c r="AV1586" s="35"/>
      <c r="AW1586" s="35"/>
      <c r="AX1586" s="35"/>
      <c r="AY1586" s="35"/>
      <c r="AZ1586" s="35"/>
      <c r="BA1586" s="35"/>
      <c r="BB1586" s="35"/>
      <c r="BC1586" s="35"/>
      <c r="BD1586" s="35"/>
      <c r="BE1586" s="35"/>
      <c r="BF1586" s="35"/>
      <c r="BG1586" s="35"/>
    </row>
    <row r="1587" ht="15.75" customHeight="1">
      <c r="A1587" s="35"/>
      <c r="B1587" s="35"/>
      <c r="C1587" s="35"/>
      <c r="D1587" s="35"/>
      <c r="E1587" s="35"/>
      <c r="F1587" s="35"/>
      <c r="G1587" s="35"/>
      <c r="H1587" s="35"/>
      <c r="I1587" s="35"/>
      <c r="J1587" s="35"/>
      <c r="K1587" s="35"/>
      <c r="L1587" s="35"/>
      <c r="M1587" s="35"/>
      <c r="N1587" s="35"/>
      <c r="O1587" s="35"/>
      <c r="P1587" s="35"/>
      <c r="Q1587" s="35"/>
      <c r="R1587" s="35"/>
      <c r="S1587" s="35"/>
      <c r="T1587" s="35"/>
      <c r="U1587" s="35"/>
      <c r="V1587" s="35"/>
      <c r="W1587" s="35"/>
      <c r="X1587" s="35"/>
      <c r="Y1587" s="35"/>
      <c r="Z1587" s="35"/>
      <c r="AA1587" s="35"/>
      <c r="AB1587" s="35"/>
      <c r="AC1587" s="35"/>
      <c r="AD1587" s="35"/>
      <c r="AE1587" s="35"/>
      <c r="AF1587" s="35"/>
      <c r="AG1587" s="35"/>
      <c r="AH1587" s="35"/>
      <c r="AI1587" s="35"/>
      <c r="AJ1587" s="35"/>
      <c r="AK1587" s="35"/>
      <c r="AL1587" s="35"/>
      <c r="AM1587" s="35"/>
      <c r="AN1587" s="35"/>
      <c r="AO1587" s="35"/>
      <c r="AP1587" s="35"/>
      <c r="AQ1587" s="35"/>
      <c r="AR1587" s="35"/>
      <c r="AS1587" s="35"/>
      <c r="AT1587" s="35"/>
      <c r="AU1587" s="35"/>
      <c r="AV1587" s="35"/>
      <c r="AW1587" s="35"/>
      <c r="AX1587" s="35"/>
      <c r="AY1587" s="35"/>
      <c r="AZ1587" s="35"/>
      <c r="BA1587" s="35"/>
      <c r="BB1587" s="35"/>
      <c r="BC1587" s="35"/>
      <c r="BD1587" s="35"/>
      <c r="BE1587" s="35"/>
      <c r="BF1587" s="35"/>
      <c r="BG1587" s="35"/>
    </row>
    <row r="1588" ht="15.75" customHeight="1">
      <c r="A1588" s="35"/>
      <c r="B1588" s="35"/>
      <c r="C1588" s="35"/>
      <c r="D1588" s="35"/>
      <c r="E1588" s="35"/>
      <c r="F1588" s="35"/>
      <c r="G1588" s="35"/>
      <c r="H1588" s="35"/>
      <c r="I1588" s="35"/>
      <c r="J1588" s="35"/>
      <c r="K1588" s="35"/>
      <c r="L1588" s="35"/>
      <c r="M1588" s="35"/>
      <c r="N1588" s="35"/>
      <c r="O1588" s="35"/>
      <c r="P1588" s="35"/>
      <c r="Q1588" s="35"/>
      <c r="R1588" s="35"/>
      <c r="S1588" s="35"/>
      <c r="T1588" s="35"/>
      <c r="U1588" s="35"/>
      <c r="V1588" s="35"/>
      <c r="W1588" s="35"/>
      <c r="X1588" s="35"/>
      <c r="Y1588" s="35"/>
      <c r="Z1588" s="35"/>
      <c r="AA1588" s="35"/>
      <c r="AB1588" s="35"/>
      <c r="AC1588" s="35"/>
      <c r="AD1588" s="35"/>
      <c r="AE1588" s="35"/>
      <c r="AF1588" s="35"/>
      <c r="AG1588" s="35"/>
      <c r="AH1588" s="35"/>
      <c r="AI1588" s="35"/>
      <c r="AJ1588" s="35"/>
      <c r="AK1588" s="35"/>
      <c r="AL1588" s="35"/>
      <c r="AM1588" s="35"/>
      <c r="AN1588" s="35"/>
      <c r="AO1588" s="35"/>
      <c r="AP1588" s="35"/>
      <c r="AQ1588" s="35"/>
      <c r="AR1588" s="35"/>
      <c r="AS1588" s="35"/>
      <c r="AT1588" s="35"/>
      <c r="AU1588" s="35"/>
      <c r="AV1588" s="35"/>
      <c r="AW1588" s="35"/>
      <c r="AX1588" s="35"/>
      <c r="AY1588" s="35"/>
      <c r="AZ1588" s="35"/>
      <c r="BA1588" s="35"/>
      <c r="BB1588" s="35"/>
      <c r="BC1588" s="35"/>
      <c r="BD1588" s="35"/>
      <c r="BE1588" s="35"/>
      <c r="BF1588" s="35"/>
      <c r="BG1588" s="35"/>
    </row>
    <row r="1589" ht="15.75" customHeight="1">
      <c r="A1589" s="35"/>
      <c r="B1589" s="35"/>
      <c r="C1589" s="35"/>
      <c r="D1589" s="35"/>
      <c r="E1589" s="35"/>
      <c r="F1589" s="35"/>
      <c r="G1589" s="35"/>
      <c r="H1589" s="35"/>
      <c r="I1589" s="35"/>
      <c r="J1589" s="35"/>
      <c r="K1589" s="35"/>
      <c r="L1589" s="35"/>
      <c r="M1589" s="35"/>
      <c r="N1589" s="35"/>
      <c r="O1589" s="35"/>
      <c r="P1589" s="35"/>
      <c r="Q1589" s="35"/>
      <c r="R1589" s="35"/>
      <c r="S1589" s="35"/>
      <c r="T1589" s="35"/>
      <c r="U1589" s="35"/>
      <c r="V1589" s="35"/>
      <c r="W1589" s="35"/>
      <c r="X1589" s="35"/>
      <c r="Y1589" s="35"/>
      <c r="Z1589" s="35"/>
      <c r="AA1589" s="35"/>
      <c r="AB1589" s="35"/>
      <c r="AC1589" s="35"/>
      <c r="AD1589" s="35"/>
      <c r="AE1589" s="35"/>
      <c r="AF1589" s="35"/>
      <c r="AG1589" s="35"/>
      <c r="AH1589" s="35"/>
      <c r="AI1589" s="35"/>
      <c r="AJ1589" s="35"/>
      <c r="AK1589" s="35"/>
      <c r="AL1589" s="35"/>
      <c r="AM1589" s="35"/>
      <c r="AN1589" s="35"/>
      <c r="AO1589" s="35"/>
      <c r="AP1589" s="35"/>
      <c r="AQ1589" s="35"/>
      <c r="AR1589" s="35"/>
      <c r="AS1589" s="35"/>
      <c r="AT1589" s="35"/>
      <c r="AU1589" s="35"/>
      <c r="AV1589" s="35"/>
      <c r="AW1589" s="35"/>
      <c r="AX1589" s="35"/>
      <c r="AY1589" s="35"/>
      <c r="AZ1589" s="35"/>
      <c r="BA1589" s="35"/>
      <c r="BB1589" s="35"/>
      <c r="BC1589" s="35"/>
      <c r="BD1589" s="35"/>
      <c r="BE1589" s="35"/>
      <c r="BF1589" s="35"/>
      <c r="BG1589" s="35"/>
    </row>
    <row r="1590" ht="15.75" customHeight="1">
      <c r="A1590" s="35"/>
      <c r="B1590" s="35"/>
      <c r="C1590" s="35"/>
      <c r="D1590" s="35"/>
      <c r="E1590" s="35"/>
      <c r="F1590" s="35"/>
      <c r="G1590" s="35"/>
      <c r="H1590" s="35"/>
      <c r="I1590" s="35"/>
      <c r="J1590" s="35"/>
      <c r="K1590" s="35"/>
      <c r="L1590" s="35"/>
      <c r="M1590" s="35"/>
      <c r="N1590" s="35"/>
      <c r="O1590" s="35"/>
      <c r="P1590" s="35"/>
      <c r="Q1590" s="35"/>
      <c r="R1590" s="35"/>
      <c r="S1590" s="35"/>
      <c r="T1590" s="35"/>
      <c r="U1590" s="35"/>
      <c r="V1590" s="35"/>
      <c r="W1590" s="35"/>
      <c r="X1590" s="35"/>
      <c r="Y1590" s="35"/>
      <c r="Z1590" s="35"/>
      <c r="AA1590" s="35"/>
      <c r="AB1590" s="35"/>
      <c r="AC1590" s="35"/>
      <c r="AD1590" s="35"/>
      <c r="AE1590" s="35"/>
      <c r="AF1590" s="35"/>
      <c r="AG1590" s="35"/>
      <c r="AH1590" s="35"/>
      <c r="AI1590" s="35"/>
      <c r="AJ1590" s="35"/>
      <c r="AK1590" s="35"/>
      <c r="AL1590" s="35"/>
      <c r="AM1590" s="35"/>
      <c r="AN1590" s="35"/>
      <c r="AO1590" s="35"/>
      <c r="AP1590" s="35"/>
      <c r="AQ1590" s="35"/>
      <c r="AR1590" s="35"/>
      <c r="AS1590" s="35"/>
      <c r="AT1590" s="35"/>
      <c r="AU1590" s="35"/>
      <c r="AV1590" s="35"/>
      <c r="AW1590" s="35"/>
      <c r="AX1590" s="35"/>
      <c r="AY1590" s="35"/>
      <c r="AZ1590" s="35"/>
      <c r="BA1590" s="35"/>
      <c r="BB1590" s="35"/>
      <c r="BC1590" s="35"/>
      <c r="BD1590" s="35"/>
      <c r="BE1590" s="35"/>
      <c r="BF1590" s="35"/>
      <c r="BG1590" s="35"/>
    </row>
    <row r="1591" ht="15.75" customHeight="1">
      <c r="A1591" s="35"/>
      <c r="B1591" s="35"/>
      <c r="C1591" s="35"/>
      <c r="D1591" s="35"/>
      <c r="E1591" s="35"/>
      <c r="F1591" s="35"/>
      <c r="G1591" s="35"/>
      <c r="H1591" s="35"/>
      <c r="I1591" s="35"/>
      <c r="J1591" s="35"/>
      <c r="K1591" s="35"/>
      <c r="L1591" s="35"/>
      <c r="M1591" s="35"/>
      <c r="N1591" s="35"/>
      <c r="O1591" s="35"/>
      <c r="P1591" s="35"/>
      <c r="Q1591" s="35"/>
      <c r="R1591" s="35"/>
      <c r="S1591" s="35"/>
      <c r="T1591" s="35"/>
      <c r="U1591" s="35"/>
      <c r="V1591" s="35"/>
      <c r="W1591" s="35"/>
      <c r="X1591" s="35"/>
      <c r="Y1591" s="35"/>
      <c r="Z1591" s="35"/>
      <c r="AA1591" s="35"/>
      <c r="AB1591" s="35"/>
      <c r="AC1591" s="35"/>
      <c r="AD1591" s="35"/>
      <c r="AE1591" s="35"/>
      <c r="AF1591" s="35"/>
      <c r="AG1591" s="35"/>
      <c r="AH1591" s="35"/>
      <c r="AI1591" s="35"/>
      <c r="AJ1591" s="35"/>
      <c r="AK1591" s="35"/>
      <c r="AL1591" s="35"/>
      <c r="AM1591" s="35"/>
      <c r="AN1591" s="35"/>
      <c r="AO1591" s="35"/>
      <c r="AP1591" s="35"/>
      <c r="AQ1591" s="35"/>
      <c r="AR1591" s="35"/>
      <c r="AS1591" s="35"/>
      <c r="AT1591" s="35"/>
      <c r="AU1591" s="35"/>
      <c r="AV1591" s="35"/>
      <c r="AW1591" s="35"/>
      <c r="AX1591" s="35"/>
      <c r="AY1591" s="35"/>
      <c r="AZ1591" s="35"/>
      <c r="BA1591" s="35"/>
      <c r="BB1591" s="35"/>
      <c r="BC1591" s="35"/>
      <c r="BD1591" s="35"/>
      <c r="BE1591" s="35"/>
      <c r="BF1591" s="35"/>
      <c r="BG1591" s="35"/>
    </row>
    <row r="1592" ht="15.75" customHeight="1">
      <c r="A1592" s="35"/>
      <c r="B1592" s="35"/>
      <c r="C1592" s="35"/>
      <c r="D1592" s="35"/>
      <c r="E1592" s="35"/>
      <c r="F1592" s="35"/>
      <c r="G1592" s="35"/>
      <c r="H1592" s="35"/>
      <c r="I1592" s="35"/>
      <c r="J1592" s="35"/>
      <c r="K1592" s="35"/>
      <c r="L1592" s="35"/>
      <c r="M1592" s="35"/>
      <c r="N1592" s="35"/>
      <c r="O1592" s="35"/>
      <c r="P1592" s="35"/>
      <c r="Q1592" s="35"/>
      <c r="R1592" s="35"/>
      <c r="S1592" s="35"/>
      <c r="T1592" s="35"/>
      <c r="U1592" s="35"/>
      <c r="V1592" s="35"/>
      <c r="W1592" s="35"/>
      <c r="X1592" s="35"/>
      <c r="Y1592" s="35"/>
      <c r="Z1592" s="35"/>
      <c r="AA1592" s="35"/>
      <c r="AB1592" s="35"/>
      <c r="AC1592" s="35"/>
      <c r="AD1592" s="35"/>
      <c r="AE1592" s="35"/>
      <c r="AF1592" s="35"/>
      <c r="AG1592" s="35"/>
      <c r="AH1592" s="35"/>
      <c r="AI1592" s="35"/>
      <c r="AJ1592" s="35"/>
      <c r="AK1592" s="35"/>
      <c r="AL1592" s="35"/>
      <c r="AM1592" s="35"/>
      <c r="AN1592" s="35"/>
      <c r="AO1592" s="35"/>
      <c r="AP1592" s="35"/>
      <c r="AQ1592" s="35"/>
      <c r="AR1592" s="35"/>
      <c r="AS1592" s="35"/>
      <c r="AT1592" s="35"/>
      <c r="AU1592" s="35"/>
      <c r="AV1592" s="35"/>
      <c r="AW1592" s="35"/>
      <c r="AX1592" s="35"/>
      <c r="AY1592" s="35"/>
      <c r="AZ1592" s="35"/>
      <c r="BA1592" s="35"/>
      <c r="BB1592" s="35"/>
      <c r="BC1592" s="35"/>
      <c r="BD1592" s="35"/>
      <c r="BE1592" s="35"/>
      <c r="BF1592" s="35"/>
      <c r="BG1592" s="35"/>
    </row>
    <row r="1593" ht="15.75" customHeight="1">
      <c r="A1593" s="35"/>
      <c r="B1593" s="35"/>
      <c r="C1593" s="35"/>
      <c r="D1593" s="35"/>
      <c r="E1593" s="35"/>
      <c r="F1593" s="35"/>
      <c r="G1593" s="35"/>
      <c r="H1593" s="35"/>
      <c r="I1593" s="35"/>
      <c r="J1593" s="35"/>
      <c r="K1593" s="35"/>
      <c r="L1593" s="35"/>
      <c r="M1593" s="35"/>
      <c r="N1593" s="35"/>
      <c r="O1593" s="35"/>
      <c r="P1593" s="35"/>
      <c r="Q1593" s="35"/>
      <c r="R1593" s="35"/>
      <c r="S1593" s="35"/>
      <c r="T1593" s="35"/>
      <c r="U1593" s="35"/>
      <c r="V1593" s="35"/>
      <c r="W1593" s="35"/>
      <c r="X1593" s="35"/>
      <c r="Y1593" s="35"/>
      <c r="Z1593" s="35"/>
      <c r="AA1593" s="35"/>
      <c r="AB1593" s="35"/>
      <c r="AC1593" s="35"/>
      <c r="AD1593" s="35"/>
      <c r="AE1593" s="35"/>
      <c r="AF1593" s="35"/>
      <c r="AG1593" s="35"/>
      <c r="AH1593" s="35"/>
      <c r="AI1593" s="35"/>
      <c r="AJ1593" s="35"/>
      <c r="AK1593" s="35"/>
      <c r="AL1593" s="35"/>
      <c r="AM1593" s="35"/>
      <c r="AN1593" s="35"/>
      <c r="AO1593" s="35"/>
      <c r="AP1593" s="35"/>
      <c r="AQ1593" s="35"/>
      <c r="AR1593" s="35"/>
      <c r="AS1593" s="35"/>
      <c r="AT1593" s="35"/>
      <c r="AU1593" s="35"/>
      <c r="AV1593" s="35"/>
      <c r="AW1593" s="35"/>
      <c r="AX1593" s="35"/>
      <c r="AY1593" s="35"/>
      <c r="AZ1593" s="35"/>
      <c r="BA1593" s="35"/>
      <c r="BB1593" s="35"/>
      <c r="BC1593" s="35"/>
      <c r="BD1593" s="35"/>
      <c r="BE1593" s="35"/>
      <c r="BF1593" s="35"/>
      <c r="BG1593" s="35"/>
    </row>
    <row r="1594" ht="15.75" customHeight="1">
      <c r="A1594" s="35"/>
      <c r="B1594" s="35"/>
      <c r="C1594" s="35"/>
      <c r="D1594" s="35"/>
      <c r="E1594" s="35"/>
      <c r="F1594" s="35"/>
      <c r="G1594" s="35"/>
      <c r="H1594" s="35"/>
      <c r="I1594" s="35"/>
      <c r="J1594" s="35"/>
      <c r="K1594" s="35"/>
      <c r="L1594" s="35"/>
      <c r="M1594" s="35"/>
      <c r="N1594" s="35"/>
      <c r="O1594" s="35"/>
      <c r="P1594" s="35"/>
      <c r="Q1594" s="35"/>
      <c r="R1594" s="35"/>
      <c r="S1594" s="35"/>
      <c r="T1594" s="35"/>
      <c r="U1594" s="35"/>
      <c r="V1594" s="35"/>
      <c r="W1594" s="35"/>
      <c r="X1594" s="35"/>
      <c r="Y1594" s="35"/>
      <c r="Z1594" s="35"/>
      <c r="AA1594" s="35"/>
      <c r="AB1594" s="35"/>
      <c r="AC1594" s="35"/>
      <c r="AD1594" s="35"/>
      <c r="AE1594" s="35"/>
      <c r="AF1594" s="35"/>
      <c r="AG1594" s="35"/>
      <c r="AH1594" s="35"/>
      <c r="AI1594" s="35"/>
      <c r="AJ1594" s="35"/>
      <c r="AK1594" s="35"/>
      <c r="AL1594" s="35"/>
      <c r="AM1594" s="35"/>
      <c r="AN1594" s="35"/>
      <c r="AO1594" s="35"/>
      <c r="AP1594" s="35"/>
      <c r="AQ1594" s="35"/>
      <c r="AR1594" s="35"/>
      <c r="AS1594" s="35"/>
      <c r="AT1594" s="35"/>
      <c r="AU1594" s="35"/>
      <c r="AV1594" s="35"/>
      <c r="AW1594" s="35"/>
      <c r="AX1594" s="35"/>
      <c r="AY1594" s="35"/>
      <c r="AZ1594" s="35"/>
      <c r="BA1594" s="35"/>
      <c r="BB1594" s="35"/>
      <c r="BC1594" s="35"/>
      <c r="BD1594" s="35"/>
      <c r="BE1594" s="35"/>
      <c r="BF1594" s="35"/>
      <c r="BG1594" s="35"/>
    </row>
    <row r="1595" ht="15.75" customHeight="1">
      <c r="A1595" s="35"/>
      <c r="B1595" s="35"/>
      <c r="C1595" s="35"/>
      <c r="D1595" s="35"/>
      <c r="E1595" s="35"/>
      <c r="F1595" s="35"/>
      <c r="G1595" s="35"/>
      <c r="H1595" s="35"/>
      <c r="I1595" s="35"/>
      <c r="J1595" s="35"/>
      <c r="K1595" s="35"/>
      <c r="L1595" s="35"/>
      <c r="M1595" s="35"/>
      <c r="N1595" s="35"/>
      <c r="O1595" s="35"/>
      <c r="P1595" s="35"/>
      <c r="Q1595" s="35"/>
      <c r="R1595" s="35"/>
      <c r="S1595" s="35"/>
      <c r="T1595" s="35"/>
      <c r="U1595" s="35"/>
      <c r="V1595" s="35"/>
      <c r="W1595" s="35"/>
      <c r="X1595" s="35"/>
      <c r="Y1595" s="35"/>
      <c r="Z1595" s="35"/>
      <c r="AA1595" s="35"/>
      <c r="AB1595" s="35"/>
      <c r="AC1595" s="35"/>
      <c r="AD1595" s="35"/>
      <c r="AE1595" s="35"/>
      <c r="AF1595" s="35"/>
      <c r="AG1595" s="35"/>
      <c r="AH1595" s="35"/>
      <c r="AI1595" s="35"/>
      <c r="AJ1595" s="35"/>
      <c r="AK1595" s="35"/>
      <c r="AL1595" s="35"/>
      <c r="AM1595" s="35"/>
      <c r="AN1595" s="35"/>
      <c r="AO1595" s="35"/>
      <c r="AP1595" s="35"/>
      <c r="AQ1595" s="35"/>
      <c r="AR1595" s="35"/>
      <c r="AS1595" s="35"/>
      <c r="AT1595" s="35"/>
      <c r="AU1595" s="35"/>
      <c r="AV1595" s="35"/>
      <c r="AW1595" s="35"/>
      <c r="AX1595" s="35"/>
      <c r="AY1595" s="35"/>
      <c r="AZ1595" s="35"/>
      <c r="BA1595" s="35"/>
      <c r="BB1595" s="35"/>
      <c r="BC1595" s="35"/>
      <c r="BD1595" s="35"/>
      <c r="BE1595" s="35"/>
      <c r="BF1595" s="35"/>
      <c r="BG1595" s="35"/>
    </row>
    <row r="1596" ht="15.75" customHeight="1">
      <c r="A1596" s="35"/>
      <c r="B1596" s="35"/>
      <c r="C1596" s="35"/>
      <c r="D1596" s="35"/>
      <c r="E1596" s="35"/>
      <c r="F1596" s="35"/>
      <c r="G1596" s="35"/>
      <c r="H1596" s="35"/>
      <c r="I1596" s="35"/>
      <c r="J1596" s="35"/>
      <c r="K1596" s="35"/>
      <c r="L1596" s="35"/>
      <c r="M1596" s="35"/>
      <c r="N1596" s="35"/>
      <c r="O1596" s="35"/>
      <c r="P1596" s="35"/>
      <c r="Q1596" s="35"/>
      <c r="R1596" s="35"/>
      <c r="S1596" s="35"/>
      <c r="T1596" s="35"/>
      <c r="U1596" s="35"/>
      <c r="V1596" s="35"/>
      <c r="W1596" s="35"/>
      <c r="X1596" s="35"/>
      <c r="Y1596" s="35"/>
      <c r="Z1596" s="35"/>
      <c r="AA1596" s="35"/>
      <c r="AB1596" s="35"/>
      <c r="AC1596" s="35"/>
      <c r="AD1596" s="35"/>
      <c r="AE1596" s="35"/>
      <c r="AF1596" s="35"/>
      <c r="AG1596" s="35"/>
      <c r="AH1596" s="35"/>
      <c r="AI1596" s="35"/>
      <c r="AJ1596" s="35"/>
      <c r="AK1596" s="35"/>
      <c r="AL1596" s="35"/>
      <c r="AM1596" s="35"/>
      <c r="AN1596" s="35"/>
      <c r="AO1596" s="35"/>
      <c r="AP1596" s="35"/>
      <c r="AQ1596" s="35"/>
      <c r="AR1596" s="35"/>
      <c r="AS1596" s="35"/>
      <c r="AT1596" s="35"/>
      <c r="AU1596" s="35"/>
      <c r="AV1596" s="35"/>
      <c r="AW1596" s="35"/>
      <c r="AX1596" s="35"/>
      <c r="AY1596" s="35"/>
      <c r="AZ1596" s="35"/>
      <c r="BA1596" s="35"/>
      <c r="BB1596" s="35"/>
      <c r="BC1596" s="35"/>
      <c r="BD1596" s="35"/>
      <c r="BE1596" s="35"/>
      <c r="BF1596" s="35"/>
      <c r="BG1596" s="35"/>
    </row>
    <row r="1597" ht="15.75" customHeight="1">
      <c r="A1597" s="35"/>
      <c r="B1597" s="35"/>
      <c r="C1597" s="35"/>
      <c r="D1597" s="35"/>
      <c r="E1597" s="35"/>
      <c r="F1597" s="35"/>
      <c r="G1597" s="35"/>
      <c r="H1597" s="35"/>
      <c r="I1597" s="35"/>
      <c r="J1597" s="35"/>
      <c r="K1597" s="35"/>
      <c r="L1597" s="35"/>
      <c r="M1597" s="35"/>
      <c r="N1597" s="35"/>
      <c r="O1597" s="35"/>
      <c r="P1597" s="35"/>
      <c r="Q1597" s="35"/>
      <c r="R1597" s="35"/>
      <c r="S1597" s="35"/>
      <c r="T1597" s="35"/>
      <c r="U1597" s="35"/>
      <c r="V1597" s="35"/>
      <c r="W1597" s="35"/>
      <c r="X1597" s="35"/>
      <c r="Y1597" s="35"/>
      <c r="Z1597" s="35"/>
      <c r="AA1597" s="35"/>
      <c r="AB1597" s="35"/>
      <c r="AC1597" s="35"/>
      <c r="AD1597" s="35"/>
      <c r="AE1597" s="35"/>
      <c r="AF1597" s="35"/>
      <c r="AG1597" s="35"/>
      <c r="AH1597" s="35"/>
      <c r="AI1597" s="35"/>
      <c r="AJ1597" s="35"/>
      <c r="AK1597" s="35"/>
      <c r="AL1597" s="35"/>
      <c r="AM1597" s="35"/>
      <c r="AN1597" s="35"/>
      <c r="AO1597" s="35"/>
      <c r="AP1597" s="35"/>
      <c r="AQ1597" s="35"/>
      <c r="AR1597" s="35"/>
      <c r="AS1597" s="35"/>
      <c r="AT1597" s="35"/>
      <c r="AU1597" s="35"/>
      <c r="AV1597" s="35"/>
      <c r="AW1597" s="35"/>
      <c r="AX1597" s="35"/>
      <c r="AY1597" s="35"/>
      <c r="AZ1597" s="35"/>
      <c r="BA1597" s="35"/>
      <c r="BB1597" s="35"/>
      <c r="BC1597" s="35"/>
      <c r="BD1597" s="35"/>
      <c r="BE1597" s="35"/>
      <c r="BF1597" s="35"/>
      <c r="BG1597" s="35"/>
    </row>
    <row r="1598" ht="15.75" customHeight="1">
      <c r="A1598" s="35"/>
      <c r="B1598" s="35"/>
      <c r="C1598" s="35"/>
      <c r="D1598" s="35"/>
      <c r="E1598" s="35"/>
      <c r="F1598" s="35"/>
      <c r="G1598" s="35"/>
      <c r="H1598" s="35"/>
      <c r="I1598" s="35"/>
      <c r="J1598" s="35"/>
      <c r="K1598" s="35"/>
      <c r="L1598" s="35"/>
      <c r="M1598" s="35"/>
      <c r="N1598" s="35"/>
      <c r="O1598" s="35"/>
      <c r="P1598" s="35"/>
      <c r="Q1598" s="35"/>
      <c r="R1598" s="35"/>
      <c r="S1598" s="35"/>
      <c r="T1598" s="35"/>
      <c r="U1598" s="35"/>
      <c r="V1598" s="35"/>
      <c r="W1598" s="35"/>
      <c r="X1598" s="35"/>
      <c r="Y1598" s="35"/>
      <c r="Z1598" s="35"/>
      <c r="AA1598" s="35"/>
      <c r="AB1598" s="35"/>
      <c r="AC1598" s="35"/>
      <c r="AD1598" s="35"/>
      <c r="AE1598" s="35"/>
      <c r="AF1598" s="35"/>
      <c r="AG1598" s="35"/>
      <c r="AH1598" s="35"/>
      <c r="AI1598" s="35"/>
      <c r="AJ1598" s="35"/>
      <c r="AK1598" s="35"/>
      <c r="AL1598" s="35"/>
      <c r="AM1598" s="35"/>
      <c r="AN1598" s="35"/>
      <c r="AO1598" s="35"/>
      <c r="AP1598" s="35"/>
      <c r="AQ1598" s="35"/>
      <c r="AR1598" s="35"/>
      <c r="AS1598" s="35"/>
      <c r="AT1598" s="35"/>
      <c r="AU1598" s="35"/>
      <c r="AV1598" s="35"/>
      <c r="AW1598" s="35"/>
      <c r="AX1598" s="35"/>
      <c r="AY1598" s="35"/>
      <c r="AZ1598" s="35"/>
      <c r="BA1598" s="35"/>
      <c r="BB1598" s="35"/>
      <c r="BC1598" s="35"/>
      <c r="BD1598" s="35"/>
      <c r="BE1598" s="35"/>
      <c r="BF1598" s="35"/>
      <c r="BG1598" s="35"/>
    </row>
    <row r="1599" ht="15.75" customHeight="1">
      <c r="A1599" s="35"/>
      <c r="B1599" s="35"/>
      <c r="C1599" s="35"/>
      <c r="D1599" s="35"/>
      <c r="E1599" s="35"/>
      <c r="F1599" s="35"/>
      <c r="G1599" s="35"/>
      <c r="H1599" s="35"/>
      <c r="I1599" s="35"/>
      <c r="J1599" s="35"/>
      <c r="K1599" s="35"/>
      <c r="L1599" s="35"/>
      <c r="M1599" s="35"/>
      <c r="N1599" s="35"/>
      <c r="O1599" s="35"/>
      <c r="P1599" s="35"/>
      <c r="Q1599" s="35"/>
      <c r="R1599" s="35"/>
      <c r="S1599" s="35"/>
      <c r="T1599" s="35"/>
      <c r="U1599" s="35"/>
      <c r="V1599" s="35"/>
      <c r="W1599" s="35"/>
      <c r="X1599" s="35"/>
      <c r="Y1599" s="35"/>
      <c r="Z1599" s="35"/>
      <c r="AA1599" s="35"/>
      <c r="AB1599" s="35"/>
      <c r="AC1599" s="35"/>
      <c r="AD1599" s="35"/>
      <c r="AE1599" s="35"/>
      <c r="AF1599" s="35"/>
      <c r="AG1599" s="35"/>
      <c r="AH1599" s="35"/>
      <c r="AI1599" s="35"/>
      <c r="AJ1599" s="35"/>
      <c r="AK1599" s="35"/>
      <c r="AL1599" s="35"/>
      <c r="AM1599" s="35"/>
      <c r="AN1599" s="35"/>
      <c r="AO1599" s="35"/>
      <c r="AP1599" s="35"/>
      <c r="AQ1599" s="35"/>
      <c r="AR1599" s="35"/>
      <c r="AS1599" s="35"/>
      <c r="AT1599" s="35"/>
      <c r="AU1599" s="35"/>
      <c r="AV1599" s="35"/>
      <c r="AW1599" s="35"/>
      <c r="AX1599" s="35"/>
      <c r="AY1599" s="35"/>
      <c r="AZ1599" s="35"/>
      <c r="BA1599" s="35"/>
      <c r="BB1599" s="35"/>
      <c r="BC1599" s="35"/>
      <c r="BD1599" s="35"/>
      <c r="BE1599" s="35"/>
      <c r="BF1599" s="35"/>
      <c r="BG1599" s="35"/>
    </row>
    <row r="1600" ht="15.75" customHeight="1">
      <c r="A1600" s="35"/>
      <c r="B1600" s="35"/>
      <c r="C1600" s="35"/>
      <c r="D1600" s="35"/>
      <c r="E1600" s="35"/>
      <c r="F1600" s="35"/>
      <c r="G1600" s="35"/>
      <c r="H1600" s="35"/>
      <c r="I1600" s="35"/>
      <c r="J1600" s="35"/>
      <c r="K1600" s="35"/>
      <c r="L1600" s="35"/>
      <c r="M1600" s="35"/>
      <c r="N1600" s="35"/>
      <c r="O1600" s="35"/>
      <c r="P1600" s="35"/>
      <c r="Q1600" s="35"/>
      <c r="R1600" s="35"/>
      <c r="S1600" s="35"/>
      <c r="T1600" s="35"/>
      <c r="U1600" s="35"/>
      <c r="V1600" s="35"/>
      <c r="W1600" s="35"/>
      <c r="X1600" s="35"/>
      <c r="Y1600" s="35"/>
      <c r="Z1600" s="35"/>
      <c r="AA1600" s="35"/>
      <c r="AB1600" s="35"/>
      <c r="AC1600" s="35"/>
      <c r="AD1600" s="35"/>
      <c r="AE1600" s="35"/>
      <c r="AF1600" s="35"/>
      <c r="AG1600" s="35"/>
      <c r="AH1600" s="35"/>
      <c r="AI1600" s="35"/>
      <c r="AJ1600" s="35"/>
      <c r="AK1600" s="35"/>
      <c r="AL1600" s="35"/>
      <c r="AM1600" s="35"/>
      <c r="AN1600" s="35"/>
      <c r="AO1600" s="35"/>
      <c r="AP1600" s="35"/>
      <c r="AQ1600" s="35"/>
      <c r="AR1600" s="35"/>
      <c r="AS1600" s="35"/>
      <c r="AT1600" s="35"/>
      <c r="AU1600" s="35"/>
      <c r="AV1600" s="35"/>
      <c r="AW1600" s="35"/>
      <c r="AX1600" s="35"/>
      <c r="AY1600" s="35"/>
      <c r="AZ1600" s="35"/>
      <c r="BA1600" s="35"/>
      <c r="BB1600" s="35"/>
      <c r="BC1600" s="35"/>
      <c r="BD1600" s="35"/>
      <c r="BE1600" s="35"/>
      <c r="BF1600" s="35"/>
      <c r="BG1600" s="35"/>
    </row>
    <row r="1601" ht="15.75" customHeight="1">
      <c r="A1601" s="35"/>
      <c r="B1601" s="35"/>
      <c r="C1601" s="35"/>
      <c r="D1601" s="35"/>
      <c r="E1601" s="35"/>
      <c r="F1601" s="35"/>
      <c r="G1601" s="35"/>
      <c r="H1601" s="35"/>
      <c r="I1601" s="35"/>
      <c r="J1601" s="35"/>
      <c r="K1601" s="35"/>
      <c r="L1601" s="35"/>
      <c r="M1601" s="35"/>
      <c r="N1601" s="35"/>
      <c r="O1601" s="35"/>
      <c r="P1601" s="35"/>
      <c r="Q1601" s="35"/>
      <c r="R1601" s="35"/>
      <c r="S1601" s="35"/>
      <c r="T1601" s="35"/>
      <c r="U1601" s="35"/>
      <c r="V1601" s="35"/>
      <c r="W1601" s="35"/>
      <c r="X1601" s="35"/>
      <c r="Y1601" s="35"/>
      <c r="Z1601" s="35"/>
      <c r="AA1601" s="35"/>
      <c r="AB1601" s="35"/>
      <c r="AC1601" s="35"/>
      <c r="AD1601" s="35"/>
      <c r="AE1601" s="35"/>
      <c r="AF1601" s="35"/>
      <c r="AG1601" s="35"/>
      <c r="AH1601" s="35"/>
      <c r="AI1601" s="35"/>
      <c r="AJ1601" s="35"/>
      <c r="AK1601" s="35"/>
      <c r="AL1601" s="35"/>
      <c r="AM1601" s="35"/>
      <c r="AN1601" s="35"/>
      <c r="AO1601" s="35"/>
      <c r="AP1601" s="35"/>
      <c r="AQ1601" s="35"/>
      <c r="AR1601" s="35"/>
      <c r="AS1601" s="35"/>
      <c r="AT1601" s="35"/>
      <c r="AU1601" s="35"/>
      <c r="AV1601" s="35"/>
      <c r="AW1601" s="35"/>
      <c r="AX1601" s="35"/>
      <c r="AY1601" s="35"/>
      <c r="AZ1601" s="35"/>
      <c r="BA1601" s="35"/>
      <c r="BB1601" s="35"/>
      <c r="BC1601" s="35"/>
      <c r="BD1601" s="35"/>
      <c r="BE1601" s="35"/>
      <c r="BF1601" s="35"/>
      <c r="BG1601" s="35"/>
    </row>
    <row r="1602" ht="15.75" customHeight="1">
      <c r="A1602" s="35"/>
      <c r="B1602" s="35"/>
      <c r="C1602" s="35"/>
      <c r="D1602" s="35"/>
      <c r="E1602" s="35"/>
      <c r="F1602" s="35"/>
      <c r="G1602" s="35"/>
      <c r="H1602" s="35"/>
      <c r="I1602" s="35"/>
      <c r="J1602" s="35"/>
      <c r="K1602" s="35"/>
      <c r="L1602" s="35"/>
      <c r="M1602" s="35"/>
      <c r="N1602" s="35"/>
      <c r="O1602" s="35"/>
      <c r="P1602" s="35"/>
      <c r="Q1602" s="35"/>
      <c r="R1602" s="35"/>
      <c r="S1602" s="35"/>
      <c r="T1602" s="35"/>
      <c r="U1602" s="35"/>
      <c r="V1602" s="35"/>
      <c r="W1602" s="35"/>
      <c r="X1602" s="35"/>
      <c r="Y1602" s="35"/>
      <c r="Z1602" s="35"/>
      <c r="AA1602" s="35"/>
      <c r="AB1602" s="35"/>
      <c r="AC1602" s="35"/>
      <c r="AD1602" s="35"/>
      <c r="AE1602" s="35"/>
      <c r="AF1602" s="35"/>
      <c r="AG1602" s="35"/>
      <c r="AH1602" s="35"/>
      <c r="AI1602" s="35"/>
      <c r="AJ1602" s="35"/>
      <c r="AK1602" s="35"/>
      <c r="AL1602" s="35"/>
      <c r="AM1602" s="35"/>
      <c r="AN1602" s="35"/>
      <c r="AO1602" s="35"/>
      <c r="AP1602" s="35"/>
      <c r="AQ1602" s="35"/>
      <c r="AR1602" s="35"/>
      <c r="AS1602" s="35"/>
      <c r="AT1602" s="35"/>
      <c r="AU1602" s="35"/>
      <c r="AV1602" s="35"/>
      <c r="AW1602" s="35"/>
      <c r="AX1602" s="35"/>
      <c r="AY1602" s="35"/>
      <c r="AZ1602" s="35"/>
      <c r="BA1602" s="35"/>
      <c r="BB1602" s="35"/>
      <c r="BC1602" s="35"/>
      <c r="BD1602" s="35"/>
      <c r="BE1602" s="35"/>
      <c r="BF1602" s="35"/>
      <c r="BG1602" s="35"/>
    </row>
    <row r="1603" ht="15.75" customHeight="1">
      <c r="A1603" s="35"/>
      <c r="B1603" s="35"/>
      <c r="C1603" s="35"/>
      <c r="D1603" s="35"/>
      <c r="E1603" s="35"/>
      <c r="F1603" s="35"/>
      <c r="G1603" s="35"/>
      <c r="H1603" s="35"/>
      <c r="I1603" s="35"/>
      <c r="J1603" s="35"/>
      <c r="K1603" s="35"/>
      <c r="L1603" s="35"/>
      <c r="M1603" s="35"/>
      <c r="N1603" s="35"/>
      <c r="O1603" s="35"/>
      <c r="P1603" s="35"/>
      <c r="Q1603" s="35"/>
      <c r="R1603" s="35"/>
      <c r="S1603" s="35"/>
      <c r="T1603" s="35"/>
      <c r="U1603" s="35"/>
      <c r="V1603" s="35"/>
      <c r="W1603" s="35"/>
      <c r="X1603" s="35"/>
      <c r="Y1603" s="35"/>
      <c r="Z1603" s="35"/>
      <c r="AA1603" s="35"/>
      <c r="AB1603" s="35"/>
      <c r="AC1603" s="35"/>
      <c r="AD1603" s="35"/>
      <c r="AE1603" s="35"/>
      <c r="AF1603" s="35"/>
      <c r="AG1603" s="35"/>
      <c r="AH1603" s="35"/>
      <c r="AI1603" s="35"/>
      <c r="AJ1603" s="35"/>
      <c r="AK1603" s="35"/>
      <c r="AL1603" s="35"/>
      <c r="AM1603" s="35"/>
      <c r="AN1603" s="35"/>
      <c r="AO1603" s="35"/>
      <c r="AP1603" s="35"/>
      <c r="AQ1603" s="35"/>
      <c r="AR1603" s="35"/>
      <c r="AS1603" s="35"/>
      <c r="AT1603" s="35"/>
      <c r="AU1603" s="35"/>
      <c r="AV1603" s="35"/>
      <c r="AW1603" s="35"/>
      <c r="AX1603" s="35"/>
      <c r="AY1603" s="35"/>
      <c r="AZ1603" s="35"/>
      <c r="BA1603" s="35"/>
      <c r="BB1603" s="35"/>
      <c r="BC1603" s="35"/>
      <c r="BD1603" s="35"/>
      <c r="BE1603" s="35"/>
      <c r="BF1603" s="35"/>
      <c r="BG1603" s="35"/>
    </row>
    <row r="1604" ht="15.75" customHeight="1">
      <c r="A1604" s="35"/>
      <c r="B1604" s="35"/>
      <c r="C1604" s="35"/>
      <c r="D1604" s="35"/>
      <c r="E1604" s="35"/>
      <c r="F1604" s="35"/>
      <c r="G1604" s="35"/>
      <c r="H1604" s="35"/>
      <c r="I1604" s="35"/>
      <c r="J1604" s="35"/>
      <c r="K1604" s="35"/>
      <c r="L1604" s="35"/>
      <c r="M1604" s="35"/>
      <c r="N1604" s="35"/>
      <c r="O1604" s="35"/>
      <c r="P1604" s="35"/>
      <c r="Q1604" s="35"/>
      <c r="R1604" s="35"/>
      <c r="S1604" s="35"/>
      <c r="T1604" s="35"/>
      <c r="U1604" s="35"/>
      <c r="V1604" s="35"/>
      <c r="W1604" s="35"/>
      <c r="X1604" s="35"/>
      <c r="Y1604" s="35"/>
      <c r="Z1604" s="35"/>
      <c r="AA1604" s="35"/>
      <c r="AB1604" s="35"/>
      <c r="AC1604" s="35"/>
      <c r="AD1604" s="35"/>
      <c r="AE1604" s="35"/>
      <c r="AF1604" s="35"/>
      <c r="AG1604" s="35"/>
      <c r="AH1604" s="35"/>
      <c r="AI1604" s="35"/>
      <c r="AJ1604" s="35"/>
      <c r="AK1604" s="35"/>
      <c r="AL1604" s="35"/>
      <c r="AM1604" s="35"/>
      <c r="AN1604" s="35"/>
      <c r="AO1604" s="35"/>
      <c r="AP1604" s="35"/>
      <c r="AQ1604" s="35"/>
      <c r="AR1604" s="35"/>
      <c r="AS1604" s="35"/>
      <c r="AT1604" s="35"/>
      <c r="AU1604" s="35"/>
      <c r="AV1604" s="35"/>
      <c r="AW1604" s="35"/>
      <c r="AX1604" s="35"/>
      <c r="AY1604" s="35"/>
      <c r="AZ1604" s="35"/>
      <c r="BA1604" s="35"/>
      <c r="BB1604" s="35"/>
      <c r="BC1604" s="35"/>
      <c r="BD1604" s="35"/>
      <c r="BE1604" s="35"/>
      <c r="BF1604" s="35"/>
      <c r="BG1604" s="35"/>
    </row>
    <row r="1605" ht="15.75" customHeight="1">
      <c r="A1605" s="35"/>
      <c r="B1605" s="35"/>
      <c r="C1605" s="35"/>
      <c r="D1605" s="35"/>
      <c r="E1605" s="35"/>
      <c r="F1605" s="35"/>
      <c r="G1605" s="35"/>
      <c r="H1605" s="35"/>
      <c r="I1605" s="35"/>
      <c r="J1605" s="35"/>
      <c r="K1605" s="35"/>
      <c r="L1605" s="35"/>
      <c r="M1605" s="35"/>
      <c r="N1605" s="35"/>
      <c r="O1605" s="35"/>
      <c r="P1605" s="35"/>
      <c r="Q1605" s="35"/>
      <c r="R1605" s="35"/>
      <c r="S1605" s="35"/>
      <c r="T1605" s="35"/>
      <c r="U1605" s="35"/>
      <c r="V1605" s="35"/>
      <c r="W1605" s="35"/>
      <c r="X1605" s="35"/>
      <c r="Y1605" s="35"/>
      <c r="Z1605" s="35"/>
      <c r="AA1605" s="35"/>
      <c r="AB1605" s="35"/>
      <c r="AC1605" s="35"/>
      <c r="AD1605" s="35"/>
      <c r="AE1605" s="35"/>
      <c r="AF1605" s="35"/>
      <c r="AG1605" s="35"/>
      <c r="AH1605" s="35"/>
      <c r="AI1605" s="35"/>
      <c r="AJ1605" s="35"/>
      <c r="AK1605" s="35"/>
      <c r="AL1605" s="35"/>
      <c r="AM1605" s="35"/>
      <c r="AN1605" s="35"/>
      <c r="AO1605" s="35"/>
      <c r="AP1605" s="35"/>
      <c r="AQ1605" s="35"/>
      <c r="AR1605" s="35"/>
      <c r="AS1605" s="35"/>
      <c r="AT1605" s="35"/>
      <c r="AU1605" s="35"/>
      <c r="AV1605" s="35"/>
      <c r="AW1605" s="35"/>
      <c r="AX1605" s="35"/>
      <c r="AY1605" s="35"/>
      <c r="AZ1605" s="35"/>
      <c r="BA1605" s="35"/>
      <c r="BB1605" s="35"/>
      <c r="BC1605" s="35"/>
      <c r="BD1605" s="35"/>
      <c r="BE1605" s="35"/>
      <c r="BF1605" s="35"/>
      <c r="BG1605" s="35"/>
    </row>
    <row r="1606" ht="15.75" customHeight="1">
      <c r="A1606" s="35"/>
      <c r="B1606" s="35"/>
      <c r="C1606" s="35"/>
      <c r="D1606" s="35"/>
      <c r="E1606" s="35"/>
      <c r="F1606" s="35"/>
      <c r="G1606" s="35"/>
      <c r="H1606" s="35"/>
      <c r="I1606" s="35"/>
      <c r="J1606" s="35"/>
      <c r="K1606" s="35"/>
      <c r="L1606" s="35"/>
      <c r="M1606" s="35"/>
      <c r="N1606" s="35"/>
      <c r="O1606" s="35"/>
      <c r="P1606" s="35"/>
      <c r="Q1606" s="35"/>
      <c r="R1606" s="35"/>
      <c r="S1606" s="35"/>
      <c r="T1606" s="35"/>
      <c r="U1606" s="35"/>
      <c r="V1606" s="35"/>
      <c r="W1606" s="35"/>
      <c r="X1606" s="35"/>
      <c r="Y1606" s="35"/>
      <c r="Z1606" s="35"/>
      <c r="AA1606" s="35"/>
      <c r="AB1606" s="35"/>
      <c r="AC1606" s="35"/>
      <c r="AD1606" s="35"/>
      <c r="AE1606" s="35"/>
      <c r="AF1606" s="35"/>
      <c r="AG1606" s="35"/>
      <c r="AH1606" s="35"/>
      <c r="AI1606" s="35"/>
      <c r="AJ1606" s="35"/>
      <c r="AK1606" s="35"/>
      <c r="AL1606" s="35"/>
      <c r="AM1606" s="35"/>
      <c r="AN1606" s="35"/>
      <c r="AO1606" s="35"/>
      <c r="AP1606" s="35"/>
      <c r="AQ1606" s="35"/>
      <c r="AR1606" s="35"/>
      <c r="AS1606" s="35"/>
      <c r="AT1606" s="35"/>
      <c r="AU1606" s="35"/>
      <c r="AV1606" s="35"/>
      <c r="AW1606" s="35"/>
      <c r="AX1606" s="35"/>
      <c r="AY1606" s="35"/>
      <c r="AZ1606" s="35"/>
      <c r="BA1606" s="35"/>
      <c r="BB1606" s="35"/>
      <c r="BC1606" s="35"/>
      <c r="BD1606" s="35"/>
      <c r="BE1606" s="35"/>
      <c r="BF1606" s="35"/>
      <c r="BG1606" s="35"/>
    </row>
    <row r="1607" ht="15.75" customHeight="1">
      <c r="A1607" s="35"/>
      <c r="B1607" s="35"/>
      <c r="C1607" s="35"/>
      <c r="D1607" s="35"/>
      <c r="E1607" s="35"/>
      <c r="F1607" s="35"/>
      <c r="G1607" s="35"/>
      <c r="H1607" s="35"/>
      <c r="I1607" s="35"/>
      <c r="J1607" s="35"/>
      <c r="K1607" s="35"/>
      <c r="L1607" s="35"/>
      <c r="M1607" s="35"/>
      <c r="N1607" s="35"/>
      <c r="O1607" s="35"/>
      <c r="P1607" s="35"/>
      <c r="Q1607" s="35"/>
      <c r="R1607" s="35"/>
      <c r="S1607" s="35"/>
      <c r="T1607" s="35"/>
      <c r="U1607" s="35"/>
      <c r="V1607" s="35"/>
      <c r="W1607" s="35"/>
      <c r="X1607" s="35"/>
      <c r="Y1607" s="35"/>
      <c r="Z1607" s="35"/>
      <c r="AA1607" s="35"/>
      <c r="AB1607" s="35"/>
      <c r="AC1607" s="35"/>
      <c r="AD1607" s="35"/>
      <c r="AE1607" s="35"/>
      <c r="AF1607" s="35"/>
      <c r="AG1607" s="35"/>
      <c r="AH1607" s="35"/>
      <c r="AI1607" s="35"/>
      <c r="AJ1607" s="35"/>
      <c r="AK1607" s="35"/>
      <c r="AL1607" s="35"/>
      <c r="AM1607" s="35"/>
      <c r="AN1607" s="35"/>
      <c r="AO1607" s="35"/>
      <c r="AP1607" s="35"/>
      <c r="AQ1607" s="35"/>
      <c r="AR1607" s="35"/>
      <c r="AS1607" s="35"/>
      <c r="AT1607" s="35"/>
      <c r="AU1607" s="35"/>
      <c r="AV1607" s="35"/>
      <c r="AW1607" s="35"/>
      <c r="AX1607" s="35"/>
      <c r="AY1607" s="35"/>
      <c r="AZ1607" s="35"/>
      <c r="BA1607" s="35"/>
      <c r="BB1607" s="35"/>
      <c r="BC1607" s="35"/>
      <c r="BD1607" s="35"/>
      <c r="BE1607" s="35"/>
      <c r="BF1607" s="35"/>
      <c r="BG1607" s="35"/>
    </row>
    <row r="1608" ht="15.75" customHeight="1">
      <c r="A1608" s="35"/>
      <c r="B1608" s="35"/>
      <c r="C1608" s="35"/>
      <c r="D1608" s="35"/>
      <c r="E1608" s="35"/>
      <c r="F1608" s="35"/>
      <c r="G1608" s="35"/>
      <c r="H1608" s="35"/>
      <c r="I1608" s="35"/>
      <c r="J1608" s="35"/>
      <c r="K1608" s="35"/>
      <c r="L1608" s="35"/>
      <c r="M1608" s="35"/>
      <c r="N1608" s="35"/>
      <c r="O1608" s="35"/>
      <c r="P1608" s="35"/>
      <c r="Q1608" s="35"/>
      <c r="R1608" s="35"/>
      <c r="S1608" s="35"/>
      <c r="T1608" s="35"/>
      <c r="U1608" s="35"/>
      <c r="V1608" s="35"/>
      <c r="W1608" s="35"/>
      <c r="X1608" s="35"/>
      <c r="Y1608" s="35"/>
      <c r="Z1608" s="35"/>
      <c r="AA1608" s="35"/>
      <c r="AB1608" s="35"/>
      <c r="AC1608" s="35"/>
      <c r="AD1608" s="35"/>
      <c r="AE1608" s="35"/>
      <c r="AF1608" s="35"/>
      <c r="AG1608" s="35"/>
      <c r="AH1608" s="35"/>
      <c r="AI1608" s="35"/>
      <c r="AJ1608" s="35"/>
      <c r="AK1608" s="35"/>
      <c r="AL1608" s="35"/>
      <c r="AM1608" s="35"/>
      <c r="AN1608" s="35"/>
      <c r="AO1608" s="35"/>
      <c r="AP1608" s="35"/>
      <c r="AQ1608" s="35"/>
      <c r="AR1608" s="35"/>
      <c r="AS1608" s="35"/>
      <c r="AT1608" s="35"/>
      <c r="AU1608" s="35"/>
      <c r="AV1608" s="35"/>
      <c r="AW1608" s="35"/>
      <c r="AX1608" s="35"/>
      <c r="AY1608" s="35"/>
      <c r="AZ1608" s="35"/>
      <c r="BA1608" s="35"/>
      <c r="BB1608" s="35"/>
      <c r="BC1608" s="35"/>
      <c r="BD1608" s="35"/>
      <c r="BE1608" s="35"/>
      <c r="BF1608" s="35"/>
      <c r="BG1608" s="35"/>
    </row>
    <row r="1609" ht="15.75" customHeight="1">
      <c r="A1609" s="35"/>
      <c r="B1609" s="35"/>
      <c r="C1609" s="35"/>
      <c r="D1609" s="35"/>
      <c r="E1609" s="35"/>
      <c r="F1609" s="35"/>
      <c r="G1609" s="35"/>
      <c r="H1609" s="35"/>
      <c r="I1609" s="35"/>
      <c r="J1609" s="35"/>
      <c r="K1609" s="35"/>
      <c r="L1609" s="35"/>
      <c r="M1609" s="35"/>
      <c r="N1609" s="35"/>
      <c r="O1609" s="35"/>
      <c r="P1609" s="35"/>
      <c r="Q1609" s="35"/>
      <c r="R1609" s="35"/>
      <c r="S1609" s="35"/>
      <c r="T1609" s="35"/>
      <c r="U1609" s="35"/>
      <c r="V1609" s="35"/>
      <c r="W1609" s="35"/>
      <c r="X1609" s="35"/>
      <c r="Y1609" s="35"/>
      <c r="Z1609" s="35"/>
      <c r="AA1609" s="35"/>
      <c r="AB1609" s="35"/>
      <c r="AC1609" s="35"/>
      <c r="AD1609" s="35"/>
      <c r="AE1609" s="35"/>
      <c r="AF1609" s="35"/>
      <c r="AG1609" s="35"/>
      <c r="AH1609" s="35"/>
      <c r="AI1609" s="35"/>
      <c r="AJ1609" s="35"/>
      <c r="AK1609" s="35"/>
      <c r="AL1609" s="35"/>
      <c r="AM1609" s="35"/>
      <c r="AN1609" s="35"/>
      <c r="AO1609" s="35"/>
      <c r="AP1609" s="35"/>
      <c r="AQ1609" s="35"/>
      <c r="AR1609" s="35"/>
      <c r="AS1609" s="35"/>
      <c r="AT1609" s="35"/>
      <c r="AU1609" s="35"/>
      <c r="AV1609" s="35"/>
      <c r="AW1609" s="35"/>
      <c r="AX1609" s="35"/>
      <c r="AY1609" s="35"/>
      <c r="AZ1609" s="35"/>
      <c r="BA1609" s="35"/>
      <c r="BB1609" s="35"/>
      <c r="BC1609" s="35"/>
      <c r="BD1609" s="35"/>
      <c r="BE1609" s="35"/>
      <c r="BF1609" s="35"/>
      <c r="BG1609" s="35"/>
    </row>
    <row r="1610" ht="15.75" customHeight="1">
      <c r="A1610" s="35"/>
      <c r="B1610" s="35"/>
      <c r="C1610" s="35"/>
      <c r="D1610" s="35"/>
      <c r="E1610" s="35"/>
      <c r="F1610" s="35"/>
      <c r="G1610" s="35"/>
      <c r="H1610" s="35"/>
      <c r="I1610" s="35"/>
      <c r="J1610" s="35"/>
      <c r="K1610" s="35"/>
      <c r="L1610" s="35"/>
      <c r="M1610" s="35"/>
      <c r="N1610" s="35"/>
      <c r="O1610" s="35"/>
      <c r="P1610" s="35"/>
      <c r="Q1610" s="35"/>
      <c r="R1610" s="35"/>
      <c r="S1610" s="35"/>
      <c r="T1610" s="35"/>
      <c r="U1610" s="35"/>
      <c r="V1610" s="35"/>
      <c r="W1610" s="35"/>
      <c r="X1610" s="35"/>
      <c r="Y1610" s="35"/>
      <c r="Z1610" s="35"/>
      <c r="AA1610" s="35"/>
      <c r="AB1610" s="35"/>
      <c r="AC1610" s="35"/>
      <c r="AD1610" s="35"/>
      <c r="AE1610" s="35"/>
      <c r="AF1610" s="35"/>
      <c r="AG1610" s="35"/>
      <c r="AH1610" s="35"/>
      <c r="AI1610" s="35"/>
      <c r="AJ1610" s="35"/>
      <c r="AK1610" s="35"/>
      <c r="AL1610" s="35"/>
      <c r="AM1610" s="35"/>
      <c r="AN1610" s="35"/>
      <c r="AO1610" s="35"/>
      <c r="AP1610" s="35"/>
      <c r="AQ1610" s="35"/>
      <c r="AR1610" s="35"/>
      <c r="AS1610" s="35"/>
      <c r="AT1610" s="35"/>
      <c r="AU1610" s="35"/>
      <c r="AV1610" s="35"/>
      <c r="AW1610" s="35"/>
      <c r="AX1610" s="35"/>
      <c r="AY1610" s="35"/>
      <c r="AZ1610" s="35"/>
      <c r="BA1610" s="35"/>
      <c r="BB1610" s="35"/>
      <c r="BC1610" s="35"/>
      <c r="BD1610" s="35"/>
      <c r="BE1610" s="35"/>
      <c r="BF1610" s="35"/>
      <c r="BG1610" s="35"/>
    </row>
    <row r="1611" ht="15.75" customHeight="1">
      <c r="A1611" s="35"/>
      <c r="B1611" s="35"/>
      <c r="C1611" s="35"/>
      <c r="D1611" s="35"/>
      <c r="E1611" s="35"/>
      <c r="F1611" s="35"/>
      <c r="G1611" s="35"/>
      <c r="H1611" s="35"/>
      <c r="I1611" s="35"/>
      <c r="J1611" s="35"/>
      <c r="K1611" s="35"/>
      <c r="L1611" s="35"/>
      <c r="M1611" s="35"/>
      <c r="N1611" s="35"/>
      <c r="O1611" s="35"/>
      <c r="P1611" s="35"/>
      <c r="Q1611" s="35"/>
      <c r="R1611" s="35"/>
      <c r="S1611" s="35"/>
      <c r="T1611" s="35"/>
      <c r="U1611" s="35"/>
      <c r="V1611" s="35"/>
      <c r="W1611" s="35"/>
      <c r="X1611" s="35"/>
      <c r="Y1611" s="35"/>
      <c r="Z1611" s="35"/>
      <c r="AA1611" s="35"/>
      <c r="AB1611" s="35"/>
      <c r="AC1611" s="35"/>
      <c r="AD1611" s="35"/>
      <c r="AE1611" s="35"/>
      <c r="AF1611" s="35"/>
      <c r="AG1611" s="35"/>
      <c r="AH1611" s="35"/>
      <c r="AI1611" s="35"/>
      <c r="AJ1611" s="35"/>
      <c r="AK1611" s="35"/>
      <c r="AL1611" s="35"/>
      <c r="AM1611" s="35"/>
      <c r="AN1611" s="35"/>
      <c r="AO1611" s="35"/>
      <c r="AP1611" s="35"/>
      <c r="AQ1611" s="35"/>
      <c r="AR1611" s="35"/>
      <c r="AS1611" s="35"/>
      <c r="AT1611" s="35"/>
      <c r="AU1611" s="35"/>
      <c r="AV1611" s="35"/>
      <c r="AW1611" s="35"/>
      <c r="AX1611" s="35"/>
      <c r="AY1611" s="35"/>
      <c r="AZ1611" s="35"/>
      <c r="BA1611" s="35"/>
      <c r="BB1611" s="35"/>
      <c r="BC1611" s="35"/>
      <c r="BD1611" s="35"/>
      <c r="BE1611" s="35"/>
      <c r="BF1611" s="35"/>
      <c r="BG1611" s="35"/>
    </row>
    <row r="1612" ht="15.75" customHeight="1">
      <c r="A1612" s="35"/>
      <c r="B1612" s="35"/>
      <c r="C1612" s="35"/>
      <c r="D1612" s="35"/>
      <c r="E1612" s="35"/>
      <c r="F1612" s="35"/>
      <c r="G1612" s="35"/>
      <c r="H1612" s="35"/>
      <c r="I1612" s="35"/>
      <c r="J1612" s="35"/>
      <c r="K1612" s="35"/>
      <c r="L1612" s="35"/>
      <c r="M1612" s="35"/>
      <c r="N1612" s="35"/>
      <c r="O1612" s="35"/>
      <c r="P1612" s="35"/>
      <c r="Q1612" s="35"/>
      <c r="R1612" s="35"/>
      <c r="S1612" s="35"/>
      <c r="T1612" s="35"/>
      <c r="U1612" s="35"/>
      <c r="V1612" s="35"/>
      <c r="W1612" s="35"/>
      <c r="X1612" s="35"/>
      <c r="Y1612" s="35"/>
      <c r="Z1612" s="35"/>
      <c r="AA1612" s="35"/>
      <c r="AB1612" s="35"/>
      <c r="AC1612" s="35"/>
      <c r="AD1612" s="35"/>
      <c r="AE1612" s="35"/>
      <c r="AF1612" s="35"/>
      <c r="AG1612" s="35"/>
      <c r="AH1612" s="35"/>
      <c r="AI1612" s="35"/>
      <c r="AJ1612" s="35"/>
      <c r="AK1612" s="35"/>
      <c r="AL1612" s="35"/>
      <c r="AM1612" s="35"/>
      <c r="AN1612" s="35"/>
      <c r="AO1612" s="35"/>
      <c r="AP1612" s="35"/>
      <c r="AQ1612" s="35"/>
      <c r="AR1612" s="35"/>
      <c r="AS1612" s="35"/>
      <c r="AT1612" s="35"/>
      <c r="AU1612" s="35"/>
      <c r="AV1612" s="35"/>
      <c r="AW1612" s="35"/>
      <c r="AX1612" s="35"/>
      <c r="AY1612" s="35"/>
      <c r="AZ1612" s="35"/>
      <c r="BA1612" s="35"/>
      <c r="BB1612" s="35"/>
      <c r="BC1612" s="35"/>
      <c r="BD1612" s="35"/>
      <c r="BE1612" s="35"/>
      <c r="BF1612" s="35"/>
      <c r="BG1612" s="35"/>
    </row>
    <row r="1613" ht="15.75" customHeight="1">
      <c r="A1613" s="35"/>
      <c r="B1613" s="35"/>
      <c r="C1613" s="35"/>
      <c r="D1613" s="35"/>
      <c r="E1613" s="35"/>
      <c r="F1613" s="35"/>
      <c r="G1613" s="35"/>
      <c r="H1613" s="35"/>
      <c r="I1613" s="35"/>
      <c r="J1613" s="35"/>
      <c r="K1613" s="35"/>
      <c r="L1613" s="35"/>
      <c r="M1613" s="35"/>
      <c r="N1613" s="35"/>
      <c r="O1613" s="35"/>
      <c r="P1613" s="35"/>
      <c r="Q1613" s="35"/>
      <c r="R1613" s="35"/>
      <c r="S1613" s="35"/>
      <c r="T1613" s="35"/>
      <c r="U1613" s="35"/>
      <c r="V1613" s="35"/>
      <c r="W1613" s="35"/>
      <c r="X1613" s="35"/>
      <c r="Y1613" s="35"/>
      <c r="Z1613" s="35"/>
      <c r="AA1613" s="35"/>
      <c r="AB1613" s="35"/>
      <c r="AC1613" s="35"/>
      <c r="AD1613" s="35"/>
      <c r="AE1613" s="35"/>
      <c r="AF1613" s="35"/>
      <c r="AG1613" s="35"/>
      <c r="AH1613" s="35"/>
      <c r="AI1613" s="35"/>
      <c r="AJ1613" s="35"/>
      <c r="AK1613" s="35"/>
      <c r="AL1613" s="35"/>
      <c r="AM1613" s="35"/>
      <c r="AN1613" s="35"/>
      <c r="AO1613" s="35"/>
      <c r="AP1613" s="35"/>
      <c r="AQ1613" s="35"/>
      <c r="AR1613" s="35"/>
      <c r="AS1613" s="35"/>
      <c r="AT1613" s="35"/>
      <c r="AU1613" s="35"/>
      <c r="AV1613" s="35"/>
      <c r="AW1613" s="35"/>
      <c r="AX1613" s="35"/>
      <c r="AY1613" s="35"/>
      <c r="AZ1613" s="35"/>
      <c r="BA1613" s="35"/>
      <c r="BB1613" s="35"/>
      <c r="BC1613" s="35"/>
      <c r="BD1613" s="35"/>
      <c r="BE1613" s="35"/>
      <c r="BF1613" s="35"/>
      <c r="BG1613" s="35"/>
    </row>
    <row r="1614" ht="15.75" customHeight="1">
      <c r="A1614" s="35"/>
      <c r="B1614" s="35"/>
      <c r="C1614" s="35"/>
      <c r="D1614" s="35"/>
      <c r="E1614" s="35"/>
      <c r="F1614" s="35"/>
      <c r="G1614" s="35"/>
      <c r="H1614" s="35"/>
      <c r="I1614" s="35"/>
      <c r="J1614" s="35"/>
      <c r="K1614" s="35"/>
      <c r="L1614" s="35"/>
      <c r="M1614" s="35"/>
      <c r="N1614" s="35"/>
      <c r="O1614" s="35"/>
      <c r="P1614" s="35"/>
      <c r="Q1614" s="35"/>
      <c r="R1614" s="35"/>
      <c r="S1614" s="35"/>
      <c r="T1614" s="35"/>
      <c r="U1614" s="35"/>
      <c r="V1614" s="35"/>
      <c r="W1614" s="35"/>
      <c r="X1614" s="35"/>
      <c r="Y1614" s="35"/>
      <c r="Z1614" s="35"/>
      <c r="AA1614" s="35"/>
      <c r="AB1614" s="35"/>
      <c r="AC1614" s="35"/>
      <c r="AD1614" s="35"/>
      <c r="AE1614" s="35"/>
      <c r="AF1614" s="35"/>
      <c r="AG1614" s="35"/>
      <c r="AH1614" s="35"/>
      <c r="AI1614" s="35"/>
      <c r="AJ1614" s="35"/>
      <c r="AK1614" s="35"/>
      <c r="AL1614" s="35"/>
      <c r="AM1614" s="35"/>
      <c r="AN1614" s="35"/>
      <c r="AO1614" s="35"/>
      <c r="AP1614" s="35"/>
      <c r="AQ1614" s="35"/>
      <c r="AR1614" s="35"/>
      <c r="AS1614" s="35"/>
      <c r="AT1614" s="35"/>
      <c r="AU1614" s="35"/>
      <c r="AV1614" s="35"/>
      <c r="AW1614" s="35"/>
      <c r="AX1614" s="35"/>
      <c r="AY1614" s="35"/>
      <c r="AZ1614" s="35"/>
      <c r="BA1614" s="35"/>
      <c r="BB1614" s="35"/>
      <c r="BC1614" s="35"/>
      <c r="BD1614" s="35"/>
      <c r="BE1614" s="35"/>
      <c r="BF1614" s="35"/>
      <c r="BG1614" s="35"/>
    </row>
    <row r="1615" ht="15.75" customHeight="1">
      <c r="A1615" s="35"/>
      <c r="B1615" s="35"/>
      <c r="C1615" s="35"/>
      <c r="D1615" s="35"/>
      <c r="E1615" s="35"/>
      <c r="F1615" s="35"/>
      <c r="G1615" s="35"/>
      <c r="H1615" s="35"/>
      <c r="I1615" s="35"/>
      <c r="J1615" s="35"/>
      <c r="K1615" s="35"/>
      <c r="L1615" s="35"/>
      <c r="M1615" s="35"/>
      <c r="N1615" s="35"/>
      <c r="O1615" s="35"/>
      <c r="P1615" s="35"/>
      <c r="Q1615" s="35"/>
      <c r="R1615" s="35"/>
      <c r="S1615" s="35"/>
      <c r="T1615" s="35"/>
      <c r="U1615" s="35"/>
      <c r="V1615" s="35"/>
      <c r="W1615" s="35"/>
      <c r="X1615" s="35"/>
      <c r="Y1615" s="35"/>
      <c r="Z1615" s="35"/>
      <c r="AA1615" s="35"/>
      <c r="AB1615" s="35"/>
      <c r="AC1615" s="35"/>
      <c r="AD1615" s="35"/>
      <c r="AE1615" s="35"/>
      <c r="AF1615" s="35"/>
      <c r="AG1615" s="35"/>
      <c r="AH1615" s="35"/>
      <c r="AI1615" s="35"/>
      <c r="AJ1615" s="35"/>
      <c r="AK1615" s="35"/>
      <c r="AL1615" s="35"/>
      <c r="AM1615" s="35"/>
      <c r="AN1615" s="35"/>
      <c r="AO1615" s="35"/>
      <c r="AP1615" s="35"/>
      <c r="AQ1615" s="35"/>
      <c r="AR1615" s="35"/>
      <c r="AS1615" s="35"/>
      <c r="AT1615" s="35"/>
      <c r="AU1615" s="35"/>
      <c r="AV1615" s="35"/>
      <c r="AW1615" s="35"/>
      <c r="AX1615" s="35"/>
      <c r="AY1615" s="35"/>
      <c r="AZ1615" s="35"/>
      <c r="BA1615" s="35"/>
      <c r="BB1615" s="35"/>
      <c r="BC1615" s="35"/>
      <c r="BD1615" s="35"/>
      <c r="BE1615" s="35"/>
      <c r="BF1615" s="35"/>
      <c r="BG1615" s="35"/>
    </row>
    <row r="1616" ht="15.75" customHeight="1">
      <c r="A1616" s="35"/>
      <c r="B1616" s="35"/>
      <c r="C1616" s="35"/>
      <c r="D1616" s="35"/>
      <c r="E1616" s="35"/>
      <c r="F1616" s="35"/>
      <c r="G1616" s="35"/>
      <c r="H1616" s="35"/>
      <c r="I1616" s="35"/>
      <c r="J1616" s="35"/>
      <c r="K1616" s="35"/>
      <c r="L1616" s="35"/>
      <c r="M1616" s="35"/>
      <c r="N1616" s="35"/>
      <c r="O1616" s="35"/>
      <c r="P1616" s="35"/>
      <c r="Q1616" s="35"/>
      <c r="R1616" s="35"/>
      <c r="S1616" s="35"/>
      <c r="T1616" s="35"/>
      <c r="U1616" s="35"/>
      <c r="V1616" s="35"/>
      <c r="W1616" s="35"/>
      <c r="X1616" s="35"/>
      <c r="Y1616" s="35"/>
      <c r="Z1616" s="35"/>
      <c r="AA1616" s="35"/>
      <c r="AB1616" s="35"/>
      <c r="AC1616" s="35"/>
      <c r="AD1616" s="35"/>
      <c r="AE1616" s="35"/>
      <c r="AF1616" s="35"/>
      <c r="AG1616" s="35"/>
      <c r="AH1616" s="35"/>
      <c r="AI1616" s="35"/>
      <c r="AJ1616" s="35"/>
      <c r="AK1616" s="35"/>
      <c r="AL1616" s="35"/>
      <c r="AM1616" s="35"/>
      <c r="AN1616" s="35"/>
      <c r="AO1616" s="35"/>
      <c r="AP1616" s="35"/>
      <c r="AQ1616" s="35"/>
      <c r="AR1616" s="35"/>
      <c r="AS1616" s="35"/>
      <c r="AT1616" s="35"/>
      <c r="AU1616" s="35"/>
      <c r="AV1616" s="35"/>
      <c r="AW1616" s="35"/>
      <c r="AX1616" s="35"/>
      <c r="AY1616" s="35"/>
      <c r="AZ1616" s="35"/>
      <c r="BA1616" s="35"/>
      <c r="BB1616" s="35"/>
      <c r="BC1616" s="35"/>
      <c r="BD1616" s="35"/>
      <c r="BE1616" s="35"/>
      <c r="BF1616" s="35"/>
      <c r="BG1616" s="35"/>
    </row>
    <row r="1617" ht="15.75" customHeight="1">
      <c r="A1617" s="35"/>
      <c r="B1617" s="35"/>
      <c r="C1617" s="35"/>
      <c r="D1617" s="35"/>
      <c r="E1617" s="35"/>
      <c r="F1617" s="35"/>
      <c r="G1617" s="35"/>
      <c r="H1617" s="35"/>
      <c r="I1617" s="35"/>
      <c r="J1617" s="35"/>
      <c r="K1617" s="35"/>
      <c r="L1617" s="35"/>
      <c r="M1617" s="35"/>
      <c r="N1617" s="35"/>
      <c r="O1617" s="35"/>
      <c r="P1617" s="35"/>
      <c r="Q1617" s="35"/>
      <c r="R1617" s="35"/>
      <c r="S1617" s="35"/>
      <c r="T1617" s="35"/>
      <c r="U1617" s="35"/>
      <c r="V1617" s="35"/>
      <c r="W1617" s="35"/>
      <c r="X1617" s="35"/>
      <c r="Y1617" s="35"/>
      <c r="Z1617" s="35"/>
      <c r="AA1617" s="35"/>
      <c r="AB1617" s="35"/>
      <c r="AC1617" s="35"/>
      <c r="AD1617" s="35"/>
      <c r="AE1617" s="35"/>
      <c r="AF1617" s="35"/>
      <c r="AG1617" s="35"/>
      <c r="AH1617" s="35"/>
      <c r="AI1617" s="35"/>
      <c r="AJ1617" s="35"/>
      <c r="AK1617" s="35"/>
      <c r="AL1617" s="35"/>
      <c r="AM1617" s="35"/>
      <c r="AN1617" s="35"/>
      <c r="AO1617" s="35"/>
      <c r="AP1617" s="35"/>
      <c r="AQ1617" s="35"/>
      <c r="AR1617" s="35"/>
      <c r="AS1617" s="35"/>
      <c r="AT1617" s="35"/>
      <c r="AU1617" s="35"/>
      <c r="AV1617" s="35"/>
      <c r="AW1617" s="35"/>
      <c r="AX1617" s="35"/>
      <c r="AY1617" s="35"/>
      <c r="AZ1617" s="35"/>
      <c r="BA1617" s="35"/>
      <c r="BB1617" s="35"/>
      <c r="BC1617" s="35"/>
      <c r="BD1617" s="35"/>
      <c r="BE1617" s="35"/>
      <c r="BF1617" s="35"/>
      <c r="BG1617" s="35"/>
    </row>
    <row r="1618" ht="15.75" customHeight="1">
      <c r="A1618" s="35"/>
      <c r="B1618" s="35"/>
      <c r="C1618" s="35"/>
      <c r="D1618" s="35"/>
      <c r="E1618" s="35"/>
      <c r="F1618" s="35"/>
      <c r="G1618" s="35"/>
      <c r="H1618" s="35"/>
      <c r="I1618" s="35"/>
      <c r="J1618" s="35"/>
      <c r="K1618" s="35"/>
      <c r="L1618" s="35"/>
      <c r="M1618" s="35"/>
      <c r="N1618" s="35"/>
      <c r="O1618" s="35"/>
      <c r="P1618" s="35"/>
      <c r="Q1618" s="35"/>
      <c r="R1618" s="35"/>
      <c r="S1618" s="35"/>
      <c r="T1618" s="35"/>
      <c r="U1618" s="35"/>
      <c r="V1618" s="35"/>
      <c r="W1618" s="35"/>
      <c r="X1618" s="35"/>
      <c r="Y1618" s="35"/>
      <c r="Z1618" s="35"/>
      <c r="AA1618" s="35"/>
      <c r="AB1618" s="35"/>
      <c r="AC1618" s="35"/>
      <c r="AD1618" s="35"/>
      <c r="AE1618" s="35"/>
      <c r="AF1618" s="35"/>
      <c r="AG1618" s="35"/>
      <c r="AH1618" s="35"/>
      <c r="AI1618" s="35"/>
      <c r="AJ1618" s="35"/>
      <c r="AK1618" s="35"/>
      <c r="AL1618" s="35"/>
      <c r="AM1618" s="35"/>
      <c r="AN1618" s="35"/>
      <c r="AO1618" s="35"/>
      <c r="AP1618" s="35"/>
      <c r="AQ1618" s="35"/>
      <c r="AR1618" s="35"/>
      <c r="AS1618" s="35"/>
      <c r="AT1618" s="35"/>
      <c r="AU1618" s="35"/>
      <c r="AV1618" s="35"/>
      <c r="AW1618" s="35"/>
      <c r="AX1618" s="35"/>
      <c r="AY1618" s="35"/>
      <c r="AZ1618" s="35"/>
      <c r="BA1618" s="35"/>
      <c r="BB1618" s="35"/>
      <c r="BC1618" s="35"/>
      <c r="BD1618" s="35"/>
      <c r="BE1618" s="35"/>
      <c r="BF1618" s="35"/>
      <c r="BG1618" s="35"/>
    </row>
    <row r="1619" ht="15.75" customHeight="1">
      <c r="A1619" s="35"/>
      <c r="B1619" s="35"/>
      <c r="C1619" s="35"/>
      <c r="D1619" s="35"/>
      <c r="E1619" s="35"/>
      <c r="F1619" s="35"/>
      <c r="G1619" s="35"/>
      <c r="H1619" s="35"/>
      <c r="I1619" s="35"/>
      <c r="J1619" s="35"/>
      <c r="K1619" s="35"/>
      <c r="L1619" s="35"/>
      <c r="M1619" s="35"/>
      <c r="N1619" s="35"/>
      <c r="O1619" s="35"/>
      <c r="P1619" s="35"/>
      <c r="Q1619" s="35"/>
      <c r="R1619" s="35"/>
      <c r="S1619" s="35"/>
      <c r="T1619" s="35"/>
      <c r="U1619" s="35"/>
      <c r="V1619" s="35"/>
      <c r="W1619" s="35"/>
      <c r="X1619" s="35"/>
      <c r="Y1619" s="35"/>
      <c r="Z1619" s="35"/>
      <c r="AA1619" s="35"/>
      <c r="AB1619" s="35"/>
      <c r="AC1619" s="35"/>
      <c r="AD1619" s="35"/>
      <c r="AE1619" s="35"/>
      <c r="AF1619" s="35"/>
      <c r="AG1619" s="35"/>
      <c r="AH1619" s="35"/>
      <c r="AI1619" s="35"/>
      <c r="AJ1619" s="35"/>
      <c r="AK1619" s="35"/>
      <c r="AL1619" s="35"/>
      <c r="AM1619" s="35"/>
      <c r="AN1619" s="35"/>
      <c r="AO1619" s="35"/>
      <c r="AP1619" s="35"/>
      <c r="AQ1619" s="35"/>
      <c r="AR1619" s="35"/>
      <c r="AS1619" s="35"/>
      <c r="AT1619" s="35"/>
      <c r="AU1619" s="35"/>
      <c r="AV1619" s="35"/>
      <c r="AW1619" s="35"/>
      <c r="AX1619" s="35"/>
      <c r="AY1619" s="35"/>
      <c r="AZ1619" s="35"/>
      <c r="BA1619" s="35"/>
      <c r="BB1619" s="35"/>
      <c r="BC1619" s="35"/>
      <c r="BD1619" s="35"/>
      <c r="BE1619" s="35"/>
      <c r="BF1619" s="35"/>
      <c r="BG1619" s="35"/>
    </row>
    <row r="1620" ht="15.75" customHeight="1">
      <c r="A1620" s="35"/>
      <c r="B1620" s="35"/>
      <c r="C1620" s="35"/>
      <c r="D1620" s="35"/>
      <c r="E1620" s="35"/>
      <c r="F1620" s="35"/>
      <c r="G1620" s="35"/>
      <c r="H1620" s="35"/>
      <c r="I1620" s="35"/>
      <c r="J1620" s="35"/>
      <c r="K1620" s="35"/>
      <c r="L1620" s="35"/>
      <c r="M1620" s="35"/>
      <c r="N1620" s="35"/>
      <c r="O1620" s="35"/>
      <c r="P1620" s="35"/>
      <c r="Q1620" s="35"/>
      <c r="R1620" s="35"/>
      <c r="S1620" s="35"/>
      <c r="T1620" s="35"/>
      <c r="U1620" s="35"/>
      <c r="V1620" s="35"/>
      <c r="W1620" s="35"/>
      <c r="X1620" s="35"/>
      <c r="Y1620" s="35"/>
      <c r="Z1620" s="35"/>
      <c r="AA1620" s="35"/>
      <c r="AB1620" s="35"/>
      <c r="AC1620" s="35"/>
      <c r="AD1620" s="35"/>
      <c r="AE1620" s="35"/>
      <c r="AF1620" s="35"/>
      <c r="AG1620" s="35"/>
      <c r="AH1620" s="35"/>
      <c r="AI1620" s="35"/>
      <c r="AJ1620" s="35"/>
      <c r="AK1620" s="35"/>
      <c r="AL1620" s="35"/>
      <c r="AM1620" s="35"/>
      <c r="AN1620" s="35"/>
      <c r="AO1620" s="35"/>
      <c r="AP1620" s="35"/>
      <c r="AQ1620" s="35"/>
      <c r="AR1620" s="35"/>
      <c r="AS1620" s="35"/>
      <c r="AT1620" s="35"/>
      <c r="AU1620" s="35"/>
      <c r="AV1620" s="35"/>
      <c r="AW1620" s="35"/>
      <c r="AX1620" s="35"/>
      <c r="AY1620" s="35"/>
      <c r="AZ1620" s="35"/>
      <c r="BA1620" s="35"/>
      <c r="BB1620" s="35"/>
      <c r="BC1620" s="35"/>
      <c r="BD1620" s="35"/>
      <c r="BE1620" s="35"/>
      <c r="BF1620" s="35"/>
      <c r="BG1620" s="35"/>
    </row>
    <row r="1621" ht="15.75" customHeight="1">
      <c r="A1621" s="35"/>
      <c r="B1621" s="35"/>
      <c r="C1621" s="35"/>
      <c r="D1621" s="35"/>
      <c r="E1621" s="35"/>
      <c r="F1621" s="35"/>
      <c r="G1621" s="35"/>
      <c r="H1621" s="35"/>
      <c r="I1621" s="35"/>
      <c r="J1621" s="35"/>
      <c r="K1621" s="35"/>
      <c r="L1621" s="35"/>
      <c r="M1621" s="35"/>
      <c r="N1621" s="35"/>
      <c r="O1621" s="35"/>
      <c r="P1621" s="35"/>
      <c r="Q1621" s="35"/>
      <c r="R1621" s="35"/>
      <c r="S1621" s="35"/>
      <c r="T1621" s="35"/>
      <c r="U1621" s="35"/>
      <c r="V1621" s="35"/>
      <c r="W1621" s="35"/>
      <c r="X1621" s="35"/>
      <c r="Y1621" s="35"/>
      <c r="Z1621" s="35"/>
      <c r="AA1621" s="35"/>
      <c r="AB1621" s="35"/>
      <c r="AC1621" s="35"/>
      <c r="AD1621" s="35"/>
      <c r="AE1621" s="35"/>
      <c r="AF1621" s="35"/>
      <c r="AG1621" s="35"/>
      <c r="AH1621" s="35"/>
      <c r="AI1621" s="35"/>
      <c r="AJ1621" s="35"/>
      <c r="AK1621" s="35"/>
      <c r="AL1621" s="35"/>
      <c r="AM1621" s="35"/>
      <c r="AN1621" s="35"/>
      <c r="AO1621" s="35"/>
      <c r="AP1621" s="35"/>
      <c r="AQ1621" s="35"/>
      <c r="AR1621" s="35"/>
      <c r="AS1621" s="35"/>
      <c r="AT1621" s="35"/>
      <c r="AU1621" s="35"/>
      <c r="AV1621" s="35"/>
      <c r="AW1621" s="35"/>
      <c r="AX1621" s="35"/>
      <c r="AY1621" s="35"/>
      <c r="AZ1621" s="35"/>
      <c r="BA1621" s="35"/>
      <c r="BB1621" s="35"/>
      <c r="BC1621" s="35"/>
      <c r="BD1621" s="35"/>
      <c r="BE1621" s="35"/>
      <c r="BF1621" s="35"/>
      <c r="BG1621" s="35"/>
    </row>
    <row r="1622" ht="15.75" customHeight="1">
      <c r="A1622" s="35"/>
      <c r="B1622" s="35"/>
      <c r="C1622" s="35"/>
      <c r="D1622" s="35"/>
      <c r="E1622" s="35"/>
      <c r="F1622" s="35"/>
      <c r="G1622" s="35"/>
      <c r="H1622" s="35"/>
      <c r="I1622" s="35"/>
      <c r="J1622" s="35"/>
      <c r="K1622" s="35"/>
      <c r="L1622" s="35"/>
      <c r="M1622" s="35"/>
      <c r="N1622" s="35"/>
      <c r="O1622" s="35"/>
      <c r="P1622" s="35"/>
      <c r="Q1622" s="35"/>
      <c r="R1622" s="35"/>
      <c r="S1622" s="35"/>
      <c r="T1622" s="35"/>
      <c r="U1622" s="35"/>
      <c r="V1622" s="35"/>
      <c r="W1622" s="35"/>
      <c r="X1622" s="35"/>
      <c r="Y1622" s="35"/>
      <c r="Z1622" s="35"/>
      <c r="AA1622" s="35"/>
      <c r="AB1622" s="35"/>
      <c r="AC1622" s="35"/>
      <c r="AD1622" s="35"/>
      <c r="AE1622" s="35"/>
      <c r="AF1622" s="35"/>
      <c r="AG1622" s="35"/>
      <c r="AH1622" s="35"/>
      <c r="AI1622" s="35"/>
      <c r="AJ1622" s="35"/>
      <c r="AK1622" s="35"/>
      <c r="AL1622" s="35"/>
      <c r="AM1622" s="35"/>
      <c r="AN1622" s="35"/>
      <c r="AO1622" s="35"/>
      <c r="AP1622" s="35"/>
      <c r="AQ1622" s="35"/>
      <c r="AR1622" s="35"/>
      <c r="AS1622" s="35"/>
      <c r="AT1622" s="35"/>
      <c r="AU1622" s="35"/>
      <c r="AV1622" s="35"/>
      <c r="AW1622" s="35"/>
      <c r="AX1622" s="35"/>
      <c r="AY1622" s="35"/>
      <c r="AZ1622" s="35"/>
      <c r="BA1622" s="35"/>
      <c r="BB1622" s="35"/>
      <c r="BC1622" s="35"/>
      <c r="BD1622" s="35"/>
      <c r="BE1622" s="35"/>
      <c r="BF1622" s="35"/>
      <c r="BG1622" s="35"/>
    </row>
    <row r="1623" ht="15.75" customHeight="1">
      <c r="A1623" s="35"/>
      <c r="B1623" s="35"/>
      <c r="C1623" s="35"/>
      <c r="D1623" s="35"/>
      <c r="E1623" s="35"/>
      <c r="F1623" s="35"/>
      <c r="G1623" s="35"/>
      <c r="H1623" s="35"/>
      <c r="I1623" s="35"/>
      <c r="J1623" s="35"/>
      <c r="K1623" s="35"/>
      <c r="L1623" s="35"/>
      <c r="M1623" s="35"/>
      <c r="N1623" s="35"/>
      <c r="O1623" s="35"/>
      <c r="P1623" s="35"/>
      <c r="Q1623" s="35"/>
      <c r="R1623" s="35"/>
      <c r="S1623" s="35"/>
      <c r="T1623" s="35"/>
      <c r="U1623" s="35"/>
      <c r="V1623" s="35"/>
      <c r="W1623" s="35"/>
      <c r="X1623" s="35"/>
      <c r="Y1623" s="35"/>
      <c r="Z1623" s="35"/>
      <c r="AA1623" s="35"/>
      <c r="AB1623" s="35"/>
      <c r="AC1623" s="35"/>
      <c r="AD1623" s="35"/>
      <c r="AE1623" s="35"/>
      <c r="AF1623" s="35"/>
      <c r="AG1623" s="35"/>
      <c r="AH1623" s="35"/>
      <c r="AI1623" s="35"/>
      <c r="AJ1623" s="35"/>
      <c r="AK1623" s="35"/>
      <c r="AL1623" s="35"/>
      <c r="AM1623" s="35"/>
      <c r="AN1623" s="35"/>
      <c r="AO1623" s="35"/>
      <c r="AP1623" s="35"/>
      <c r="AQ1623" s="35"/>
      <c r="AR1623" s="35"/>
      <c r="AS1623" s="35"/>
      <c r="AT1623" s="35"/>
      <c r="AU1623" s="35"/>
      <c r="AV1623" s="35"/>
      <c r="AW1623" s="35"/>
      <c r="AX1623" s="35"/>
      <c r="AY1623" s="35"/>
      <c r="AZ1623" s="35"/>
      <c r="BA1623" s="35"/>
      <c r="BB1623" s="35"/>
      <c r="BC1623" s="35"/>
      <c r="BD1623" s="35"/>
      <c r="BE1623" s="35"/>
      <c r="BF1623" s="35"/>
      <c r="BG1623" s="35"/>
    </row>
    <row r="1624" ht="15.75" customHeight="1">
      <c r="A1624" s="35"/>
      <c r="B1624" s="35"/>
      <c r="C1624" s="35"/>
      <c r="D1624" s="35"/>
      <c r="E1624" s="35"/>
      <c r="F1624" s="35"/>
      <c r="G1624" s="35"/>
      <c r="H1624" s="35"/>
      <c r="I1624" s="35"/>
      <c r="J1624" s="35"/>
      <c r="K1624" s="35"/>
      <c r="L1624" s="35"/>
      <c r="M1624" s="35"/>
      <c r="N1624" s="35"/>
      <c r="O1624" s="35"/>
      <c r="P1624" s="35"/>
      <c r="Q1624" s="35"/>
      <c r="R1624" s="35"/>
      <c r="S1624" s="35"/>
      <c r="T1624" s="35"/>
      <c r="U1624" s="35"/>
      <c r="V1624" s="35"/>
      <c r="W1624" s="35"/>
      <c r="X1624" s="35"/>
      <c r="Y1624" s="35"/>
      <c r="Z1624" s="35"/>
      <c r="AA1624" s="35"/>
      <c r="AB1624" s="35"/>
      <c r="AC1624" s="35"/>
      <c r="AD1624" s="35"/>
      <c r="AE1624" s="35"/>
      <c r="AF1624" s="35"/>
      <c r="AG1624" s="35"/>
      <c r="AH1624" s="35"/>
      <c r="AI1624" s="35"/>
      <c r="AJ1624" s="35"/>
      <c r="AK1624" s="35"/>
      <c r="AL1624" s="35"/>
      <c r="AM1624" s="35"/>
      <c r="AN1624" s="35"/>
      <c r="AO1624" s="35"/>
      <c r="AP1624" s="35"/>
      <c r="AQ1624" s="35"/>
      <c r="AR1624" s="35"/>
      <c r="AS1624" s="35"/>
      <c r="AT1624" s="35"/>
      <c r="AU1624" s="35"/>
      <c r="AV1624" s="35"/>
      <c r="AW1624" s="35"/>
      <c r="AX1624" s="35"/>
      <c r="AY1624" s="35"/>
      <c r="AZ1624" s="35"/>
      <c r="BA1624" s="35"/>
      <c r="BB1624" s="35"/>
      <c r="BC1624" s="35"/>
      <c r="BD1624" s="35"/>
      <c r="BE1624" s="35"/>
      <c r="BF1624" s="35"/>
      <c r="BG1624" s="35"/>
    </row>
    <row r="1625" ht="15.75" customHeight="1">
      <c r="A1625" s="35"/>
      <c r="B1625" s="35"/>
      <c r="C1625" s="35"/>
      <c r="D1625" s="35"/>
      <c r="E1625" s="35"/>
      <c r="F1625" s="35"/>
      <c r="G1625" s="35"/>
      <c r="H1625" s="35"/>
      <c r="I1625" s="35"/>
      <c r="J1625" s="35"/>
      <c r="K1625" s="35"/>
      <c r="L1625" s="35"/>
      <c r="M1625" s="35"/>
      <c r="N1625" s="35"/>
      <c r="O1625" s="35"/>
      <c r="P1625" s="35"/>
      <c r="Q1625" s="35"/>
      <c r="R1625" s="35"/>
      <c r="S1625" s="35"/>
      <c r="T1625" s="35"/>
      <c r="U1625" s="35"/>
      <c r="V1625" s="35"/>
      <c r="W1625" s="35"/>
      <c r="X1625" s="35"/>
      <c r="Y1625" s="35"/>
      <c r="Z1625" s="35"/>
      <c r="AA1625" s="35"/>
      <c r="AB1625" s="35"/>
      <c r="AC1625" s="35"/>
      <c r="AD1625" s="35"/>
      <c r="AE1625" s="35"/>
      <c r="AF1625" s="35"/>
      <c r="AG1625" s="35"/>
      <c r="AH1625" s="35"/>
      <c r="AI1625" s="35"/>
      <c r="AJ1625" s="35"/>
      <c r="AK1625" s="35"/>
      <c r="AL1625" s="35"/>
      <c r="AM1625" s="35"/>
      <c r="AN1625" s="35"/>
      <c r="AO1625" s="35"/>
      <c r="AP1625" s="35"/>
      <c r="AQ1625" s="35"/>
      <c r="AR1625" s="35"/>
      <c r="AS1625" s="35"/>
      <c r="AT1625" s="35"/>
      <c r="AU1625" s="35"/>
      <c r="AV1625" s="35"/>
      <c r="AW1625" s="35"/>
      <c r="AX1625" s="35"/>
      <c r="AY1625" s="35"/>
      <c r="AZ1625" s="35"/>
      <c r="BA1625" s="35"/>
      <c r="BB1625" s="35"/>
      <c r="BC1625" s="35"/>
      <c r="BD1625" s="35"/>
      <c r="BE1625" s="35"/>
      <c r="BF1625" s="35"/>
      <c r="BG1625" s="35"/>
    </row>
    <row r="1626" ht="15.75" customHeight="1">
      <c r="A1626" s="35"/>
      <c r="B1626" s="35"/>
      <c r="C1626" s="35"/>
      <c r="D1626" s="35"/>
      <c r="E1626" s="35"/>
      <c r="F1626" s="35"/>
      <c r="G1626" s="35"/>
      <c r="H1626" s="35"/>
      <c r="I1626" s="35"/>
      <c r="J1626" s="35"/>
      <c r="K1626" s="35"/>
      <c r="L1626" s="35"/>
      <c r="M1626" s="35"/>
      <c r="N1626" s="35"/>
      <c r="O1626" s="35"/>
      <c r="P1626" s="35"/>
      <c r="Q1626" s="35"/>
      <c r="R1626" s="35"/>
      <c r="S1626" s="35"/>
      <c r="T1626" s="35"/>
      <c r="U1626" s="35"/>
      <c r="V1626" s="35"/>
      <c r="W1626" s="35"/>
      <c r="X1626" s="35"/>
      <c r="Y1626" s="35"/>
      <c r="Z1626" s="35"/>
      <c r="AA1626" s="35"/>
      <c r="AB1626" s="35"/>
      <c r="AC1626" s="35"/>
      <c r="AD1626" s="35"/>
      <c r="AE1626" s="35"/>
      <c r="AF1626" s="35"/>
      <c r="AG1626" s="35"/>
      <c r="AH1626" s="35"/>
      <c r="AI1626" s="35"/>
      <c r="AJ1626" s="35"/>
      <c r="AK1626" s="35"/>
      <c r="AL1626" s="35"/>
      <c r="AM1626" s="35"/>
      <c r="AN1626" s="35"/>
      <c r="AO1626" s="35"/>
      <c r="AP1626" s="35"/>
      <c r="AQ1626" s="35"/>
      <c r="AR1626" s="35"/>
      <c r="AS1626" s="35"/>
      <c r="AT1626" s="35"/>
      <c r="AU1626" s="35"/>
      <c r="AV1626" s="35"/>
      <c r="AW1626" s="35"/>
      <c r="AX1626" s="35"/>
      <c r="AY1626" s="35"/>
      <c r="AZ1626" s="35"/>
      <c r="BA1626" s="35"/>
      <c r="BB1626" s="35"/>
      <c r="BC1626" s="35"/>
      <c r="BD1626" s="35"/>
      <c r="BE1626" s="35"/>
      <c r="BF1626" s="35"/>
      <c r="BG1626" s="35"/>
    </row>
    <row r="1627" ht="15.75" customHeight="1">
      <c r="A1627" s="35"/>
      <c r="B1627" s="35"/>
      <c r="C1627" s="35"/>
      <c r="D1627" s="35"/>
      <c r="E1627" s="35"/>
      <c r="F1627" s="35"/>
      <c r="G1627" s="35"/>
      <c r="H1627" s="35"/>
      <c r="I1627" s="35"/>
      <c r="J1627" s="35"/>
      <c r="K1627" s="35"/>
      <c r="L1627" s="35"/>
      <c r="M1627" s="35"/>
      <c r="N1627" s="35"/>
      <c r="O1627" s="35"/>
      <c r="P1627" s="35"/>
      <c r="Q1627" s="35"/>
      <c r="R1627" s="35"/>
      <c r="S1627" s="35"/>
      <c r="T1627" s="35"/>
      <c r="U1627" s="35"/>
      <c r="V1627" s="35"/>
      <c r="W1627" s="35"/>
      <c r="X1627" s="35"/>
      <c r="Y1627" s="35"/>
      <c r="Z1627" s="35"/>
      <c r="AA1627" s="35"/>
      <c r="AB1627" s="35"/>
      <c r="AC1627" s="35"/>
      <c r="AD1627" s="35"/>
      <c r="AE1627" s="35"/>
      <c r="AF1627" s="35"/>
      <c r="AG1627" s="35"/>
      <c r="AH1627" s="35"/>
      <c r="AI1627" s="35"/>
      <c r="AJ1627" s="35"/>
      <c r="AK1627" s="35"/>
      <c r="AL1627" s="35"/>
      <c r="AM1627" s="35"/>
      <c r="AN1627" s="35"/>
      <c r="AO1627" s="35"/>
      <c r="AP1627" s="35"/>
      <c r="AQ1627" s="35"/>
      <c r="AR1627" s="35"/>
      <c r="AS1627" s="35"/>
      <c r="AT1627" s="35"/>
      <c r="AU1627" s="35"/>
      <c r="AV1627" s="35"/>
      <c r="AW1627" s="35"/>
      <c r="AX1627" s="35"/>
      <c r="AY1627" s="35"/>
      <c r="AZ1627" s="35"/>
      <c r="BA1627" s="35"/>
      <c r="BB1627" s="35"/>
      <c r="BC1627" s="35"/>
      <c r="BD1627" s="35"/>
      <c r="BE1627" s="35"/>
      <c r="BF1627" s="35"/>
      <c r="BG1627" s="35"/>
    </row>
    <row r="1628" ht="15.75" customHeight="1">
      <c r="A1628" s="35"/>
      <c r="B1628" s="35"/>
      <c r="C1628" s="35"/>
      <c r="D1628" s="35"/>
      <c r="E1628" s="35"/>
      <c r="F1628" s="35"/>
      <c r="G1628" s="35"/>
      <c r="H1628" s="35"/>
      <c r="I1628" s="35"/>
      <c r="J1628" s="35"/>
      <c r="K1628" s="35"/>
      <c r="L1628" s="35"/>
      <c r="M1628" s="35"/>
      <c r="N1628" s="35"/>
      <c r="O1628" s="35"/>
      <c r="P1628" s="35"/>
      <c r="Q1628" s="35"/>
      <c r="R1628" s="35"/>
      <c r="S1628" s="35"/>
      <c r="T1628" s="35"/>
      <c r="U1628" s="35"/>
      <c r="V1628" s="35"/>
      <c r="W1628" s="35"/>
      <c r="X1628" s="35"/>
      <c r="Y1628" s="35"/>
      <c r="Z1628" s="35"/>
      <c r="AA1628" s="35"/>
      <c r="AB1628" s="35"/>
      <c r="AC1628" s="35"/>
      <c r="AD1628" s="35"/>
      <c r="AE1628" s="35"/>
      <c r="AF1628" s="35"/>
      <c r="AG1628" s="35"/>
      <c r="AH1628" s="35"/>
      <c r="AI1628" s="35"/>
      <c r="AJ1628" s="35"/>
      <c r="AK1628" s="35"/>
      <c r="AL1628" s="35"/>
      <c r="AM1628" s="35"/>
      <c r="AN1628" s="35"/>
      <c r="AO1628" s="35"/>
      <c r="AP1628" s="35"/>
      <c r="AQ1628" s="35"/>
      <c r="AR1628" s="35"/>
      <c r="AS1628" s="35"/>
      <c r="AT1628" s="35"/>
      <c r="AU1628" s="35"/>
      <c r="AV1628" s="35"/>
      <c r="AW1628" s="35"/>
      <c r="AX1628" s="35"/>
      <c r="AY1628" s="35"/>
      <c r="AZ1628" s="35"/>
      <c r="BA1628" s="35"/>
      <c r="BB1628" s="35"/>
      <c r="BC1628" s="35"/>
      <c r="BD1628" s="35"/>
      <c r="BE1628" s="35"/>
      <c r="BF1628" s="35"/>
      <c r="BG1628" s="35"/>
    </row>
    <row r="1629" ht="15.75" customHeight="1">
      <c r="A1629" s="35"/>
      <c r="B1629" s="35"/>
      <c r="C1629" s="35"/>
      <c r="D1629" s="35"/>
      <c r="E1629" s="35"/>
      <c r="F1629" s="35"/>
      <c r="G1629" s="35"/>
      <c r="H1629" s="35"/>
      <c r="I1629" s="35"/>
      <c r="J1629" s="35"/>
      <c r="K1629" s="35"/>
      <c r="L1629" s="35"/>
      <c r="M1629" s="35"/>
      <c r="N1629" s="35"/>
      <c r="O1629" s="35"/>
      <c r="P1629" s="35"/>
      <c r="Q1629" s="35"/>
      <c r="R1629" s="35"/>
      <c r="S1629" s="35"/>
      <c r="T1629" s="35"/>
      <c r="U1629" s="35"/>
      <c r="V1629" s="35"/>
      <c r="W1629" s="35"/>
      <c r="X1629" s="35"/>
      <c r="Y1629" s="35"/>
      <c r="Z1629" s="35"/>
      <c r="AA1629" s="35"/>
      <c r="AB1629" s="35"/>
      <c r="AC1629" s="35"/>
      <c r="AD1629" s="35"/>
      <c r="AE1629" s="35"/>
      <c r="AF1629" s="35"/>
      <c r="AG1629" s="35"/>
      <c r="AH1629" s="35"/>
      <c r="AI1629" s="35"/>
      <c r="AJ1629" s="35"/>
      <c r="AK1629" s="35"/>
      <c r="AL1629" s="35"/>
      <c r="AM1629" s="35"/>
      <c r="AN1629" s="35"/>
      <c r="AO1629" s="35"/>
      <c r="AP1629" s="35"/>
      <c r="AQ1629" s="35"/>
      <c r="AR1629" s="35"/>
      <c r="AS1629" s="35"/>
      <c r="AT1629" s="35"/>
      <c r="AU1629" s="35"/>
      <c r="AV1629" s="35"/>
      <c r="AW1629" s="35"/>
      <c r="AX1629" s="35"/>
      <c r="AY1629" s="35"/>
      <c r="AZ1629" s="35"/>
      <c r="BA1629" s="35"/>
      <c r="BB1629" s="35"/>
      <c r="BC1629" s="35"/>
      <c r="BD1629" s="35"/>
      <c r="BE1629" s="35"/>
      <c r="BF1629" s="35"/>
      <c r="BG1629" s="35"/>
    </row>
    <row r="1630" ht="15.75" customHeight="1">
      <c r="A1630" s="35"/>
      <c r="B1630" s="35"/>
      <c r="C1630" s="35"/>
      <c r="D1630" s="35"/>
      <c r="E1630" s="35"/>
      <c r="F1630" s="35"/>
      <c r="G1630" s="35"/>
      <c r="H1630" s="35"/>
      <c r="I1630" s="35"/>
      <c r="J1630" s="35"/>
      <c r="K1630" s="35"/>
      <c r="L1630" s="35"/>
      <c r="M1630" s="35"/>
      <c r="N1630" s="35"/>
      <c r="O1630" s="35"/>
      <c r="P1630" s="35"/>
      <c r="Q1630" s="35"/>
      <c r="R1630" s="35"/>
      <c r="S1630" s="35"/>
      <c r="T1630" s="35"/>
      <c r="U1630" s="35"/>
      <c r="V1630" s="35"/>
      <c r="W1630" s="35"/>
      <c r="X1630" s="35"/>
      <c r="Y1630" s="35"/>
      <c r="Z1630" s="35"/>
      <c r="AA1630" s="35"/>
      <c r="AB1630" s="35"/>
      <c r="AC1630" s="35"/>
      <c r="AD1630" s="35"/>
      <c r="AE1630" s="35"/>
      <c r="AF1630" s="35"/>
      <c r="AG1630" s="35"/>
      <c r="AH1630" s="35"/>
      <c r="AI1630" s="35"/>
      <c r="AJ1630" s="35"/>
      <c r="AK1630" s="35"/>
      <c r="AL1630" s="35"/>
      <c r="AM1630" s="35"/>
      <c r="AN1630" s="35"/>
      <c r="AO1630" s="35"/>
      <c r="AP1630" s="35"/>
      <c r="AQ1630" s="35"/>
      <c r="AR1630" s="35"/>
      <c r="AS1630" s="35"/>
      <c r="AT1630" s="35"/>
      <c r="AU1630" s="35"/>
      <c r="AV1630" s="35"/>
      <c r="AW1630" s="35"/>
      <c r="AX1630" s="35"/>
      <c r="AY1630" s="35"/>
      <c r="AZ1630" s="35"/>
      <c r="BA1630" s="35"/>
      <c r="BB1630" s="35"/>
      <c r="BC1630" s="35"/>
      <c r="BD1630" s="35"/>
      <c r="BE1630" s="35"/>
      <c r="BF1630" s="35"/>
      <c r="BG1630" s="35"/>
    </row>
    <row r="1631" ht="15.75" customHeight="1">
      <c r="A1631" s="35"/>
      <c r="B1631" s="35"/>
      <c r="C1631" s="35"/>
      <c r="D1631" s="35"/>
      <c r="E1631" s="35"/>
      <c r="F1631" s="35"/>
      <c r="G1631" s="35"/>
      <c r="H1631" s="35"/>
      <c r="I1631" s="35"/>
      <c r="J1631" s="35"/>
      <c r="K1631" s="35"/>
      <c r="L1631" s="35"/>
      <c r="M1631" s="35"/>
      <c r="N1631" s="35"/>
      <c r="O1631" s="35"/>
      <c r="P1631" s="35"/>
      <c r="Q1631" s="35"/>
      <c r="R1631" s="35"/>
      <c r="S1631" s="35"/>
      <c r="T1631" s="35"/>
      <c r="U1631" s="35"/>
      <c r="V1631" s="35"/>
      <c r="W1631" s="35"/>
      <c r="X1631" s="35"/>
      <c r="Y1631" s="35"/>
      <c r="Z1631" s="35"/>
      <c r="AA1631" s="35"/>
      <c r="AB1631" s="35"/>
      <c r="AC1631" s="35"/>
      <c r="AD1631" s="35"/>
      <c r="AE1631" s="35"/>
      <c r="AF1631" s="35"/>
      <c r="AG1631" s="35"/>
      <c r="AH1631" s="35"/>
      <c r="AI1631" s="35"/>
      <c r="AJ1631" s="35"/>
      <c r="AK1631" s="35"/>
      <c r="AL1631" s="35"/>
      <c r="AM1631" s="35"/>
      <c r="AN1631" s="35"/>
      <c r="AO1631" s="35"/>
      <c r="AP1631" s="35"/>
      <c r="AQ1631" s="35"/>
      <c r="AR1631" s="35"/>
      <c r="AS1631" s="35"/>
      <c r="AT1631" s="35"/>
      <c r="AU1631" s="35"/>
      <c r="AV1631" s="35"/>
      <c r="AW1631" s="35"/>
      <c r="AX1631" s="35"/>
      <c r="AY1631" s="35"/>
      <c r="AZ1631" s="35"/>
      <c r="BA1631" s="35"/>
      <c r="BB1631" s="35"/>
      <c r="BC1631" s="35"/>
      <c r="BD1631" s="35"/>
      <c r="BE1631" s="35"/>
      <c r="BF1631" s="35"/>
      <c r="BG1631" s="35"/>
    </row>
    <row r="1632" ht="15.75" customHeight="1">
      <c r="A1632" s="35"/>
      <c r="B1632" s="35"/>
      <c r="C1632" s="35"/>
      <c r="D1632" s="35"/>
      <c r="E1632" s="35"/>
      <c r="F1632" s="35"/>
      <c r="G1632" s="35"/>
      <c r="H1632" s="35"/>
      <c r="I1632" s="35"/>
      <c r="J1632" s="35"/>
      <c r="K1632" s="35"/>
      <c r="L1632" s="35"/>
      <c r="M1632" s="35"/>
      <c r="N1632" s="35"/>
      <c r="O1632" s="35"/>
      <c r="P1632" s="35"/>
      <c r="Q1632" s="35"/>
      <c r="R1632" s="35"/>
      <c r="S1632" s="35"/>
      <c r="T1632" s="35"/>
      <c r="U1632" s="35"/>
      <c r="V1632" s="35"/>
      <c r="W1632" s="35"/>
      <c r="X1632" s="35"/>
      <c r="Y1632" s="35"/>
      <c r="Z1632" s="35"/>
      <c r="AA1632" s="35"/>
      <c r="AB1632" s="35"/>
      <c r="AC1632" s="35"/>
      <c r="AD1632" s="35"/>
      <c r="AE1632" s="35"/>
      <c r="AF1632" s="35"/>
      <c r="AG1632" s="35"/>
      <c r="AH1632" s="35"/>
      <c r="AI1632" s="35"/>
      <c r="AJ1632" s="35"/>
      <c r="AK1632" s="35"/>
      <c r="AL1632" s="35"/>
      <c r="AM1632" s="35"/>
      <c r="AN1632" s="35"/>
      <c r="AO1632" s="35"/>
      <c r="AP1632" s="35"/>
      <c r="AQ1632" s="35"/>
      <c r="AR1632" s="35"/>
      <c r="AS1632" s="35"/>
      <c r="AT1632" s="35"/>
      <c r="AU1632" s="35"/>
      <c r="AV1632" s="35"/>
      <c r="AW1632" s="35"/>
      <c r="AX1632" s="35"/>
      <c r="AY1632" s="35"/>
      <c r="AZ1632" s="35"/>
      <c r="BA1632" s="35"/>
      <c r="BB1632" s="35"/>
      <c r="BC1632" s="35"/>
      <c r="BD1632" s="35"/>
      <c r="BE1632" s="35"/>
      <c r="BF1632" s="35"/>
      <c r="BG1632" s="35"/>
    </row>
    <row r="1633" ht="15.75" customHeight="1">
      <c r="A1633" s="35"/>
      <c r="B1633" s="35"/>
      <c r="C1633" s="35"/>
      <c r="D1633" s="35"/>
      <c r="E1633" s="35"/>
      <c r="F1633" s="35"/>
      <c r="G1633" s="35"/>
      <c r="H1633" s="35"/>
      <c r="I1633" s="35"/>
      <c r="J1633" s="35"/>
      <c r="K1633" s="35"/>
      <c r="L1633" s="35"/>
      <c r="M1633" s="35"/>
      <c r="N1633" s="35"/>
      <c r="O1633" s="35"/>
      <c r="P1633" s="35"/>
      <c r="Q1633" s="35"/>
      <c r="R1633" s="35"/>
      <c r="S1633" s="35"/>
      <c r="T1633" s="35"/>
      <c r="U1633" s="35"/>
      <c r="V1633" s="35"/>
      <c r="W1633" s="35"/>
      <c r="X1633" s="35"/>
      <c r="Y1633" s="35"/>
      <c r="Z1633" s="35"/>
      <c r="AA1633" s="35"/>
      <c r="AB1633" s="35"/>
      <c r="AC1633" s="35"/>
      <c r="AD1633" s="35"/>
      <c r="AE1633" s="35"/>
      <c r="AF1633" s="35"/>
      <c r="AG1633" s="35"/>
      <c r="AH1633" s="35"/>
      <c r="AI1633" s="35"/>
      <c r="AJ1633" s="35"/>
      <c r="AK1633" s="35"/>
      <c r="AL1633" s="35"/>
      <c r="AM1633" s="35"/>
      <c r="AN1633" s="35"/>
      <c r="AO1633" s="35"/>
      <c r="AP1633" s="35"/>
      <c r="AQ1633" s="35"/>
      <c r="AR1633" s="35"/>
      <c r="AS1633" s="35"/>
      <c r="AT1633" s="35"/>
      <c r="AU1633" s="35"/>
      <c r="AV1633" s="35"/>
      <c r="AW1633" s="35"/>
      <c r="AX1633" s="35"/>
      <c r="AY1633" s="35"/>
      <c r="AZ1633" s="35"/>
      <c r="BA1633" s="35"/>
      <c r="BB1633" s="35"/>
      <c r="BC1633" s="35"/>
      <c r="BD1633" s="35"/>
      <c r="BE1633" s="35"/>
      <c r="BF1633" s="35"/>
      <c r="BG1633" s="35"/>
    </row>
    <row r="1634" ht="15.75" customHeight="1">
      <c r="A1634" s="35"/>
      <c r="B1634" s="35"/>
      <c r="C1634" s="35"/>
      <c r="D1634" s="35"/>
      <c r="E1634" s="35"/>
      <c r="F1634" s="35"/>
      <c r="G1634" s="35"/>
      <c r="H1634" s="35"/>
      <c r="I1634" s="35"/>
      <c r="J1634" s="35"/>
      <c r="K1634" s="35"/>
      <c r="L1634" s="35"/>
      <c r="M1634" s="35"/>
      <c r="N1634" s="35"/>
      <c r="O1634" s="35"/>
      <c r="P1634" s="35"/>
      <c r="Q1634" s="35"/>
      <c r="R1634" s="35"/>
      <c r="S1634" s="35"/>
      <c r="T1634" s="35"/>
      <c r="U1634" s="35"/>
      <c r="V1634" s="35"/>
      <c r="W1634" s="35"/>
      <c r="X1634" s="35"/>
      <c r="Y1634" s="35"/>
      <c r="Z1634" s="35"/>
      <c r="AA1634" s="35"/>
      <c r="AB1634" s="35"/>
      <c r="AC1634" s="35"/>
      <c r="AD1634" s="35"/>
      <c r="AE1634" s="35"/>
      <c r="AF1634" s="35"/>
      <c r="AG1634" s="35"/>
      <c r="AH1634" s="35"/>
      <c r="AI1634" s="35"/>
      <c r="AJ1634" s="35"/>
      <c r="AK1634" s="35"/>
      <c r="AL1634" s="35"/>
      <c r="AM1634" s="35"/>
      <c r="AN1634" s="35"/>
      <c r="AO1634" s="35"/>
      <c r="AP1634" s="35"/>
      <c r="AQ1634" s="35"/>
      <c r="AR1634" s="35"/>
      <c r="AS1634" s="35"/>
      <c r="AT1634" s="35"/>
      <c r="AU1634" s="35"/>
      <c r="AV1634" s="35"/>
      <c r="AW1634" s="35"/>
      <c r="AX1634" s="35"/>
      <c r="AY1634" s="35"/>
      <c r="AZ1634" s="35"/>
      <c r="BA1634" s="35"/>
      <c r="BB1634" s="35"/>
      <c r="BC1634" s="35"/>
      <c r="BD1634" s="35"/>
      <c r="BE1634" s="35"/>
      <c r="BF1634" s="35"/>
      <c r="BG1634" s="35"/>
    </row>
    <row r="1635" ht="15.75" customHeight="1">
      <c r="A1635" s="35"/>
      <c r="B1635" s="35"/>
      <c r="C1635" s="35"/>
      <c r="D1635" s="35"/>
      <c r="E1635" s="35"/>
      <c r="F1635" s="35"/>
      <c r="G1635" s="35"/>
      <c r="H1635" s="35"/>
      <c r="I1635" s="35"/>
      <c r="J1635" s="35"/>
      <c r="K1635" s="35"/>
      <c r="L1635" s="35"/>
      <c r="M1635" s="35"/>
      <c r="N1635" s="35"/>
      <c r="O1635" s="35"/>
      <c r="P1635" s="35"/>
      <c r="Q1635" s="35"/>
      <c r="R1635" s="35"/>
      <c r="S1635" s="35"/>
      <c r="T1635" s="35"/>
      <c r="U1635" s="35"/>
      <c r="V1635" s="35"/>
      <c r="W1635" s="35"/>
      <c r="X1635" s="35"/>
      <c r="Y1635" s="35"/>
      <c r="Z1635" s="35"/>
      <c r="AA1635" s="35"/>
      <c r="AB1635" s="35"/>
      <c r="AC1635" s="35"/>
      <c r="AD1635" s="35"/>
      <c r="AE1635" s="35"/>
      <c r="AF1635" s="35"/>
      <c r="AG1635" s="35"/>
      <c r="AH1635" s="35"/>
      <c r="AI1635" s="35"/>
      <c r="AJ1635" s="35"/>
      <c r="AK1635" s="35"/>
      <c r="AL1635" s="35"/>
      <c r="AM1635" s="35"/>
      <c r="AN1635" s="35"/>
      <c r="AO1635" s="35"/>
      <c r="AP1635" s="35"/>
      <c r="AQ1635" s="35"/>
      <c r="AR1635" s="35"/>
      <c r="AS1635" s="35"/>
      <c r="AT1635" s="35"/>
      <c r="AU1635" s="35"/>
      <c r="AV1635" s="35"/>
      <c r="AW1635" s="35"/>
      <c r="AX1635" s="35"/>
      <c r="AY1635" s="35"/>
      <c r="AZ1635" s="35"/>
      <c r="BA1635" s="35"/>
      <c r="BB1635" s="35"/>
      <c r="BC1635" s="35"/>
      <c r="BD1635" s="35"/>
      <c r="BE1635" s="35"/>
      <c r="BF1635" s="35"/>
      <c r="BG1635" s="35"/>
    </row>
    <row r="1636" ht="15.75" customHeight="1">
      <c r="A1636" s="35"/>
      <c r="B1636" s="35"/>
      <c r="C1636" s="35"/>
      <c r="D1636" s="35"/>
      <c r="E1636" s="35"/>
      <c r="F1636" s="35"/>
      <c r="G1636" s="35"/>
      <c r="H1636" s="35"/>
      <c r="I1636" s="35"/>
      <c r="J1636" s="35"/>
      <c r="K1636" s="35"/>
      <c r="L1636" s="35"/>
      <c r="M1636" s="35"/>
      <c r="N1636" s="35"/>
      <c r="O1636" s="35"/>
      <c r="P1636" s="35"/>
      <c r="Q1636" s="35"/>
      <c r="R1636" s="35"/>
      <c r="S1636" s="35"/>
      <c r="T1636" s="35"/>
      <c r="U1636" s="35"/>
      <c r="V1636" s="35"/>
      <c r="W1636" s="35"/>
      <c r="X1636" s="35"/>
      <c r="Y1636" s="35"/>
      <c r="Z1636" s="35"/>
      <c r="AA1636" s="35"/>
      <c r="AB1636" s="35"/>
      <c r="AC1636" s="35"/>
      <c r="AD1636" s="35"/>
      <c r="AE1636" s="35"/>
      <c r="AF1636" s="35"/>
      <c r="AG1636" s="35"/>
      <c r="AH1636" s="35"/>
      <c r="AI1636" s="35"/>
      <c r="AJ1636" s="35"/>
      <c r="AK1636" s="35"/>
      <c r="AL1636" s="35"/>
      <c r="AM1636" s="35"/>
      <c r="AN1636" s="35"/>
      <c r="AO1636" s="35"/>
      <c r="AP1636" s="35"/>
      <c r="AQ1636" s="35"/>
      <c r="AR1636" s="35"/>
      <c r="AS1636" s="35"/>
      <c r="AT1636" s="35"/>
      <c r="AU1636" s="35"/>
      <c r="AV1636" s="35"/>
      <c r="AW1636" s="35"/>
      <c r="AX1636" s="35"/>
      <c r="AY1636" s="35"/>
      <c r="AZ1636" s="35"/>
      <c r="BA1636" s="35"/>
      <c r="BB1636" s="35"/>
      <c r="BC1636" s="35"/>
      <c r="BD1636" s="35"/>
      <c r="BE1636" s="35"/>
      <c r="BF1636" s="35"/>
      <c r="BG1636" s="35"/>
    </row>
    <row r="1637" ht="15.75" customHeight="1">
      <c r="A1637" s="35"/>
      <c r="B1637" s="35"/>
      <c r="C1637" s="35"/>
      <c r="D1637" s="35"/>
      <c r="E1637" s="35"/>
      <c r="F1637" s="35"/>
      <c r="G1637" s="35"/>
      <c r="H1637" s="35"/>
      <c r="I1637" s="35"/>
      <c r="J1637" s="35"/>
      <c r="K1637" s="35"/>
      <c r="L1637" s="35"/>
      <c r="M1637" s="35"/>
      <c r="N1637" s="35"/>
      <c r="O1637" s="35"/>
      <c r="P1637" s="35"/>
      <c r="Q1637" s="35"/>
      <c r="R1637" s="35"/>
      <c r="S1637" s="35"/>
      <c r="T1637" s="35"/>
      <c r="U1637" s="35"/>
      <c r="V1637" s="35"/>
      <c r="W1637" s="35"/>
      <c r="X1637" s="35"/>
      <c r="Y1637" s="35"/>
      <c r="Z1637" s="35"/>
      <c r="AA1637" s="35"/>
      <c r="AB1637" s="35"/>
      <c r="AC1637" s="35"/>
      <c r="AD1637" s="35"/>
      <c r="AE1637" s="35"/>
      <c r="AF1637" s="35"/>
      <c r="AG1637" s="35"/>
      <c r="AH1637" s="35"/>
      <c r="AI1637" s="35"/>
      <c r="AJ1637" s="35"/>
      <c r="AK1637" s="35"/>
      <c r="AL1637" s="35"/>
      <c r="AM1637" s="35"/>
      <c r="AN1637" s="35"/>
      <c r="AO1637" s="35"/>
      <c r="AP1637" s="35"/>
      <c r="AQ1637" s="35"/>
      <c r="AR1637" s="35"/>
      <c r="AS1637" s="35"/>
      <c r="AT1637" s="35"/>
      <c r="AU1637" s="35"/>
      <c r="AV1637" s="35"/>
      <c r="AW1637" s="35"/>
      <c r="AX1637" s="35"/>
      <c r="AY1637" s="35"/>
      <c r="AZ1637" s="35"/>
      <c r="BA1637" s="35"/>
      <c r="BB1637" s="35"/>
      <c r="BC1637" s="35"/>
      <c r="BD1637" s="35"/>
      <c r="BE1637" s="35"/>
      <c r="BF1637" s="35"/>
      <c r="BG1637" s="35"/>
    </row>
    <row r="1638" ht="15.75" customHeight="1">
      <c r="A1638" s="35"/>
      <c r="B1638" s="35"/>
      <c r="C1638" s="35"/>
      <c r="D1638" s="35"/>
      <c r="E1638" s="35"/>
      <c r="F1638" s="35"/>
      <c r="G1638" s="35"/>
      <c r="H1638" s="35"/>
      <c r="I1638" s="35"/>
      <c r="J1638" s="35"/>
      <c r="K1638" s="35"/>
      <c r="L1638" s="35"/>
      <c r="M1638" s="35"/>
      <c r="N1638" s="35"/>
      <c r="O1638" s="35"/>
      <c r="P1638" s="35"/>
      <c r="Q1638" s="35"/>
      <c r="R1638" s="35"/>
      <c r="S1638" s="35"/>
      <c r="T1638" s="35"/>
      <c r="U1638" s="35"/>
      <c r="V1638" s="35"/>
      <c r="W1638" s="35"/>
      <c r="X1638" s="35"/>
      <c r="Y1638" s="35"/>
      <c r="Z1638" s="35"/>
      <c r="AA1638" s="35"/>
      <c r="AB1638" s="35"/>
      <c r="AC1638" s="35"/>
      <c r="AD1638" s="35"/>
      <c r="AE1638" s="35"/>
      <c r="AF1638" s="35"/>
      <c r="AG1638" s="35"/>
      <c r="AH1638" s="35"/>
      <c r="AI1638" s="35"/>
      <c r="AJ1638" s="35"/>
      <c r="AK1638" s="35"/>
      <c r="AL1638" s="35"/>
      <c r="AM1638" s="35"/>
      <c r="AN1638" s="35"/>
      <c r="AO1638" s="35"/>
      <c r="AP1638" s="35"/>
      <c r="AQ1638" s="35"/>
      <c r="AR1638" s="35"/>
      <c r="AS1638" s="35"/>
      <c r="AT1638" s="35"/>
      <c r="AU1638" s="35"/>
      <c r="AV1638" s="35"/>
      <c r="AW1638" s="35"/>
      <c r="AX1638" s="35"/>
      <c r="AY1638" s="35"/>
      <c r="AZ1638" s="35"/>
      <c r="BA1638" s="35"/>
      <c r="BB1638" s="35"/>
      <c r="BC1638" s="35"/>
      <c r="BD1638" s="35"/>
      <c r="BE1638" s="35"/>
      <c r="BF1638" s="35"/>
      <c r="BG1638" s="35"/>
    </row>
    <row r="1639" ht="15.75" customHeight="1">
      <c r="A1639" s="35"/>
      <c r="B1639" s="35"/>
      <c r="C1639" s="35"/>
      <c r="D1639" s="35"/>
      <c r="E1639" s="35"/>
      <c r="F1639" s="35"/>
      <c r="G1639" s="35"/>
      <c r="H1639" s="35"/>
      <c r="I1639" s="35"/>
      <c r="J1639" s="35"/>
      <c r="K1639" s="35"/>
      <c r="L1639" s="35"/>
      <c r="M1639" s="35"/>
      <c r="N1639" s="35"/>
      <c r="O1639" s="35"/>
      <c r="P1639" s="35"/>
      <c r="Q1639" s="35"/>
      <c r="R1639" s="35"/>
      <c r="S1639" s="35"/>
      <c r="T1639" s="35"/>
      <c r="U1639" s="35"/>
      <c r="V1639" s="35"/>
      <c r="W1639" s="35"/>
      <c r="X1639" s="35"/>
      <c r="Y1639" s="35"/>
      <c r="Z1639" s="35"/>
      <c r="AA1639" s="35"/>
      <c r="AB1639" s="35"/>
      <c r="AC1639" s="35"/>
      <c r="AD1639" s="35"/>
      <c r="AE1639" s="35"/>
      <c r="AF1639" s="35"/>
      <c r="AG1639" s="35"/>
      <c r="AH1639" s="35"/>
      <c r="AI1639" s="35"/>
      <c r="AJ1639" s="35"/>
      <c r="AK1639" s="35"/>
      <c r="AL1639" s="35"/>
      <c r="AM1639" s="35"/>
      <c r="AN1639" s="35"/>
      <c r="AO1639" s="35"/>
      <c r="AP1639" s="35"/>
      <c r="AQ1639" s="35"/>
      <c r="AR1639" s="35"/>
      <c r="AS1639" s="35"/>
      <c r="AT1639" s="35"/>
      <c r="AU1639" s="35"/>
      <c r="AV1639" s="35"/>
      <c r="AW1639" s="35"/>
      <c r="AX1639" s="35"/>
      <c r="AY1639" s="35"/>
      <c r="AZ1639" s="35"/>
      <c r="BA1639" s="35"/>
      <c r="BB1639" s="35"/>
      <c r="BC1639" s="35"/>
      <c r="BD1639" s="35"/>
      <c r="BE1639" s="35"/>
      <c r="BF1639" s="35"/>
      <c r="BG1639" s="35"/>
    </row>
    <row r="1640" ht="15.75" customHeight="1">
      <c r="A1640" s="35"/>
      <c r="B1640" s="35"/>
      <c r="C1640" s="35"/>
      <c r="D1640" s="35"/>
      <c r="E1640" s="35"/>
      <c r="F1640" s="35"/>
      <c r="G1640" s="35"/>
      <c r="H1640" s="35"/>
      <c r="I1640" s="35"/>
      <c r="J1640" s="35"/>
      <c r="K1640" s="35"/>
      <c r="L1640" s="35"/>
      <c r="M1640" s="35"/>
      <c r="N1640" s="35"/>
      <c r="O1640" s="35"/>
      <c r="P1640" s="35"/>
      <c r="Q1640" s="35"/>
      <c r="R1640" s="35"/>
      <c r="S1640" s="35"/>
      <c r="T1640" s="35"/>
      <c r="U1640" s="35"/>
      <c r="V1640" s="35"/>
      <c r="W1640" s="35"/>
      <c r="X1640" s="35"/>
      <c r="Y1640" s="35"/>
      <c r="Z1640" s="35"/>
      <c r="AA1640" s="35"/>
      <c r="AB1640" s="35"/>
      <c r="AC1640" s="35"/>
      <c r="AD1640" s="35"/>
      <c r="AE1640" s="35"/>
      <c r="AF1640" s="35"/>
      <c r="AG1640" s="35"/>
      <c r="AH1640" s="35"/>
      <c r="AI1640" s="35"/>
      <c r="AJ1640" s="35"/>
      <c r="AK1640" s="35"/>
      <c r="AL1640" s="35"/>
      <c r="AM1640" s="35"/>
      <c r="AN1640" s="35"/>
      <c r="AO1640" s="35"/>
      <c r="AP1640" s="35"/>
      <c r="AQ1640" s="35"/>
      <c r="AR1640" s="35"/>
      <c r="AS1640" s="35"/>
      <c r="AT1640" s="35"/>
      <c r="AU1640" s="35"/>
      <c r="AV1640" s="35"/>
      <c r="AW1640" s="35"/>
      <c r="AX1640" s="35"/>
      <c r="AY1640" s="35"/>
      <c r="AZ1640" s="35"/>
      <c r="BA1640" s="35"/>
      <c r="BB1640" s="35"/>
      <c r="BC1640" s="35"/>
      <c r="BD1640" s="35"/>
      <c r="BE1640" s="35"/>
      <c r="BF1640" s="35"/>
      <c r="BG1640" s="35"/>
    </row>
    <row r="1641" ht="15.75" customHeight="1">
      <c r="A1641" s="35"/>
      <c r="B1641" s="35"/>
      <c r="C1641" s="35"/>
      <c r="D1641" s="35"/>
      <c r="E1641" s="35"/>
      <c r="F1641" s="35"/>
      <c r="G1641" s="35"/>
      <c r="H1641" s="35"/>
      <c r="I1641" s="35"/>
      <c r="J1641" s="35"/>
      <c r="K1641" s="35"/>
      <c r="L1641" s="35"/>
      <c r="M1641" s="35"/>
      <c r="N1641" s="35"/>
      <c r="O1641" s="35"/>
      <c r="P1641" s="35"/>
      <c r="Q1641" s="35"/>
      <c r="R1641" s="35"/>
      <c r="S1641" s="35"/>
      <c r="T1641" s="35"/>
      <c r="U1641" s="35"/>
      <c r="V1641" s="35"/>
      <c r="W1641" s="35"/>
      <c r="X1641" s="35"/>
      <c r="Y1641" s="35"/>
      <c r="Z1641" s="35"/>
      <c r="AA1641" s="35"/>
      <c r="AB1641" s="35"/>
      <c r="AC1641" s="35"/>
      <c r="AD1641" s="35"/>
      <c r="AE1641" s="35"/>
      <c r="AF1641" s="35"/>
      <c r="AG1641" s="35"/>
      <c r="AH1641" s="35"/>
      <c r="AI1641" s="35"/>
      <c r="AJ1641" s="35"/>
      <c r="AK1641" s="35"/>
      <c r="AL1641" s="35"/>
      <c r="AM1641" s="35"/>
      <c r="AN1641" s="35"/>
      <c r="AO1641" s="35"/>
      <c r="AP1641" s="35"/>
      <c r="AQ1641" s="35"/>
      <c r="AR1641" s="35"/>
      <c r="AS1641" s="35"/>
      <c r="AT1641" s="35"/>
      <c r="AU1641" s="35"/>
      <c r="AV1641" s="35"/>
      <c r="AW1641" s="35"/>
      <c r="AX1641" s="35"/>
      <c r="AY1641" s="35"/>
      <c r="AZ1641" s="35"/>
      <c r="BA1641" s="35"/>
      <c r="BB1641" s="35"/>
      <c r="BC1641" s="35"/>
      <c r="BD1641" s="35"/>
      <c r="BE1641" s="35"/>
      <c r="BF1641" s="35"/>
      <c r="BG1641" s="35"/>
    </row>
    <row r="1642" ht="15.75" customHeight="1">
      <c r="A1642" s="35"/>
      <c r="B1642" s="35"/>
      <c r="C1642" s="35"/>
      <c r="D1642" s="35"/>
      <c r="E1642" s="35"/>
      <c r="F1642" s="35"/>
      <c r="G1642" s="35"/>
      <c r="H1642" s="35"/>
      <c r="I1642" s="35"/>
      <c r="J1642" s="35"/>
      <c r="K1642" s="35"/>
      <c r="L1642" s="35"/>
      <c r="M1642" s="35"/>
      <c r="N1642" s="35"/>
      <c r="O1642" s="35"/>
      <c r="P1642" s="35"/>
      <c r="Q1642" s="35"/>
      <c r="R1642" s="35"/>
      <c r="S1642" s="35"/>
      <c r="T1642" s="35"/>
      <c r="U1642" s="35"/>
      <c r="V1642" s="35"/>
      <c r="W1642" s="35"/>
      <c r="X1642" s="35"/>
      <c r="Y1642" s="35"/>
      <c r="Z1642" s="35"/>
      <c r="AA1642" s="35"/>
      <c r="AB1642" s="35"/>
      <c r="AC1642" s="35"/>
      <c r="AD1642" s="35"/>
      <c r="AE1642" s="35"/>
      <c r="AF1642" s="35"/>
      <c r="AG1642" s="35"/>
      <c r="AH1642" s="35"/>
      <c r="AI1642" s="35"/>
      <c r="AJ1642" s="35"/>
      <c r="AK1642" s="35"/>
      <c r="AL1642" s="35"/>
      <c r="AM1642" s="35"/>
      <c r="AN1642" s="35"/>
      <c r="AO1642" s="35"/>
      <c r="AP1642" s="35"/>
      <c r="AQ1642" s="35"/>
      <c r="AR1642" s="35"/>
      <c r="AS1642" s="35"/>
      <c r="AT1642" s="35"/>
      <c r="AU1642" s="35"/>
      <c r="AV1642" s="35"/>
      <c r="AW1642" s="35"/>
      <c r="AX1642" s="35"/>
      <c r="AY1642" s="35"/>
      <c r="AZ1642" s="35"/>
      <c r="BA1642" s="35"/>
      <c r="BB1642" s="35"/>
      <c r="BC1642" s="35"/>
      <c r="BD1642" s="35"/>
      <c r="BE1642" s="35"/>
      <c r="BF1642" s="35"/>
      <c r="BG1642" s="35"/>
    </row>
    <row r="1643" ht="15.75" customHeight="1">
      <c r="A1643" s="35"/>
      <c r="B1643" s="35"/>
      <c r="C1643" s="35"/>
      <c r="D1643" s="35"/>
      <c r="E1643" s="35"/>
      <c r="F1643" s="35"/>
      <c r="G1643" s="35"/>
      <c r="H1643" s="35"/>
      <c r="I1643" s="35"/>
      <c r="J1643" s="35"/>
      <c r="K1643" s="35"/>
      <c r="L1643" s="35"/>
      <c r="M1643" s="35"/>
      <c r="N1643" s="35"/>
      <c r="O1643" s="35"/>
      <c r="P1643" s="35"/>
      <c r="Q1643" s="35"/>
      <c r="R1643" s="35"/>
      <c r="S1643" s="35"/>
      <c r="T1643" s="35"/>
      <c r="U1643" s="35"/>
      <c r="V1643" s="35"/>
      <c r="W1643" s="35"/>
      <c r="X1643" s="35"/>
      <c r="Y1643" s="35"/>
      <c r="Z1643" s="35"/>
      <c r="AA1643" s="35"/>
      <c r="AB1643" s="35"/>
      <c r="AC1643" s="35"/>
      <c r="AD1643" s="35"/>
      <c r="AE1643" s="35"/>
      <c r="AF1643" s="35"/>
      <c r="AG1643" s="35"/>
      <c r="AH1643" s="35"/>
      <c r="AI1643" s="35"/>
      <c r="AJ1643" s="35"/>
      <c r="AK1643" s="35"/>
      <c r="AL1643" s="35"/>
      <c r="AM1643" s="35"/>
      <c r="AN1643" s="35"/>
      <c r="AO1643" s="35"/>
      <c r="AP1643" s="35"/>
      <c r="AQ1643" s="35"/>
      <c r="AR1643" s="35"/>
      <c r="AS1643" s="35"/>
      <c r="AT1643" s="35"/>
      <c r="AU1643" s="35"/>
      <c r="AV1643" s="35"/>
      <c r="AW1643" s="35"/>
      <c r="AX1643" s="35"/>
      <c r="AY1643" s="35"/>
      <c r="AZ1643" s="35"/>
      <c r="BA1643" s="35"/>
      <c r="BB1643" s="35"/>
      <c r="BC1643" s="35"/>
      <c r="BD1643" s="35"/>
      <c r="BE1643" s="35"/>
      <c r="BF1643" s="35"/>
      <c r="BG1643" s="35"/>
    </row>
    <row r="1644" ht="15.75" customHeight="1">
      <c r="A1644" s="35"/>
      <c r="B1644" s="35"/>
      <c r="C1644" s="35"/>
      <c r="D1644" s="35"/>
      <c r="E1644" s="35"/>
      <c r="F1644" s="35"/>
      <c r="G1644" s="35"/>
      <c r="H1644" s="35"/>
      <c r="I1644" s="35"/>
      <c r="J1644" s="35"/>
      <c r="K1644" s="35"/>
      <c r="L1644" s="35"/>
      <c r="M1644" s="35"/>
      <c r="N1644" s="35"/>
      <c r="O1644" s="35"/>
      <c r="P1644" s="35"/>
      <c r="Q1644" s="35"/>
      <c r="R1644" s="35"/>
      <c r="S1644" s="35"/>
      <c r="T1644" s="35"/>
      <c r="U1644" s="35"/>
      <c r="V1644" s="35"/>
      <c r="W1644" s="35"/>
      <c r="X1644" s="35"/>
      <c r="Y1644" s="35"/>
      <c r="Z1644" s="35"/>
      <c r="AA1644" s="35"/>
      <c r="AB1644" s="35"/>
      <c r="AC1644" s="35"/>
      <c r="AD1644" s="35"/>
      <c r="AE1644" s="35"/>
      <c r="AF1644" s="35"/>
      <c r="AG1644" s="35"/>
      <c r="AH1644" s="35"/>
      <c r="AI1644" s="35"/>
      <c r="AJ1644" s="35"/>
      <c r="AK1644" s="35"/>
      <c r="AL1644" s="35"/>
      <c r="AM1644" s="35"/>
      <c r="AN1644" s="35"/>
      <c r="AO1644" s="35"/>
      <c r="AP1644" s="35"/>
      <c r="AQ1644" s="35"/>
      <c r="AR1644" s="35"/>
      <c r="AS1644" s="35"/>
      <c r="AT1644" s="35"/>
      <c r="AU1644" s="35"/>
      <c r="AV1644" s="35"/>
      <c r="AW1644" s="35"/>
      <c r="AX1644" s="35"/>
      <c r="AY1644" s="35"/>
      <c r="AZ1644" s="35"/>
      <c r="BA1644" s="35"/>
      <c r="BB1644" s="35"/>
      <c r="BC1644" s="35"/>
      <c r="BD1644" s="35"/>
      <c r="BE1644" s="35"/>
      <c r="BF1644" s="35"/>
      <c r="BG1644" s="35"/>
    </row>
    <row r="1645" ht="15.75" customHeight="1">
      <c r="A1645" s="35"/>
      <c r="B1645" s="35"/>
      <c r="C1645" s="35"/>
      <c r="D1645" s="35"/>
      <c r="E1645" s="35"/>
      <c r="F1645" s="35"/>
      <c r="G1645" s="35"/>
      <c r="H1645" s="35"/>
      <c r="I1645" s="35"/>
      <c r="J1645" s="35"/>
      <c r="K1645" s="35"/>
      <c r="L1645" s="35"/>
      <c r="M1645" s="35"/>
      <c r="N1645" s="35"/>
      <c r="O1645" s="35"/>
      <c r="P1645" s="35"/>
      <c r="Q1645" s="35"/>
      <c r="R1645" s="35"/>
      <c r="S1645" s="35"/>
      <c r="T1645" s="35"/>
      <c r="U1645" s="35"/>
      <c r="V1645" s="35"/>
      <c r="W1645" s="35"/>
      <c r="X1645" s="35"/>
      <c r="Y1645" s="35"/>
      <c r="Z1645" s="35"/>
      <c r="AA1645" s="35"/>
      <c r="AB1645" s="35"/>
      <c r="AC1645" s="35"/>
      <c r="AD1645" s="35"/>
      <c r="AE1645" s="35"/>
      <c r="AF1645" s="35"/>
      <c r="AG1645" s="35"/>
      <c r="AH1645" s="35"/>
      <c r="AI1645" s="35"/>
      <c r="AJ1645" s="35"/>
      <c r="AK1645" s="35"/>
      <c r="AL1645" s="35"/>
      <c r="AM1645" s="35"/>
      <c r="AN1645" s="35"/>
      <c r="AO1645" s="35"/>
      <c r="AP1645" s="35"/>
      <c r="AQ1645" s="35"/>
      <c r="AR1645" s="35"/>
      <c r="AS1645" s="35"/>
      <c r="AT1645" s="35"/>
      <c r="AU1645" s="35"/>
      <c r="AV1645" s="35"/>
      <c r="AW1645" s="35"/>
      <c r="AX1645" s="35"/>
      <c r="AY1645" s="35"/>
      <c r="AZ1645" s="35"/>
      <c r="BA1645" s="35"/>
      <c r="BB1645" s="35"/>
      <c r="BC1645" s="35"/>
      <c r="BD1645" s="35"/>
      <c r="BE1645" s="35"/>
      <c r="BF1645" s="35"/>
      <c r="BG1645" s="35"/>
    </row>
    <row r="1646" ht="15.75" customHeight="1">
      <c r="A1646" s="35"/>
      <c r="B1646" s="35"/>
      <c r="C1646" s="35"/>
      <c r="D1646" s="35"/>
      <c r="E1646" s="35"/>
      <c r="F1646" s="35"/>
      <c r="G1646" s="35"/>
      <c r="H1646" s="35"/>
      <c r="I1646" s="35"/>
      <c r="J1646" s="35"/>
      <c r="K1646" s="35"/>
      <c r="L1646" s="35"/>
      <c r="M1646" s="35"/>
      <c r="N1646" s="35"/>
      <c r="O1646" s="35"/>
      <c r="P1646" s="35"/>
      <c r="Q1646" s="35"/>
      <c r="R1646" s="35"/>
      <c r="S1646" s="35"/>
      <c r="T1646" s="35"/>
      <c r="U1646" s="35"/>
      <c r="V1646" s="35"/>
      <c r="W1646" s="35"/>
      <c r="X1646" s="35"/>
      <c r="Y1646" s="35"/>
      <c r="Z1646" s="35"/>
      <c r="AA1646" s="35"/>
      <c r="AB1646" s="35"/>
      <c r="AC1646" s="35"/>
      <c r="AD1646" s="35"/>
      <c r="AE1646" s="35"/>
      <c r="AF1646" s="35"/>
      <c r="AG1646" s="35"/>
      <c r="AH1646" s="35"/>
      <c r="AI1646" s="35"/>
      <c r="AJ1646" s="35"/>
      <c r="AK1646" s="35"/>
      <c r="AL1646" s="35"/>
      <c r="AM1646" s="35"/>
      <c r="AN1646" s="35"/>
      <c r="AO1646" s="35"/>
      <c r="AP1646" s="35"/>
      <c r="AQ1646" s="35"/>
      <c r="AR1646" s="35"/>
      <c r="AS1646" s="35"/>
      <c r="AT1646" s="35"/>
      <c r="AU1646" s="35"/>
      <c r="AV1646" s="35"/>
      <c r="AW1646" s="35"/>
      <c r="AX1646" s="35"/>
      <c r="AY1646" s="35"/>
      <c r="AZ1646" s="35"/>
      <c r="BA1646" s="35"/>
      <c r="BB1646" s="35"/>
      <c r="BC1646" s="35"/>
      <c r="BD1646" s="35"/>
      <c r="BE1646" s="35"/>
      <c r="BF1646" s="35"/>
      <c r="BG1646" s="35"/>
    </row>
    <row r="1647" ht="15.75" customHeight="1">
      <c r="A1647" s="35"/>
      <c r="B1647" s="35"/>
      <c r="C1647" s="35"/>
      <c r="D1647" s="35"/>
      <c r="E1647" s="35"/>
      <c r="F1647" s="35"/>
      <c r="G1647" s="35"/>
      <c r="H1647" s="35"/>
      <c r="I1647" s="35"/>
      <c r="J1647" s="35"/>
      <c r="K1647" s="35"/>
      <c r="L1647" s="35"/>
      <c r="M1647" s="35"/>
      <c r="N1647" s="35"/>
      <c r="O1647" s="35"/>
      <c r="P1647" s="35"/>
      <c r="Q1647" s="35"/>
      <c r="R1647" s="35"/>
      <c r="S1647" s="35"/>
      <c r="T1647" s="35"/>
      <c r="U1647" s="35"/>
      <c r="V1647" s="35"/>
      <c r="W1647" s="35"/>
      <c r="X1647" s="35"/>
      <c r="Y1647" s="35"/>
      <c r="Z1647" s="35"/>
      <c r="AA1647" s="35"/>
      <c r="AB1647" s="35"/>
      <c r="AC1647" s="35"/>
      <c r="AD1647" s="35"/>
      <c r="AE1647" s="35"/>
      <c r="AF1647" s="35"/>
      <c r="AG1647" s="35"/>
      <c r="AH1647" s="35"/>
      <c r="AI1647" s="35"/>
      <c r="AJ1647" s="35"/>
      <c r="AK1647" s="35"/>
      <c r="AL1647" s="35"/>
      <c r="AM1647" s="35"/>
      <c r="AN1647" s="35"/>
      <c r="AO1647" s="35"/>
      <c r="AP1647" s="35"/>
      <c r="AQ1647" s="35"/>
      <c r="AR1647" s="35"/>
      <c r="AS1647" s="35"/>
      <c r="AT1647" s="35"/>
      <c r="AU1647" s="35"/>
      <c r="AV1647" s="35"/>
      <c r="AW1647" s="35"/>
      <c r="AX1647" s="35"/>
      <c r="AY1647" s="35"/>
      <c r="AZ1647" s="35"/>
      <c r="BA1647" s="35"/>
      <c r="BB1647" s="35"/>
      <c r="BC1647" s="35"/>
      <c r="BD1647" s="35"/>
      <c r="BE1647" s="35"/>
      <c r="BF1647" s="35"/>
      <c r="BG1647" s="35"/>
    </row>
    <row r="1648" ht="15.75" customHeight="1">
      <c r="A1648" s="35"/>
      <c r="B1648" s="35"/>
      <c r="C1648" s="35"/>
      <c r="D1648" s="35"/>
      <c r="E1648" s="35"/>
      <c r="F1648" s="35"/>
      <c r="G1648" s="35"/>
      <c r="H1648" s="35"/>
      <c r="I1648" s="35"/>
      <c r="J1648" s="35"/>
      <c r="K1648" s="35"/>
      <c r="L1648" s="35"/>
      <c r="M1648" s="35"/>
      <c r="N1648" s="35"/>
      <c r="O1648" s="35"/>
      <c r="P1648" s="35"/>
      <c r="Q1648" s="35"/>
      <c r="R1648" s="35"/>
      <c r="S1648" s="35"/>
      <c r="T1648" s="35"/>
      <c r="U1648" s="35"/>
      <c r="V1648" s="35"/>
      <c r="W1648" s="35"/>
      <c r="X1648" s="35"/>
      <c r="Y1648" s="35"/>
      <c r="Z1648" s="35"/>
      <c r="AA1648" s="35"/>
      <c r="AB1648" s="35"/>
      <c r="AC1648" s="35"/>
      <c r="AD1648" s="35"/>
      <c r="AE1648" s="35"/>
      <c r="AF1648" s="35"/>
      <c r="AG1648" s="35"/>
      <c r="AH1648" s="35"/>
      <c r="AI1648" s="35"/>
      <c r="AJ1648" s="35"/>
      <c r="AK1648" s="35"/>
      <c r="AL1648" s="35"/>
      <c r="AM1648" s="35"/>
      <c r="AN1648" s="35"/>
      <c r="AO1648" s="35"/>
      <c r="AP1648" s="35"/>
      <c r="AQ1648" s="35"/>
      <c r="AR1648" s="35"/>
      <c r="AS1648" s="35"/>
      <c r="AT1648" s="35"/>
      <c r="AU1648" s="35"/>
      <c r="AV1648" s="35"/>
      <c r="AW1648" s="35"/>
      <c r="AX1648" s="35"/>
      <c r="AY1648" s="35"/>
      <c r="AZ1648" s="35"/>
      <c r="BA1648" s="35"/>
      <c r="BB1648" s="35"/>
      <c r="BC1648" s="35"/>
      <c r="BD1648" s="35"/>
      <c r="BE1648" s="35"/>
      <c r="BF1648" s="35"/>
      <c r="BG1648" s="35"/>
    </row>
    <row r="1649" ht="15.75" customHeight="1">
      <c r="A1649" s="35"/>
      <c r="B1649" s="35"/>
      <c r="C1649" s="35"/>
      <c r="D1649" s="35"/>
      <c r="E1649" s="35"/>
      <c r="F1649" s="35"/>
      <c r="G1649" s="35"/>
      <c r="H1649" s="35"/>
      <c r="I1649" s="35"/>
      <c r="J1649" s="35"/>
      <c r="K1649" s="35"/>
      <c r="L1649" s="35"/>
      <c r="M1649" s="35"/>
      <c r="N1649" s="35"/>
      <c r="O1649" s="35"/>
      <c r="P1649" s="35"/>
      <c r="Q1649" s="35"/>
      <c r="R1649" s="35"/>
      <c r="S1649" s="35"/>
      <c r="T1649" s="35"/>
      <c r="U1649" s="35"/>
      <c r="V1649" s="35"/>
      <c r="W1649" s="35"/>
      <c r="X1649" s="35"/>
      <c r="Y1649" s="35"/>
      <c r="Z1649" s="35"/>
      <c r="AA1649" s="35"/>
      <c r="AB1649" s="35"/>
      <c r="AC1649" s="35"/>
      <c r="AD1649" s="35"/>
      <c r="AE1649" s="35"/>
      <c r="AF1649" s="35"/>
      <c r="AG1649" s="35"/>
      <c r="AH1649" s="35"/>
      <c r="AI1649" s="35"/>
      <c r="AJ1649" s="35"/>
      <c r="AK1649" s="35"/>
      <c r="AL1649" s="35"/>
      <c r="AM1649" s="35"/>
      <c r="AN1649" s="35"/>
      <c r="AO1649" s="35"/>
      <c r="AP1649" s="35"/>
      <c r="AQ1649" s="35"/>
      <c r="AR1649" s="35"/>
      <c r="AS1649" s="35"/>
      <c r="AT1649" s="35"/>
      <c r="AU1649" s="35"/>
      <c r="AV1649" s="35"/>
      <c r="AW1649" s="35"/>
      <c r="AX1649" s="35"/>
      <c r="AY1649" s="35"/>
      <c r="AZ1649" s="35"/>
      <c r="BA1649" s="35"/>
      <c r="BB1649" s="35"/>
      <c r="BC1649" s="35"/>
      <c r="BD1649" s="35"/>
      <c r="BE1649" s="35"/>
      <c r="BF1649" s="35"/>
      <c r="BG1649" s="35"/>
    </row>
    <row r="1650" ht="15.75" customHeight="1">
      <c r="A1650" s="35"/>
      <c r="B1650" s="35"/>
      <c r="C1650" s="35"/>
      <c r="D1650" s="35"/>
      <c r="E1650" s="35"/>
      <c r="F1650" s="35"/>
      <c r="G1650" s="35"/>
      <c r="H1650" s="35"/>
      <c r="I1650" s="35"/>
      <c r="J1650" s="35"/>
      <c r="K1650" s="35"/>
      <c r="L1650" s="35"/>
      <c r="M1650" s="35"/>
      <c r="N1650" s="35"/>
      <c r="O1650" s="35"/>
      <c r="P1650" s="35"/>
      <c r="Q1650" s="35"/>
      <c r="R1650" s="35"/>
      <c r="S1650" s="35"/>
      <c r="T1650" s="35"/>
      <c r="U1650" s="35"/>
      <c r="V1650" s="35"/>
      <c r="W1650" s="35"/>
      <c r="X1650" s="35"/>
      <c r="Y1650" s="35"/>
      <c r="Z1650" s="35"/>
      <c r="AA1650" s="35"/>
      <c r="AB1650" s="35"/>
      <c r="AC1650" s="35"/>
      <c r="AD1650" s="35"/>
      <c r="AE1650" s="35"/>
      <c r="AF1650" s="35"/>
      <c r="AG1650" s="35"/>
      <c r="AH1650" s="35"/>
      <c r="AI1650" s="35"/>
      <c r="AJ1650" s="35"/>
      <c r="AK1650" s="35"/>
      <c r="AL1650" s="35"/>
      <c r="AM1650" s="35"/>
      <c r="AN1650" s="35"/>
      <c r="AO1650" s="35"/>
      <c r="AP1650" s="35"/>
      <c r="AQ1650" s="35"/>
      <c r="AR1650" s="35"/>
      <c r="AS1650" s="35"/>
      <c r="AT1650" s="35"/>
      <c r="AU1650" s="35"/>
      <c r="AV1650" s="35"/>
      <c r="AW1650" s="35"/>
      <c r="AX1650" s="35"/>
      <c r="AY1650" s="35"/>
      <c r="AZ1650" s="35"/>
      <c r="BA1650" s="35"/>
      <c r="BB1650" s="35"/>
      <c r="BC1650" s="35"/>
      <c r="BD1650" s="35"/>
      <c r="BE1650" s="35"/>
      <c r="BF1650" s="35"/>
      <c r="BG1650" s="35"/>
    </row>
    <row r="1651" ht="15.75" customHeight="1">
      <c r="A1651" s="35"/>
      <c r="B1651" s="35"/>
      <c r="C1651" s="35"/>
      <c r="D1651" s="35"/>
      <c r="E1651" s="35"/>
      <c r="F1651" s="35"/>
      <c r="G1651" s="35"/>
      <c r="H1651" s="35"/>
      <c r="I1651" s="35"/>
      <c r="J1651" s="35"/>
      <c r="K1651" s="35"/>
      <c r="L1651" s="35"/>
      <c r="M1651" s="35"/>
      <c r="N1651" s="35"/>
      <c r="O1651" s="35"/>
      <c r="P1651" s="35"/>
      <c r="Q1651" s="35"/>
      <c r="R1651" s="35"/>
      <c r="S1651" s="35"/>
      <c r="T1651" s="35"/>
      <c r="U1651" s="35"/>
      <c r="V1651" s="35"/>
      <c r="W1651" s="35"/>
      <c r="X1651" s="35"/>
      <c r="Y1651" s="35"/>
      <c r="Z1651" s="35"/>
      <c r="AA1651" s="35"/>
      <c r="AB1651" s="35"/>
      <c r="AC1651" s="35"/>
      <c r="AD1651" s="35"/>
      <c r="AE1651" s="35"/>
      <c r="AF1651" s="35"/>
      <c r="AG1651" s="35"/>
      <c r="AH1651" s="35"/>
      <c r="AI1651" s="35"/>
      <c r="AJ1651" s="35"/>
      <c r="AK1651" s="35"/>
      <c r="AL1651" s="35"/>
      <c r="AM1651" s="35"/>
      <c r="AN1651" s="35"/>
      <c r="AO1651" s="35"/>
      <c r="AP1651" s="35"/>
      <c r="AQ1651" s="35"/>
      <c r="AR1651" s="35"/>
      <c r="AS1651" s="35"/>
      <c r="AT1651" s="35"/>
      <c r="AU1651" s="35"/>
      <c r="AV1651" s="35"/>
      <c r="AW1651" s="35"/>
      <c r="AX1651" s="35"/>
      <c r="AY1651" s="35"/>
      <c r="AZ1651" s="35"/>
      <c r="BA1651" s="35"/>
      <c r="BB1651" s="35"/>
      <c r="BC1651" s="35"/>
      <c r="BD1651" s="35"/>
      <c r="BE1651" s="35"/>
      <c r="BF1651" s="35"/>
      <c r="BG1651" s="35"/>
    </row>
    <row r="1652" ht="15.75" customHeight="1">
      <c r="A1652" s="35"/>
      <c r="B1652" s="35"/>
      <c r="C1652" s="35"/>
      <c r="D1652" s="35"/>
      <c r="E1652" s="35"/>
      <c r="F1652" s="35"/>
      <c r="G1652" s="35"/>
      <c r="H1652" s="35"/>
      <c r="I1652" s="35"/>
      <c r="J1652" s="35"/>
      <c r="K1652" s="35"/>
      <c r="L1652" s="35"/>
      <c r="M1652" s="35"/>
      <c r="N1652" s="35"/>
      <c r="O1652" s="35"/>
      <c r="P1652" s="35"/>
      <c r="Q1652" s="35"/>
      <c r="R1652" s="35"/>
      <c r="S1652" s="35"/>
      <c r="T1652" s="35"/>
      <c r="U1652" s="35"/>
      <c r="V1652" s="35"/>
      <c r="W1652" s="35"/>
      <c r="X1652" s="35"/>
      <c r="Y1652" s="35"/>
      <c r="Z1652" s="35"/>
      <c r="AA1652" s="35"/>
      <c r="AB1652" s="35"/>
      <c r="AC1652" s="35"/>
      <c r="AD1652" s="35"/>
      <c r="AE1652" s="35"/>
      <c r="AF1652" s="35"/>
      <c r="AG1652" s="35"/>
      <c r="AH1652" s="35"/>
      <c r="AI1652" s="35"/>
      <c r="AJ1652" s="35"/>
      <c r="AK1652" s="35"/>
      <c r="AL1652" s="35"/>
      <c r="AM1652" s="35"/>
      <c r="AN1652" s="35"/>
      <c r="AO1652" s="35"/>
      <c r="AP1652" s="35"/>
      <c r="AQ1652" s="35"/>
      <c r="AR1652" s="35"/>
      <c r="AS1652" s="35"/>
      <c r="AT1652" s="35"/>
      <c r="AU1652" s="35"/>
      <c r="AV1652" s="35"/>
      <c r="AW1652" s="35"/>
      <c r="AX1652" s="35"/>
      <c r="AY1652" s="35"/>
      <c r="AZ1652" s="35"/>
      <c r="BA1652" s="35"/>
      <c r="BB1652" s="35"/>
      <c r="BC1652" s="35"/>
      <c r="BD1652" s="35"/>
      <c r="BE1652" s="35"/>
      <c r="BF1652" s="35"/>
      <c r="BG1652" s="35"/>
    </row>
    <row r="1653" ht="15.75" customHeight="1">
      <c r="A1653" s="35"/>
      <c r="B1653" s="35"/>
      <c r="C1653" s="35"/>
      <c r="D1653" s="35"/>
      <c r="E1653" s="35"/>
      <c r="F1653" s="35"/>
      <c r="G1653" s="35"/>
      <c r="H1653" s="35"/>
      <c r="I1653" s="35"/>
      <c r="J1653" s="35"/>
      <c r="K1653" s="35"/>
      <c r="L1653" s="35"/>
      <c r="M1653" s="35"/>
      <c r="N1653" s="35"/>
      <c r="O1653" s="35"/>
      <c r="P1653" s="35"/>
      <c r="Q1653" s="35"/>
      <c r="R1653" s="35"/>
      <c r="S1653" s="35"/>
      <c r="T1653" s="35"/>
      <c r="U1653" s="35"/>
      <c r="V1653" s="35"/>
      <c r="W1653" s="35"/>
      <c r="X1653" s="35"/>
      <c r="Y1653" s="35"/>
      <c r="Z1653" s="35"/>
      <c r="AA1653" s="35"/>
      <c r="AB1653" s="35"/>
      <c r="AC1653" s="35"/>
      <c r="AD1653" s="35"/>
      <c r="AE1653" s="35"/>
      <c r="AF1653" s="35"/>
      <c r="AG1653" s="35"/>
      <c r="AH1653" s="35"/>
      <c r="AI1653" s="35"/>
      <c r="AJ1653" s="35"/>
      <c r="AK1653" s="35"/>
      <c r="AL1653" s="35"/>
      <c r="AM1653" s="35"/>
      <c r="AN1653" s="35"/>
      <c r="AO1653" s="35"/>
      <c r="AP1653" s="35"/>
      <c r="AQ1653" s="35"/>
      <c r="AR1653" s="35"/>
      <c r="AS1653" s="35"/>
      <c r="AT1653" s="35"/>
      <c r="AU1653" s="35"/>
      <c r="AV1653" s="35"/>
      <c r="AW1653" s="35"/>
      <c r="AX1653" s="35"/>
      <c r="AY1653" s="35"/>
      <c r="AZ1653" s="35"/>
      <c r="BA1653" s="35"/>
      <c r="BB1653" s="35"/>
      <c r="BC1653" s="35"/>
      <c r="BD1653" s="35"/>
      <c r="BE1653" s="35"/>
      <c r="BF1653" s="35"/>
      <c r="BG1653" s="35"/>
    </row>
    <row r="1654" ht="15.75" customHeight="1">
      <c r="A1654" s="35"/>
      <c r="B1654" s="35"/>
      <c r="C1654" s="35"/>
      <c r="D1654" s="35"/>
      <c r="E1654" s="35"/>
      <c r="F1654" s="35"/>
      <c r="G1654" s="35"/>
      <c r="H1654" s="35"/>
      <c r="I1654" s="35"/>
      <c r="J1654" s="35"/>
      <c r="K1654" s="35"/>
      <c r="L1654" s="35"/>
      <c r="M1654" s="35"/>
      <c r="N1654" s="35"/>
      <c r="O1654" s="35"/>
      <c r="P1654" s="35"/>
      <c r="Q1654" s="35"/>
      <c r="R1654" s="35"/>
      <c r="S1654" s="35"/>
      <c r="T1654" s="35"/>
      <c r="U1654" s="35"/>
      <c r="V1654" s="35"/>
      <c r="W1654" s="35"/>
      <c r="X1654" s="35"/>
      <c r="Y1654" s="35"/>
      <c r="Z1654" s="35"/>
      <c r="AA1654" s="35"/>
      <c r="AB1654" s="35"/>
      <c r="AC1654" s="35"/>
      <c r="AD1654" s="35"/>
      <c r="AE1654" s="35"/>
      <c r="AF1654" s="35"/>
      <c r="AG1654" s="35"/>
      <c r="AH1654" s="35"/>
      <c r="AI1654" s="35"/>
      <c r="AJ1654" s="35"/>
      <c r="AK1654" s="35"/>
      <c r="AL1654" s="35"/>
      <c r="AM1654" s="35"/>
      <c r="AN1654" s="35"/>
      <c r="AO1654" s="35"/>
      <c r="AP1654" s="35"/>
      <c r="AQ1654" s="35"/>
      <c r="AR1654" s="35"/>
      <c r="AS1654" s="35"/>
      <c r="AT1654" s="35"/>
      <c r="AU1654" s="35"/>
      <c r="AV1654" s="35"/>
      <c r="AW1654" s="35"/>
      <c r="AX1654" s="35"/>
      <c r="AY1654" s="35"/>
      <c r="AZ1654" s="35"/>
      <c r="BA1654" s="35"/>
      <c r="BB1654" s="35"/>
      <c r="BC1654" s="35"/>
      <c r="BD1654" s="35"/>
      <c r="BE1654" s="35"/>
      <c r="BF1654" s="35"/>
      <c r="BG1654" s="35"/>
    </row>
    <row r="1655" ht="15.75" customHeight="1">
      <c r="A1655" s="35"/>
      <c r="B1655" s="35"/>
      <c r="C1655" s="35"/>
      <c r="D1655" s="35"/>
      <c r="E1655" s="35"/>
      <c r="F1655" s="35"/>
      <c r="G1655" s="35"/>
      <c r="H1655" s="35"/>
      <c r="I1655" s="35"/>
      <c r="J1655" s="35"/>
      <c r="K1655" s="35"/>
      <c r="L1655" s="35"/>
      <c r="M1655" s="35"/>
      <c r="N1655" s="35"/>
      <c r="O1655" s="35"/>
      <c r="P1655" s="35"/>
      <c r="Q1655" s="35"/>
      <c r="R1655" s="35"/>
      <c r="S1655" s="35"/>
      <c r="T1655" s="35"/>
      <c r="U1655" s="35"/>
      <c r="V1655" s="35"/>
      <c r="W1655" s="35"/>
      <c r="X1655" s="35"/>
      <c r="Y1655" s="35"/>
      <c r="Z1655" s="35"/>
      <c r="AA1655" s="35"/>
      <c r="AB1655" s="35"/>
      <c r="AC1655" s="35"/>
      <c r="AD1655" s="35"/>
      <c r="AE1655" s="35"/>
      <c r="AF1655" s="35"/>
      <c r="AG1655" s="35"/>
      <c r="AH1655" s="35"/>
      <c r="AI1655" s="35"/>
      <c r="AJ1655" s="35"/>
      <c r="AK1655" s="35"/>
      <c r="AL1655" s="35"/>
      <c r="AM1655" s="35"/>
      <c r="AN1655" s="35"/>
      <c r="AO1655" s="35"/>
      <c r="AP1655" s="35"/>
      <c r="AQ1655" s="35"/>
      <c r="AR1655" s="35"/>
      <c r="AS1655" s="35"/>
      <c r="AT1655" s="35"/>
      <c r="AU1655" s="35"/>
      <c r="AV1655" s="35"/>
      <c r="AW1655" s="35"/>
      <c r="AX1655" s="35"/>
      <c r="AY1655" s="35"/>
      <c r="AZ1655" s="35"/>
      <c r="BA1655" s="35"/>
      <c r="BB1655" s="35"/>
      <c r="BC1655" s="35"/>
      <c r="BD1655" s="35"/>
      <c r="BE1655" s="35"/>
      <c r="BF1655" s="35"/>
      <c r="BG1655" s="35"/>
    </row>
    <row r="1656" ht="15.75" customHeight="1">
      <c r="A1656" s="35"/>
      <c r="B1656" s="35"/>
      <c r="C1656" s="35"/>
      <c r="D1656" s="35"/>
      <c r="E1656" s="35"/>
      <c r="F1656" s="35"/>
      <c r="G1656" s="35"/>
      <c r="H1656" s="35"/>
      <c r="I1656" s="35"/>
      <c r="J1656" s="35"/>
      <c r="K1656" s="35"/>
      <c r="L1656" s="35"/>
      <c r="M1656" s="35"/>
      <c r="N1656" s="35"/>
      <c r="O1656" s="35"/>
      <c r="P1656" s="35"/>
      <c r="Q1656" s="35"/>
      <c r="R1656" s="35"/>
      <c r="S1656" s="35"/>
      <c r="T1656" s="35"/>
      <c r="U1656" s="35"/>
      <c r="V1656" s="35"/>
      <c r="W1656" s="35"/>
      <c r="X1656" s="35"/>
      <c r="Y1656" s="35"/>
      <c r="Z1656" s="35"/>
      <c r="AA1656" s="35"/>
      <c r="AB1656" s="35"/>
      <c r="AC1656" s="35"/>
      <c r="AD1656" s="35"/>
      <c r="AE1656" s="35"/>
      <c r="AF1656" s="35"/>
      <c r="AG1656" s="35"/>
      <c r="AH1656" s="35"/>
      <c r="AI1656" s="35"/>
      <c r="AJ1656" s="35"/>
      <c r="AK1656" s="35"/>
      <c r="AL1656" s="35"/>
      <c r="AM1656" s="35"/>
      <c r="AN1656" s="35"/>
      <c r="AO1656" s="35"/>
      <c r="AP1656" s="35"/>
      <c r="AQ1656" s="35"/>
      <c r="AR1656" s="35"/>
      <c r="AS1656" s="35"/>
      <c r="AT1656" s="35"/>
      <c r="AU1656" s="35"/>
      <c r="AV1656" s="35"/>
      <c r="AW1656" s="35"/>
      <c r="AX1656" s="35"/>
      <c r="AY1656" s="35"/>
      <c r="AZ1656" s="35"/>
      <c r="BA1656" s="35"/>
      <c r="BB1656" s="35"/>
      <c r="BC1656" s="35"/>
      <c r="BD1656" s="35"/>
      <c r="BE1656" s="35"/>
      <c r="BF1656" s="35"/>
      <c r="BG1656" s="35"/>
    </row>
    <row r="1657" ht="15.75" customHeight="1">
      <c r="A1657" s="35"/>
      <c r="B1657" s="35"/>
      <c r="C1657" s="35"/>
      <c r="D1657" s="35"/>
      <c r="E1657" s="35"/>
      <c r="F1657" s="35"/>
      <c r="G1657" s="35"/>
      <c r="H1657" s="35"/>
      <c r="I1657" s="35"/>
      <c r="J1657" s="35"/>
      <c r="K1657" s="35"/>
      <c r="L1657" s="35"/>
      <c r="M1657" s="35"/>
      <c r="N1657" s="35"/>
      <c r="O1657" s="35"/>
      <c r="P1657" s="35"/>
      <c r="Q1657" s="35"/>
      <c r="R1657" s="35"/>
      <c r="S1657" s="35"/>
      <c r="T1657" s="35"/>
      <c r="U1657" s="35"/>
      <c r="V1657" s="35"/>
      <c r="W1657" s="35"/>
      <c r="X1657" s="35"/>
      <c r="Y1657" s="35"/>
      <c r="Z1657" s="35"/>
      <c r="AA1657" s="35"/>
      <c r="AB1657" s="35"/>
      <c r="AC1657" s="35"/>
      <c r="AD1657" s="35"/>
      <c r="AE1657" s="35"/>
      <c r="AF1657" s="35"/>
      <c r="AG1657" s="35"/>
      <c r="AH1657" s="35"/>
      <c r="AI1657" s="35"/>
      <c r="AJ1657" s="35"/>
      <c r="AK1657" s="35"/>
      <c r="AL1657" s="35"/>
      <c r="AM1657" s="35"/>
      <c r="AN1657" s="35"/>
      <c r="AO1657" s="35"/>
      <c r="AP1657" s="35"/>
      <c r="AQ1657" s="35"/>
      <c r="AR1657" s="35"/>
      <c r="AS1657" s="35"/>
      <c r="AT1657" s="35"/>
      <c r="AU1657" s="35"/>
      <c r="AV1657" s="35"/>
      <c r="AW1657" s="35"/>
      <c r="AX1657" s="35"/>
      <c r="AY1657" s="35"/>
      <c r="AZ1657" s="35"/>
      <c r="BA1657" s="35"/>
      <c r="BB1657" s="35"/>
      <c r="BC1657" s="35"/>
      <c r="BD1657" s="35"/>
      <c r="BE1657" s="35"/>
      <c r="BF1657" s="35"/>
      <c r="BG1657" s="35"/>
    </row>
    <row r="1658" ht="15.75" customHeight="1">
      <c r="A1658" s="35"/>
      <c r="B1658" s="35"/>
      <c r="C1658" s="35"/>
      <c r="D1658" s="35"/>
      <c r="E1658" s="35"/>
      <c r="F1658" s="35"/>
      <c r="G1658" s="35"/>
      <c r="H1658" s="35"/>
      <c r="I1658" s="35"/>
      <c r="J1658" s="35"/>
      <c r="K1658" s="35"/>
      <c r="L1658" s="35"/>
      <c r="M1658" s="35"/>
      <c r="N1658" s="35"/>
      <c r="O1658" s="35"/>
      <c r="P1658" s="35"/>
      <c r="Q1658" s="35"/>
      <c r="R1658" s="35"/>
      <c r="S1658" s="35"/>
      <c r="T1658" s="35"/>
      <c r="U1658" s="35"/>
      <c r="V1658" s="35"/>
      <c r="W1658" s="35"/>
      <c r="X1658" s="35"/>
      <c r="Y1658" s="35"/>
      <c r="Z1658" s="35"/>
      <c r="AA1658" s="35"/>
      <c r="AB1658" s="35"/>
      <c r="AC1658" s="35"/>
      <c r="AD1658" s="35"/>
      <c r="AE1658" s="35"/>
      <c r="AF1658" s="35"/>
      <c r="AG1658" s="35"/>
      <c r="AH1658" s="35"/>
      <c r="AI1658" s="35"/>
      <c r="AJ1658" s="35"/>
      <c r="AK1658" s="35"/>
      <c r="AL1658" s="35"/>
      <c r="AM1658" s="35"/>
      <c r="AN1658" s="35"/>
      <c r="AO1658" s="35"/>
      <c r="AP1658" s="35"/>
      <c r="AQ1658" s="35"/>
      <c r="AR1658" s="35"/>
      <c r="AS1658" s="35"/>
      <c r="AT1658" s="35"/>
      <c r="AU1658" s="35"/>
      <c r="AV1658" s="35"/>
      <c r="AW1658" s="35"/>
      <c r="AX1658" s="35"/>
      <c r="AY1658" s="35"/>
      <c r="AZ1658" s="35"/>
      <c r="BA1658" s="35"/>
      <c r="BB1658" s="35"/>
      <c r="BC1658" s="35"/>
      <c r="BD1658" s="35"/>
      <c r="BE1658" s="35"/>
      <c r="BF1658" s="35"/>
      <c r="BG1658" s="35"/>
    </row>
    <row r="1659" ht="15.75" customHeight="1">
      <c r="A1659" s="35"/>
      <c r="B1659" s="35"/>
      <c r="C1659" s="35"/>
      <c r="D1659" s="35"/>
      <c r="E1659" s="35"/>
      <c r="F1659" s="35"/>
      <c r="G1659" s="35"/>
      <c r="H1659" s="35"/>
      <c r="I1659" s="35"/>
      <c r="J1659" s="35"/>
      <c r="K1659" s="35"/>
      <c r="L1659" s="35"/>
      <c r="M1659" s="35"/>
      <c r="N1659" s="35"/>
      <c r="O1659" s="35"/>
      <c r="P1659" s="35"/>
      <c r="Q1659" s="35"/>
      <c r="R1659" s="35"/>
      <c r="S1659" s="35"/>
      <c r="T1659" s="35"/>
      <c r="U1659" s="35"/>
      <c r="V1659" s="35"/>
      <c r="W1659" s="35"/>
      <c r="X1659" s="35"/>
      <c r="Y1659" s="35"/>
      <c r="Z1659" s="35"/>
      <c r="AA1659" s="35"/>
      <c r="AB1659" s="35"/>
      <c r="AC1659" s="35"/>
      <c r="AD1659" s="35"/>
      <c r="AE1659" s="35"/>
      <c r="AF1659" s="35"/>
      <c r="AG1659" s="35"/>
      <c r="AH1659" s="35"/>
      <c r="AI1659" s="35"/>
      <c r="AJ1659" s="35"/>
      <c r="AK1659" s="35"/>
      <c r="AL1659" s="35"/>
      <c r="AM1659" s="35"/>
      <c r="AN1659" s="35"/>
      <c r="AO1659" s="35"/>
      <c r="AP1659" s="35"/>
      <c r="AQ1659" s="35"/>
      <c r="AR1659" s="35"/>
      <c r="AS1659" s="35"/>
      <c r="AT1659" s="35"/>
      <c r="AU1659" s="35"/>
      <c r="AV1659" s="35"/>
      <c r="AW1659" s="35"/>
      <c r="AX1659" s="35"/>
      <c r="AY1659" s="35"/>
      <c r="AZ1659" s="35"/>
      <c r="BA1659" s="35"/>
      <c r="BB1659" s="35"/>
      <c r="BC1659" s="35"/>
      <c r="BD1659" s="35"/>
      <c r="BE1659" s="35"/>
      <c r="BF1659" s="35"/>
      <c r="BG1659" s="35"/>
    </row>
    <row r="1660" ht="15.75" customHeight="1">
      <c r="A1660" s="35"/>
      <c r="B1660" s="35"/>
      <c r="C1660" s="35"/>
      <c r="D1660" s="35"/>
      <c r="E1660" s="35"/>
      <c r="F1660" s="35"/>
      <c r="G1660" s="35"/>
      <c r="H1660" s="35"/>
      <c r="I1660" s="35"/>
      <c r="J1660" s="35"/>
      <c r="K1660" s="35"/>
      <c r="L1660" s="35"/>
      <c r="M1660" s="35"/>
      <c r="N1660" s="35"/>
      <c r="O1660" s="35"/>
      <c r="P1660" s="35"/>
      <c r="Q1660" s="35"/>
      <c r="R1660" s="35"/>
      <c r="S1660" s="35"/>
      <c r="T1660" s="35"/>
      <c r="U1660" s="35"/>
      <c r="V1660" s="35"/>
      <c r="W1660" s="35"/>
      <c r="X1660" s="35"/>
      <c r="Y1660" s="35"/>
      <c r="Z1660" s="35"/>
      <c r="AA1660" s="35"/>
      <c r="AB1660" s="35"/>
      <c r="AC1660" s="35"/>
      <c r="AD1660" s="35"/>
      <c r="AE1660" s="35"/>
      <c r="AF1660" s="35"/>
      <c r="AG1660" s="35"/>
      <c r="AH1660" s="35"/>
      <c r="AI1660" s="35"/>
      <c r="AJ1660" s="35"/>
      <c r="AK1660" s="35"/>
      <c r="AL1660" s="35"/>
      <c r="AM1660" s="35"/>
      <c r="AN1660" s="35"/>
      <c r="AO1660" s="35"/>
      <c r="AP1660" s="35"/>
      <c r="AQ1660" s="35"/>
      <c r="AR1660" s="35"/>
      <c r="AS1660" s="35"/>
      <c r="AT1660" s="35"/>
      <c r="AU1660" s="35"/>
      <c r="AV1660" s="35"/>
      <c r="AW1660" s="35"/>
      <c r="AX1660" s="35"/>
      <c r="AY1660" s="35"/>
      <c r="AZ1660" s="35"/>
      <c r="BA1660" s="35"/>
      <c r="BB1660" s="35"/>
      <c r="BC1660" s="35"/>
      <c r="BD1660" s="35"/>
      <c r="BE1660" s="35"/>
      <c r="BF1660" s="35"/>
      <c r="BG1660" s="35"/>
    </row>
    <row r="1661" ht="15.75" customHeight="1">
      <c r="A1661" s="35"/>
      <c r="B1661" s="35"/>
      <c r="C1661" s="35"/>
      <c r="D1661" s="35"/>
      <c r="E1661" s="35"/>
      <c r="F1661" s="35"/>
      <c r="G1661" s="35"/>
      <c r="H1661" s="35"/>
      <c r="I1661" s="35"/>
      <c r="J1661" s="35"/>
      <c r="K1661" s="35"/>
      <c r="L1661" s="35"/>
      <c r="M1661" s="35"/>
      <c r="N1661" s="35"/>
      <c r="O1661" s="35"/>
      <c r="P1661" s="35"/>
      <c r="Q1661" s="35"/>
      <c r="R1661" s="35"/>
      <c r="S1661" s="35"/>
      <c r="T1661" s="35"/>
      <c r="U1661" s="35"/>
      <c r="V1661" s="35"/>
      <c r="W1661" s="35"/>
      <c r="X1661" s="35"/>
      <c r="Y1661" s="35"/>
      <c r="Z1661" s="35"/>
      <c r="AA1661" s="35"/>
      <c r="AB1661" s="35"/>
      <c r="AC1661" s="35"/>
      <c r="AD1661" s="35"/>
      <c r="AE1661" s="35"/>
      <c r="AF1661" s="35"/>
      <c r="AG1661" s="35"/>
      <c r="AH1661" s="35"/>
      <c r="AI1661" s="35"/>
      <c r="AJ1661" s="35"/>
      <c r="AK1661" s="35"/>
      <c r="AL1661" s="35"/>
      <c r="AM1661" s="35"/>
      <c r="AN1661" s="35"/>
      <c r="AO1661" s="35"/>
      <c r="AP1661" s="35"/>
      <c r="AQ1661" s="35"/>
      <c r="AR1661" s="35"/>
      <c r="AS1661" s="35"/>
      <c r="AT1661" s="35"/>
      <c r="AU1661" s="35"/>
      <c r="AV1661" s="35"/>
      <c r="AW1661" s="35"/>
      <c r="AX1661" s="35"/>
      <c r="AY1661" s="35"/>
      <c r="AZ1661" s="35"/>
      <c r="BA1661" s="35"/>
      <c r="BB1661" s="35"/>
      <c r="BC1661" s="35"/>
      <c r="BD1661" s="35"/>
      <c r="BE1661" s="35"/>
      <c r="BF1661" s="35"/>
      <c r="BG1661" s="35"/>
    </row>
    <row r="1662" ht="15.75" customHeight="1">
      <c r="A1662" s="35"/>
      <c r="B1662" s="35"/>
      <c r="C1662" s="35"/>
      <c r="D1662" s="35"/>
      <c r="E1662" s="35"/>
      <c r="F1662" s="35"/>
      <c r="G1662" s="35"/>
      <c r="H1662" s="35"/>
      <c r="I1662" s="35"/>
      <c r="J1662" s="35"/>
      <c r="K1662" s="35"/>
      <c r="L1662" s="35"/>
      <c r="M1662" s="35"/>
      <c r="N1662" s="35"/>
      <c r="O1662" s="35"/>
      <c r="P1662" s="35"/>
      <c r="Q1662" s="35"/>
      <c r="R1662" s="35"/>
      <c r="S1662" s="35"/>
      <c r="T1662" s="35"/>
      <c r="U1662" s="35"/>
      <c r="V1662" s="35"/>
      <c r="W1662" s="35"/>
      <c r="X1662" s="35"/>
      <c r="Y1662" s="35"/>
      <c r="Z1662" s="35"/>
      <c r="AA1662" s="35"/>
      <c r="AB1662" s="35"/>
      <c r="AC1662" s="35"/>
      <c r="AD1662" s="35"/>
      <c r="AE1662" s="35"/>
      <c r="AF1662" s="35"/>
      <c r="AG1662" s="35"/>
      <c r="AH1662" s="35"/>
      <c r="AI1662" s="35"/>
      <c r="AJ1662" s="35"/>
      <c r="AK1662" s="35"/>
      <c r="AL1662" s="35"/>
      <c r="AM1662" s="35"/>
      <c r="AN1662" s="35"/>
      <c r="AO1662" s="35"/>
      <c r="AP1662" s="35"/>
      <c r="AQ1662" s="35"/>
      <c r="AR1662" s="35"/>
      <c r="AS1662" s="35"/>
      <c r="AT1662" s="35"/>
      <c r="AU1662" s="35"/>
      <c r="AV1662" s="35"/>
      <c r="AW1662" s="35"/>
      <c r="AX1662" s="35"/>
      <c r="AY1662" s="35"/>
      <c r="AZ1662" s="35"/>
      <c r="BA1662" s="35"/>
      <c r="BB1662" s="35"/>
      <c r="BC1662" s="35"/>
      <c r="BD1662" s="35"/>
      <c r="BE1662" s="35"/>
      <c r="BF1662" s="35"/>
      <c r="BG1662" s="35"/>
    </row>
    <row r="1663" ht="15.75" customHeight="1">
      <c r="A1663" s="35"/>
      <c r="B1663" s="35"/>
      <c r="C1663" s="35"/>
      <c r="D1663" s="35"/>
      <c r="E1663" s="35"/>
      <c r="F1663" s="35"/>
      <c r="G1663" s="35"/>
      <c r="H1663" s="35"/>
      <c r="I1663" s="35"/>
      <c r="J1663" s="35"/>
      <c r="K1663" s="35"/>
      <c r="L1663" s="35"/>
      <c r="M1663" s="35"/>
      <c r="N1663" s="35"/>
      <c r="O1663" s="35"/>
      <c r="P1663" s="35"/>
      <c r="Q1663" s="35"/>
      <c r="R1663" s="35"/>
      <c r="S1663" s="35"/>
      <c r="T1663" s="35"/>
      <c r="U1663" s="35"/>
      <c r="V1663" s="35"/>
      <c r="W1663" s="35"/>
      <c r="X1663" s="35"/>
      <c r="Y1663" s="35"/>
      <c r="Z1663" s="35"/>
      <c r="AA1663" s="35"/>
      <c r="AB1663" s="35"/>
      <c r="AC1663" s="35"/>
      <c r="AD1663" s="35"/>
      <c r="AE1663" s="35"/>
      <c r="AF1663" s="35"/>
      <c r="AG1663" s="35"/>
      <c r="AH1663" s="35"/>
      <c r="AI1663" s="35"/>
      <c r="AJ1663" s="35"/>
      <c r="AK1663" s="35"/>
      <c r="AL1663" s="35"/>
      <c r="AM1663" s="35"/>
      <c r="AN1663" s="35"/>
      <c r="AO1663" s="35"/>
      <c r="AP1663" s="35"/>
      <c r="AQ1663" s="35"/>
      <c r="AR1663" s="35"/>
      <c r="AS1663" s="35"/>
      <c r="AT1663" s="35"/>
      <c r="AU1663" s="35"/>
      <c r="AV1663" s="35"/>
      <c r="AW1663" s="35"/>
      <c r="AX1663" s="35"/>
      <c r="AY1663" s="35"/>
      <c r="AZ1663" s="35"/>
      <c r="BA1663" s="35"/>
      <c r="BB1663" s="35"/>
      <c r="BC1663" s="35"/>
      <c r="BD1663" s="35"/>
      <c r="BE1663" s="35"/>
      <c r="BF1663" s="35"/>
      <c r="BG1663" s="35"/>
    </row>
    <row r="1664" ht="15.75" customHeight="1">
      <c r="A1664" s="35"/>
      <c r="B1664" s="35"/>
      <c r="C1664" s="35"/>
      <c r="D1664" s="35"/>
      <c r="E1664" s="35"/>
      <c r="F1664" s="35"/>
      <c r="G1664" s="35"/>
      <c r="H1664" s="35"/>
      <c r="I1664" s="35"/>
      <c r="J1664" s="35"/>
      <c r="K1664" s="35"/>
      <c r="L1664" s="35"/>
      <c r="M1664" s="35"/>
      <c r="N1664" s="35"/>
      <c r="O1664" s="35"/>
      <c r="P1664" s="35"/>
      <c r="Q1664" s="35"/>
      <c r="R1664" s="35"/>
      <c r="S1664" s="35"/>
      <c r="T1664" s="35"/>
      <c r="U1664" s="35"/>
      <c r="V1664" s="35"/>
      <c r="W1664" s="35"/>
      <c r="X1664" s="35"/>
      <c r="Y1664" s="35"/>
      <c r="Z1664" s="35"/>
      <c r="AA1664" s="35"/>
      <c r="AB1664" s="35"/>
      <c r="AC1664" s="35"/>
      <c r="AD1664" s="35"/>
      <c r="AE1664" s="35"/>
      <c r="AF1664" s="35"/>
      <c r="AG1664" s="35"/>
      <c r="AH1664" s="35"/>
      <c r="AI1664" s="35"/>
      <c r="AJ1664" s="35"/>
      <c r="AK1664" s="35"/>
      <c r="AL1664" s="35"/>
      <c r="AM1664" s="35"/>
      <c r="AN1664" s="35"/>
      <c r="AO1664" s="35"/>
      <c r="AP1664" s="35"/>
      <c r="AQ1664" s="35"/>
      <c r="AR1664" s="35"/>
      <c r="AS1664" s="35"/>
      <c r="AT1664" s="35"/>
      <c r="AU1664" s="35"/>
      <c r="AV1664" s="35"/>
      <c r="AW1664" s="35"/>
      <c r="AX1664" s="35"/>
      <c r="AY1664" s="35"/>
      <c r="AZ1664" s="35"/>
      <c r="BA1664" s="35"/>
      <c r="BB1664" s="35"/>
      <c r="BC1664" s="35"/>
      <c r="BD1664" s="35"/>
      <c r="BE1664" s="35"/>
      <c r="BF1664" s="35"/>
      <c r="BG1664" s="35"/>
    </row>
    <row r="1665" ht="15.75" customHeight="1">
      <c r="A1665" s="35"/>
      <c r="B1665" s="35"/>
      <c r="C1665" s="35"/>
      <c r="D1665" s="35"/>
      <c r="E1665" s="35"/>
      <c r="F1665" s="35"/>
      <c r="G1665" s="35"/>
      <c r="H1665" s="35"/>
      <c r="I1665" s="35"/>
      <c r="J1665" s="35"/>
      <c r="K1665" s="35"/>
      <c r="L1665" s="35"/>
      <c r="M1665" s="35"/>
      <c r="N1665" s="35"/>
      <c r="O1665" s="35"/>
      <c r="P1665" s="35"/>
      <c r="Q1665" s="35"/>
      <c r="R1665" s="35"/>
      <c r="S1665" s="35"/>
      <c r="T1665" s="35"/>
      <c r="U1665" s="35"/>
      <c r="V1665" s="35"/>
      <c r="W1665" s="35"/>
      <c r="X1665" s="35"/>
      <c r="Y1665" s="35"/>
      <c r="Z1665" s="35"/>
      <c r="AA1665" s="35"/>
      <c r="AB1665" s="35"/>
      <c r="AC1665" s="35"/>
      <c r="AD1665" s="35"/>
      <c r="AE1665" s="35"/>
      <c r="AF1665" s="35"/>
      <c r="AG1665" s="35"/>
      <c r="AH1665" s="35"/>
      <c r="AI1665" s="35"/>
      <c r="AJ1665" s="35"/>
      <c r="AK1665" s="35"/>
      <c r="AL1665" s="35"/>
      <c r="AM1665" s="35"/>
      <c r="AN1665" s="35"/>
      <c r="AO1665" s="35"/>
      <c r="AP1665" s="35"/>
      <c r="AQ1665" s="35"/>
      <c r="AR1665" s="35"/>
      <c r="AS1665" s="35"/>
      <c r="AT1665" s="35"/>
      <c r="AU1665" s="35"/>
      <c r="AV1665" s="35"/>
      <c r="AW1665" s="35"/>
      <c r="AX1665" s="35"/>
      <c r="AY1665" s="35"/>
      <c r="AZ1665" s="35"/>
      <c r="BA1665" s="35"/>
      <c r="BB1665" s="35"/>
      <c r="BC1665" s="35"/>
      <c r="BD1665" s="35"/>
      <c r="BE1665" s="35"/>
      <c r="BF1665" s="35"/>
      <c r="BG1665" s="35"/>
    </row>
    <row r="1666" ht="15.75" customHeight="1">
      <c r="A1666" s="35"/>
      <c r="B1666" s="35"/>
      <c r="C1666" s="35"/>
      <c r="D1666" s="35"/>
      <c r="E1666" s="35"/>
      <c r="F1666" s="35"/>
      <c r="G1666" s="35"/>
      <c r="H1666" s="35"/>
      <c r="I1666" s="35"/>
      <c r="J1666" s="35"/>
      <c r="K1666" s="35"/>
      <c r="L1666" s="35"/>
      <c r="M1666" s="35"/>
      <c r="N1666" s="35"/>
      <c r="O1666" s="35"/>
      <c r="P1666" s="35"/>
      <c r="Q1666" s="35"/>
      <c r="R1666" s="35"/>
      <c r="S1666" s="35"/>
      <c r="T1666" s="35"/>
      <c r="U1666" s="35"/>
      <c r="V1666" s="35"/>
      <c r="W1666" s="35"/>
      <c r="X1666" s="35"/>
      <c r="Y1666" s="35"/>
      <c r="Z1666" s="35"/>
      <c r="AA1666" s="35"/>
      <c r="AB1666" s="35"/>
      <c r="AC1666" s="35"/>
      <c r="AD1666" s="35"/>
      <c r="AE1666" s="35"/>
      <c r="AF1666" s="35"/>
      <c r="AG1666" s="35"/>
      <c r="AH1666" s="35"/>
      <c r="AI1666" s="35"/>
      <c r="AJ1666" s="35"/>
      <c r="AK1666" s="35"/>
      <c r="AL1666" s="35"/>
      <c r="AM1666" s="35"/>
      <c r="AN1666" s="35"/>
      <c r="AO1666" s="35"/>
      <c r="AP1666" s="35"/>
      <c r="AQ1666" s="35"/>
      <c r="AR1666" s="35"/>
      <c r="AS1666" s="35"/>
      <c r="AT1666" s="35"/>
      <c r="AU1666" s="35"/>
      <c r="AV1666" s="35"/>
      <c r="AW1666" s="35"/>
      <c r="AX1666" s="35"/>
      <c r="AY1666" s="35"/>
      <c r="AZ1666" s="35"/>
      <c r="BA1666" s="35"/>
      <c r="BB1666" s="35"/>
      <c r="BC1666" s="35"/>
      <c r="BD1666" s="35"/>
      <c r="BE1666" s="35"/>
      <c r="BF1666" s="35"/>
      <c r="BG1666" s="35"/>
    </row>
    <row r="1667" ht="15.75" customHeight="1">
      <c r="A1667" s="35"/>
      <c r="B1667" s="35"/>
      <c r="C1667" s="35"/>
      <c r="D1667" s="35"/>
      <c r="E1667" s="35"/>
      <c r="F1667" s="35"/>
      <c r="G1667" s="35"/>
      <c r="H1667" s="35"/>
      <c r="I1667" s="35"/>
      <c r="J1667" s="35"/>
      <c r="K1667" s="35"/>
      <c r="L1667" s="35"/>
      <c r="M1667" s="35"/>
      <c r="N1667" s="35"/>
      <c r="O1667" s="35"/>
      <c r="P1667" s="35"/>
      <c r="Q1667" s="35"/>
      <c r="R1667" s="35"/>
      <c r="S1667" s="35"/>
      <c r="T1667" s="35"/>
      <c r="U1667" s="35"/>
      <c r="V1667" s="35"/>
      <c r="W1667" s="35"/>
      <c r="X1667" s="35"/>
      <c r="Y1667" s="35"/>
      <c r="Z1667" s="35"/>
      <c r="AA1667" s="35"/>
      <c r="AB1667" s="35"/>
      <c r="AC1667" s="35"/>
      <c r="AD1667" s="35"/>
      <c r="AE1667" s="35"/>
      <c r="AF1667" s="35"/>
      <c r="AG1667" s="35"/>
      <c r="AH1667" s="35"/>
      <c r="AI1667" s="35"/>
      <c r="AJ1667" s="35"/>
      <c r="AK1667" s="35"/>
      <c r="AL1667" s="35"/>
      <c r="AM1667" s="35"/>
      <c r="AN1667" s="35"/>
      <c r="AO1667" s="35"/>
      <c r="AP1667" s="35"/>
      <c r="AQ1667" s="35"/>
      <c r="AR1667" s="35"/>
      <c r="AS1667" s="35"/>
      <c r="AT1667" s="35"/>
      <c r="AU1667" s="35"/>
      <c r="AV1667" s="35"/>
      <c r="AW1667" s="35"/>
      <c r="AX1667" s="35"/>
      <c r="AY1667" s="35"/>
      <c r="AZ1667" s="35"/>
      <c r="BA1667" s="35"/>
      <c r="BB1667" s="35"/>
      <c r="BC1667" s="35"/>
      <c r="BD1667" s="35"/>
      <c r="BE1667" s="35"/>
      <c r="BF1667" s="35"/>
      <c r="BG1667" s="35"/>
    </row>
    <row r="1668" ht="15.75" customHeight="1">
      <c r="A1668" s="35"/>
      <c r="B1668" s="35"/>
      <c r="C1668" s="35"/>
      <c r="D1668" s="35"/>
      <c r="E1668" s="35"/>
      <c r="F1668" s="35"/>
      <c r="G1668" s="35"/>
      <c r="H1668" s="35"/>
      <c r="I1668" s="35"/>
      <c r="J1668" s="35"/>
      <c r="K1668" s="35"/>
      <c r="L1668" s="35"/>
      <c r="M1668" s="35"/>
      <c r="N1668" s="35"/>
      <c r="O1668" s="35"/>
      <c r="P1668" s="35"/>
      <c r="Q1668" s="35"/>
      <c r="R1668" s="35"/>
      <c r="S1668" s="35"/>
      <c r="T1668" s="35"/>
      <c r="U1668" s="35"/>
      <c r="V1668" s="35"/>
      <c r="W1668" s="35"/>
      <c r="X1668" s="35"/>
      <c r="Y1668" s="35"/>
      <c r="Z1668" s="35"/>
      <c r="AA1668" s="35"/>
      <c r="AB1668" s="35"/>
      <c r="AC1668" s="35"/>
      <c r="AD1668" s="35"/>
      <c r="AE1668" s="35"/>
      <c r="AF1668" s="35"/>
      <c r="AG1668" s="35"/>
      <c r="AH1668" s="35"/>
      <c r="AI1668" s="35"/>
      <c r="AJ1668" s="35"/>
      <c r="AK1668" s="35"/>
      <c r="AL1668" s="35"/>
      <c r="AM1668" s="35"/>
      <c r="AN1668" s="35"/>
      <c r="AO1668" s="35"/>
      <c r="AP1668" s="35"/>
      <c r="AQ1668" s="35"/>
      <c r="AR1668" s="35"/>
      <c r="AS1668" s="35"/>
      <c r="AT1668" s="35"/>
      <c r="AU1668" s="35"/>
      <c r="AV1668" s="35"/>
      <c r="AW1668" s="35"/>
      <c r="AX1668" s="35"/>
      <c r="AY1668" s="35"/>
      <c r="AZ1668" s="35"/>
      <c r="BA1668" s="35"/>
      <c r="BB1668" s="35"/>
      <c r="BC1668" s="35"/>
      <c r="BD1668" s="35"/>
      <c r="BE1668" s="35"/>
      <c r="BF1668" s="35"/>
      <c r="BG1668" s="35"/>
    </row>
    <row r="1669" ht="15.75" customHeight="1">
      <c r="A1669" s="35"/>
      <c r="B1669" s="35"/>
      <c r="C1669" s="35"/>
      <c r="D1669" s="35"/>
      <c r="E1669" s="35"/>
      <c r="F1669" s="35"/>
      <c r="G1669" s="35"/>
      <c r="H1669" s="35"/>
      <c r="I1669" s="35"/>
      <c r="J1669" s="35"/>
      <c r="K1669" s="35"/>
      <c r="L1669" s="35"/>
      <c r="M1669" s="35"/>
      <c r="N1669" s="35"/>
      <c r="O1669" s="35"/>
      <c r="P1669" s="35"/>
      <c r="Q1669" s="35"/>
      <c r="R1669" s="35"/>
      <c r="S1669" s="35"/>
      <c r="T1669" s="35"/>
      <c r="U1669" s="35"/>
      <c r="V1669" s="35"/>
      <c r="W1669" s="35"/>
      <c r="X1669" s="35"/>
      <c r="Y1669" s="35"/>
      <c r="Z1669" s="35"/>
      <c r="AA1669" s="35"/>
      <c r="AB1669" s="35"/>
      <c r="AC1669" s="35"/>
      <c r="AD1669" s="35"/>
      <c r="AE1669" s="35"/>
      <c r="AF1669" s="35"/>
      <c r="AG1669" s="35"/>
      <c r="AH1669" s="35"/>
      <c r="AI1669" s="35"/>
      <c r="AJ1669" s="35"/>
      <c r="AK1669" s="35"/>
      <c r="AL1669" s="35"/>
      <c r="AM1669" s="35"/>
      <c r="AN1669" s="35"/>
      <c r="AO1669" s="35"/>
      <c r="AP1669" s="35"/>
      <c r="AQ1669" s="35"/>
      <c r="AR1669" s="35"/>
      <c r="AS1669" s="35"/>
      <c r="AT1669" s="35"/>
      <c r="AU1669" s="35"/>
      <c r="AV1669" s="35"/>
      <c r="AW1669" s="35"/>
      <c r="AX1669" s="35"/>
      <c r="AY1669" s="35"/>
      <c r="AZ1669" s="35"/>
      <c r="BA1669" s="35"/>
      <c r="BB1669" s="35"/>
      <c r="BC1669" s="35"/>
      <c r="BD1669" s="35"/>
      <c r="BE1669" s="35"/>
      <c r="BF1669" s="35"/>
      <c r="BG1669" s="35"/>
    </row>
    <row r="1670" ht="15.75" customHeight="1">
      <c r="A1670" s="35"/>
      <c r="B1670" s="35"/>
      <c r="C1670" s="35"/>
      <c r="D1670" s="35"/>
      <c r="E1670" s="35"/>
      <c r="F1670" s="35"/>
      <c r="G1670" s="35"/>
      <c r="H1670" s="35"/>
      <c r="I1670" s="35"/>
      <c r="J1670" s="35"/>
      <c r="K1670" s="35"/>
      <c r="L1670" s="35"/>
      <c r="M1670" s="35"/>
      <c r="N1670" s="35"/>
      <c r="O1670" s="35"/>
      <c r="P1670" s="35"/>
      <c r="Q1670" s="35"/>
      <c r="R1670" s="35"/>
      <c r="S1670" s="35"/>
      <c r="T1670" s="35"/>
      <c r="U1670" s="35"/>
      <c r="V1670" s="35"/>
      <c r="W1670" s="35"/>
      <c r="X1670" s="35"/>
      <c r="Y1670" s="35"/>
      <c r="Z1670" s="35"/>
      <c r="AA1670" s="35"/>
      <c r="AB1670" s="35"/>
      <c r="AC1670" s="35"/>
      <c r="AD1670" s="35"/>
      <c r="AE1670" s="35"/>
      <c r="AF1670" s="35"/>
      <c r="AG1670" s="35"/>
      <c r="AH1670" s="35"/>
      <c r="AI1670" s="35"/>
      <c r="AJ1670" s="35"/>
      <c r="AK1670" s="35"/>
      <c r="AL1670" s="35"/>
      <c r="AM1670" s="35"/>
      <c r="AN1670" s="35"/>
      <c r="AO1670" s="35"/>
      <c r="AP1670" s="35"/>
      <c r="AQ1670" s="35"/>
      <c r="AR1670" s="35"/>
      <c r="AS1670" s="35"/>
      <c r="AT1670" s="35"/>
      <c r="AU1670" s="35"/>
      <c r="AV1670" s="35"/>
      <c r="AW1670" s="35"/>
      <c r="AX1670" s="35"/>
      <c r="AY1670" s="35"/>
      <c r="AZ1670" s="35"/>
      <c r="BA1670" s="35"/>
      <c r="BB1670" s="35"/>
      <c r="BC1670" s="35"/>
      <c r="BD1670" s="35"/>
      <c r="BE1670" s="35"/>
      <c r="BF1670" s="35"/>
      <c r="BG1670" s="35"/>
    </row>
    <row r="1671" ht="15.75" customHeight="1">
      <c r="A1671" s="35"/>
      <c r="B1671" s="35"/>
      <c r="C1671" s="35"/>
      <c r="D1671" s="35"/>
      <c r="E1671" s="35"/>
      <c r="F1671" s="35"/>
      <c r="G1671" s="35"/>
      <c r="H1671" s="35"/>
      <c r="I1671" s="35"/>
      <c r="J1671" s="35"/>
      <c r="K1671" s="35"/>
      <c r="L1671" s="35"/>
      <c r="M1671" s="35"/>
      <c r="N1671" s="35"/>
      <c r="O1671" s="35"/>
      <c r="P1671" s="35"/>
      <c r="Q1671" s="35"/>
      <c r="R1671" s="35"/>
      <c r="S1671" s="35"/>
      <c r="T1671" s="35"/>
      <c r="U1671" s="35"/>
      <c r="V1671" s="35"/>
      <c r="W1671" s="35"/>
      <c r="X1671" s="35"/>
      <c r="Y1671" s="35"/>
      <c r="Z1671" s="35"/>
      <c r="AA1671" s="35"/>
      <c r="AB1671" s="35"/>
      <c r="AC1671" s="35"/>
      <c r="AD1671" s="35"/>
      <c r="AE1671" s="35"/>
      <c r="AF1671" s="35"/>
      <c r="AG1671" s="35"/>
      <c r="AH1671" s="35"/>
      <c r="AI1671" s="35"/>
      <c r="AJ1671" s="35"/>
      <c r="AK1671" s="35"/>
      <c r="AL1671" s="35"/>
      <c r="AM1671" s="35"/>
      <c r="AN1671" s="35"/>
      <c r="AO1671" s="35"/>
      <c r="AP1671" s="35"/>
      <c r="AQ1671" s="35"/>
      <c r="AR1671" s="35"/>
      <c r="AS1671" s="35"/>
      <c r="AT1671" s="35"/>
      <c r="AU1671" s="35"/>
      <c r="AV1671" s="35"/>
      <c r="AW1671" s="35"/>
      <c r="AX1671" s="35"/>
      <c r="AY1671" s="35"/>
      <c r="AZ1671" s="35"/>
      <c r="BA1671" s="35"/>
      <c r="BB1671" s="35"/>
      <c r="BC1671" s="35"/>
      <c r="BD1671" s="35"/>
      <c r="BE1671" s="35"/>
      <c r="BF1671" s="35"/>
      <c r="BG1671" s="35"/>
    </row>
    <row r="1672" ht="15.75" customHeight="1">
      <c r="A1672" s="35"/>
      <c r="B1672" s="35"/>
      <c r="C1672" s="35"/>
      <c r="D1672" s="35"/>
      <c r="E1672" s="35"/>
      <c r="F1672" s="35"/>
      <c r="G1672" s="35"/>
      <c r="H1672" s="35"/>
      <c r="I1672" s="35"/>
      <c r="J1672" s="35"/>
      <c r="K1672" s="35"/>
      <c r="L1672" s="35"/>
      <c r="M1672" s="35"/>
      <c r="N1672" s="35"/>
      <c r="O1672" s="35"/>
      <c r="P1672" s="35"/>
      <c r="Q1672" s="35"/>
      <c r="R1672" s="35"/>
      <c r="S1672" s="35"/>
      <c r="T1672" s="35"/>
      <c r="U1672" s="35"/>
      <c r="V1672" s="35"/>
      <c r="W1672" s="35"/>
      <c r="X1672" s="35"/>
      <c r="Y1672" s="35"/>
      <c r="Z1672" s="35"/>
      <c r="AA1672" s="35"/>
      <c r="AB1672" s="35"/>
      <c r="AC1672" s="35"/>
      <c r="AD1672" s="35"/>
      <c r="AE1672" s="35"/>
      <c r="AF1672" s="35"/>
      <c r="AG1672" s="35"/>
      <c r="AH1672" s="35"/>
      <c r="AI1672" s="35"/>
      <c r="AJ1672" s="35"/>
      <c r="AK1672" s="35"/>
      <c r="AL1672" s="35"/>
      <c r="AM1672" s="35"/>
      <c r="AN1672" s="35"/>
      <c r="AO1672" s="35"/>
      <c r="AP1672" s="35"/>
      <c r="AQ1672" s="35"/>
      <c r="AR1672" s="35"/>
      <c r="AS1672" s="35"/>
      <c r="AT1672" s="35"/>
      <c r="AU1672" s="35"/>
      <c r="AV1672" s="35"/>
      <c r="AW1672" s="35"/>
      <c r="AX1672" s="35"/>
      <c r="AY1672" s="35"/>
      <c r="AZ1672" s="35"/>
      <c r="BA1672" s="35"/>
      <c r="BB1672" s="35"/>
      <c r="BC1672" s="35"/>
      <c r="BD1672" s="35"/>
      <c r="BE1672" s="35"/>
      <c r="BF1672" s="35"/>
      <c r="BG1672" s="35"/>
    </row>
    <row r="1673" ht="15.75" customHeight="1">
      <c r="A1673" s="35"/>
      <c r="B1673" s="35"/>
      <c r="C1673" s="35"/>
      <c r="D1673" s="35"/>
      <c r="E1673" s="35"/>
      <c r="F1673" s="35"/>
      <c r="G1673" s="35"/>
      <c r="H1673" s="35"/>
      <c r="I1673" s="35"/>
      <c r="J1673" s="35"/>
      <c r="K1673" s="35"/>
      <c r="L1673" s="35"/>
      <c r="M1673" s="35"/>
      <c r="N1673" s="35"/>
      <c r="O1673" s="35"/>
      <c r="P1673" s="35"/>
      <c r="Q1673" s="35"/>
      <c r="R1673" s="35"/>
      <c r="S1673" s="35"/>
      <c r="T1673" s="35"/>
      <c r="U1673" s="35"/>
      <c r="V1673" s="35"/>
      <c r="W1673" s="35"/>
      <c r="X1673" s="35"/>
      <c r="Y1673" s="35"/>
      <c r="Z1673" s="35"/>
      <c r="AA1673" s="35"/>
      <c r="AB1673" s="35"/>
      <c r="AC1673" s="35"/>
      <c r="AD1673" s="35"/>
      <c r="AE1673" s="35"/>
      <c r="AF1673" s="35"/>
      <c r="AG1673" s="35"/>
      <c r="AH1673" s="35"/>
      <c r="AI1673" s="35"/>
      <c r="AJ1673" s="35"/>
      <c r="AK1673" s="35"/>
      <c r="AL1673" s="35"/>
      <c r="AM1673" s="35"/>
      <c r="AN1673" s="35"/>
      <c r="AO1673" s="35"/>
      <c r="AP1673" s="35"/>
      <c r="AQ1673" s="35"/>
      <c r="AR1673" s="35"/>
      <c r="AS1673" s="35"/>
      <c r="AT1673" s="35"/>
      <c r="AU1673" s="35"/>
      <c r="AV1673" s="35"/>
      <c r="AW1673" s="35"/>
      <c r="AX1673" s="35"/>
      <c r="AY1673" s="35"/>
      <c r="AZ1673" s="35"/>
      <c r="BA1673" s="35"/>
      <c r="BB1673" s="35"/>
      <c r="BC1673" s="35"/>
      <c r="BD1673" s="35"/>
      <c r="BE1673" s="35"/>
      <c r="BF1673" s="35"/>
      <c r="BG1673" s="35"/>
    </row>
    <row r="1674" ht="15.75" customHeight="1">
      <c r="A1674" s="35"/>
      <c r="B1674" s="35"/>
      <c r="C1674" s="35"/>
      <c r="D1674" s="35"/>
      <c r="E1674" s="35"/>
      <c r="F1674" s="35"/>
      <c r="G1674" s="35"/>
      <c r="H1674" s="35"/>
      <c r="I1674" s="35"/>
      <c r="J1674" s="35"/>
      <c r="K1674" s="35"/>
      <c r="L1674" s="35"/>
      <c r="M1674" s="35"/>
      <c r="N1674" s="35"/>
      <c r="O1674" s="35"/>
      <c r="P1674" s="35"/>
      <c r="Q1674" s="35"/>
      <c r="R1674" s="35"/>
      <c r="S1674" s="35"/>
      <c r="T1674" s="35"/>
      <c r="U1674" s="35"/>
      <c r="V1674" s="35"/>
      <c r="W1674" s="35"/>
      <c r="X1674" s="35"/>
      <c r="Y1674" s="35"/>
      <c r="Z1674" s="35"/>
      <c r="AA1674" s="35"/>
      <c r="AB1674" s="35"/>
      <c r="AC1674" s="35"/>
      <c r="AD1674" s="35"/>
      <c r="AE1674" s="35"/>
      <c r="AF1674" s="35"/>
      <c r="AG1674" s="35"/>
      <c r="AH1674" s="35"/>
      <c r="AI1674" s="35"/>
      <c r="AJ1674" s="35"/>
      <c r="AK1674" s="35"/>
      <c r="AL1674" s="35"/>
      <c r="AM1674" s="35"/>
      <c r="AN1674" s="35"/>
      <c r="AO1674" s="35"/>
      <c r="AP1674" s="35"/>
      <c r="AQ1674" s="35"/>
      <c r="AR1674" s="35"/>
      <c r="AS1674" s="35"/>
      <c r="AT1674" s="35"/>
      <c r="AU1674" s="35"/>
      <c r="AV1674" s="35"/>
      <c r="AW1674" s="35"/>
      <c r="AX1674" s="35"/>
      <c r="AY1674" s="35"/>
      <c r="AZ1674" s="35"/>
      <c r="BA1674" s="35"/>
      <c r="BB1674" s="35"/>
      <c r="BC1674" s="35"/>
      <c r="BD1674" s="35"/>
      <c r="BE1674" s="35"/>
      <c r="BF1674" s="35"/>
      <c r="BG1674" s="35"/>
    </row>
    <row r="1675" ht="15.75" customHeight="1">
      <c r="A1675" s="35"/>
      <c r="B1675" s="35"/>
      <c r="C1675" s="35"/>
      <c r="D1675" s="35"/>
      <c r="E1675" s="35"/>
      <c r="F1675" s="35"/>
      <c r="G1675" s="35"/>
      <c r="H1675" s="35"/>
      <c r="I1675" s="35"/>
      <c r="J1675" s="35"/>
      <c r="K1675" s="35"/>
      <c r="L1675" s="35"/>
      <c r="M1675" s="35"/>
      <c r="N1675" s="35"/>
      <c r="O1675" s="35"/>
      <c r="P1675" s="35"/>
      <c r="Q1675" s="35"/>
      <c r="R1675" s="35"/>
      <c r="S1675" s="35"/>
      <c r="T1675" s="35"/>
      <c r="U1675" s="35"/>
      <c r="V1675" s="35"/>
      <c r="W1675" s="35"/>
      <c r="X1675" s="35"/>
      <c r="Y1675" s="35"/>
      <c r="Z1675" s="35"/>
      <c r="AA1675" s="35"/>
      <c r="AB1675" s="35"/>
      <c r="AC1675" s="35"/>
      <c r="AD1675" s="35"/>
      <c r="AE1675" s="35"/>
      <c r="AF1675" s="35"/>
      <c r="AG1675" s="35"/>
      <c r="AH1675" s="35"/>
      <c r="AI1675" s="35"/>
      <c r="AJ1675" s="35"/>
      <c r="AK1675" s="35"/>
      <c r="AL1675" s="35"/>
      <c r="AM1675" s="35"/>
      <c r="AN1675" s="35"/>
      <c r="AO1675" s="35"/>
      <c r="AP1675" s="35"/>
      <c r="AQ1675" s="35"/>
      <c r="AR1675" s="35"/>
      <c r="AS1675" s="35"/>
      <c r="AT1675" s="35"/>
      <c r="AU1675" s="35"/>
      <c r="AV1675" s="35"/>
      <c r="AW1675" s="35"/>
      <c r="AX1675" s="35"/>
      <c r="AY1675" s="35"/>
      <c r="AZ1675" s="35"/>
      <c r="BA1675" s="35"/>
      <c r="BB1675" s="35"/>
      <c r="BC1675" s="35"/>
      <c r="BD1675" s="35"/>
      <c r="BE1675" s="35"/>
      <c r="BF1675" s="35"/>
      <c r="BG1675" s="35"/>
    </row>
    <row r="1676" ht="15.75" customHeight="1">
      <c r="A1676" s="35"/>
      <c r="B1676" s="35"/>
      <c r="C1676" s="35"/>
      <c r="D1676" s="35"/>
      <c r="E1676" s="35"/>
      <c r="F1676" s="35"/>
      <c r="G1676" s="35"/>
      <c r="H1676" s="35"/>
      <c r="I1676" s="35"/>
      <c r="J1676" s="35"/>
      <c r="K1676" s="35"/>
      <c r="L1676" s="35"/>
      <c r="M1676" s="35"/>
      <c r="N1676" s="35"/>
      <c r="O1676" s="35"/>
      <c r="P1676" s="35"/>
      <c r="Q1676" s="35"/>
      <c r="R1676" s="35"/>
      <c r="S1676" s="35"/>
      <c r="T1676" s="35"/>
      <c r="U1676" s="35"/>
      <c r="V1676" s="35"/>
      <c r="W1676" s="35"/>
      <c r="X1676" s="35"/>
      <c r="Y1676" s="35"/>
      <c r="Z1676" s="35"/>
      <c r="AA1676" s="35"/>
      <c r="AB1676" s="35"/>
      <c r="AC1676" s="35"/>
      <c r="AD1676" s="35"/>
      <c r="AE1676" s="35"/>
      <c r="AF1676" s="35"/>
      <c r="AG1676" s="35"/>
      <c r="AH1676" s="35"/>
      <c r="AI1676" s="35"/>
      <c r="AJ1676" s="35"/>
      <c r="AK1676" s="35"/>
      <c r="AL1676" s="35"/>
      <c r="AM1676" s="35"/>
      <c r="AN1676" s="35"/>
      <c r="AO1676" s="35"/>
      <c r="AP1676" s="35"/>
      <c r="AQ1676" s="35"/>
      <c r="AR1676" s="35"/>
      <c r="AS1676" s="35"/>
      <c r="AT1676" s="35"/>
      <c r="AU1676" s="35"/>
      <c r="AV1676" s="35"/>
      <c r="AW1676" s="35"/>
      <c r="AX1676" s="35"/>
      <c r="AY1676" s="35"/>
      <c r="AZ1676" s="35"/>
      <c r="BA1676" s="35"/>
      <c r="BB1676" s="35"/>
      <c r="BC1676" s="35"/>
      <c r="BD1676" s="35"/>
      <c r="BE1676" s="35"/>
      <c r="BF1676" s="35"/>
      <c r="BG1676" s="35"/>
    </row>
    <row r="1677" ht="15.75" customHeight="1">
      <c r="A1677" s="35"/>
      <c r="B1677" s="35"/>
      <c r="C1677" s="35"/>
      <c r="D1677" s="35"/>
      <c r="E1677" s="35"/>
      <c r="F1677" s="35"/>
      <c r="G1677" s="35"/>
      <c r="H1677" s="35"/>
      <c r="I1677" s="35"/>
      <c r="J1677" s="35"/>
      <c r="K1677" s="35"/>
      <c r="L1677" s="35"/>
      <c r="M1677" s="35"/>
      <c r="N1677" s="35"/>
      <c r="O1677" s="35"/>
      <c r="P1677" s="35"/>
      <c r="Q1677" s="35"/>
      <c r="R1677" s="35"/>
      <c r="S1677" s="35"/>
      <c r="T1677" s="35"/>
      <c r="U1677" s="35"/>
      <c r="V1677" s="35"/>
      <c r="W1677" s="35"/>
      <c r="X1677" s="35"/>
      <c r="Y1677" s="35"/>
      <c r="Z1677" s="35"/>
      <c r="AA1677" s="35"/>
      <c r="AB1677" s="35"/>
      <c r="AC1677" s="35"/>
      <c r="AD1677" s="35"/>
      <c r="AE1677" s="35"/>
      <c r="AF1677" s="35"/>
      <c r="AG1677" s="35"/>
      <c r="AH1677" s="35"/>
      <c r="AI1677" s="35"/>
      <c r="AJ1677" s="35"/>
      <c r="AK1677" s="35"/>
      <c r="AL1677" s="35"/>
      <c r="AM1677" s="35"/>
      <c r="AN1677" s="35"/>
      <c r="AO1677" s="35"/>
      <c r="AP1677" s="35"/>
      <c r="AQ1677" s="35"/>
      <c r="AR1677" s="35"/>
      <c r="AS1677" s="35"/>
      <c r="AT1677" s="35"/>
      <c r="AU1677" s="35"/>
      <c r="AV1677" s="35"/>
      <c r="AW1677" s="35"/>
      <c r="AX1677" s="35"/>
      <c r="AY1677" s="35"/>
      <c r="AZ1677" s="35"/>
      <c r="BA1677" s="35"/>
      <c r="BB1677" s="35"/>
      <c r="BC1677" s="35"/>
      <c r="BD1677" s="35"/>
      <c r="BE1677" s="35"/>
      <c r="BF1677" s="35"/>
      <c r="BG1677" s="35"/>
    </row>
    <row r="1678" ht="15.75" customHeight="1">
      <c r="A1678" s="35"/>
      <c r="B1678" s="35"/>
      <c r="C1678" s="35"/>
      <c r="D1678" s="35"/>
      <c r="E1678" s="35"/>
      <c r="F1678" s="35"/>
      <c r="G1678" s="35"/>
      <c r="H1678" s="35"/>
      <c r="I1678" s="35"/>
      <c r="J1678" s="35"/>
      <c r="K1678" s="35"/>
      <c r="L1678" s="35"/>
      <c r="M1678" s="35"/>
      <c r="N1678" s="35"/>
      <c r="O1678" s="35"/>
      <c r="P1678" s="35"/>
      <c r="Q1678" s="35"/>
      <c r="R1678" s="35"/>
      <c r="S1678" s="35"/>
      <c r="T1678" s="35"/>
      <c r="U1678" s="35"/>
      <c r="V1678" s="35"/>
      <c r="W1678" s="35"/>
      <c r="X1678" s="35"/>
      <c r="Y1678" s="35"/>
      <c r="Z1678" s="35"/>
      <c r="AA1678" s="35"/>
      <c r="AB1678" s="35"/>
      <c r="AC1678" s="35"/>
      <c r="AD1678" s="35"/>
      <c r="AE1678" s="35"/>
      <c r="AF1678" s="35"/>
      <c r="AG1678" s="35"/>
      <c r="AH1678" s="35"/>
      <c r="AI1678" s="35"/>
      <c r="AJ1678" s="35"/>
      <c r="AK1678" s="35"/>
      <c r="AL1678" s="35"/>
      <c r="AM1678" s="35"/>
      <c r="AN1678" s="35"/>
      <c r="AO1678" s="35"/>
      <c r="AP1678" s="35"/>
      <c r="AQ1678" s="35"/>
      <c r="AR1678" s="35"/>
      <c r="AS1678" s="35"/>
      <c r="AT1678" s="35"/>
      <c r="AU1678" s="35"/>
      <c r="AV1678" s="35"/>
      <c r="AW1678" s="35"/>
      <c r="AX1678" s="35"/>
      <c r="AY1678" s="35"/>
      <c r="AZ1678" s="35"/>
      <c r="BA1678" s="35"/>
      <c r="BB1678" s="35"/>
      <c r="BC1678" s="35"/>
      <c r="BD1678" s="35"/>
      <c r="BE1678" s="35"/>
      <c r="BF1678" s="35"/>
      <c r="BG1678" s="35"/>
    </row>
    <row r="1679" ht="15.75" customHeight="1">
      <c r="A1679" s="35"/>
      <c r="B1679" s="35"/>
      <c r="C1679" s="35"/>
      <c r="D1679" s="35"/>
      <c r="E1679" s="35"/>
      <c r="F1679" s="35"/>
      <c r="G1679" s="35"/>
      <c r="H1679" s="35"/>
      <c r="I1679" s="35"/>
      <c r="J1679" s="35"/>
      <c r="K1679" s="35"/>
      <c r="L1679" s="35"/>
      <c r="M1679" s="35"/>
      <c r="N1679" s="35"/>
      <c r="O1679" s="35"/>
      <c r="P1679" s="35"/>
      <c r="Q1679" s="35"/>
      <c r="R1679" s="35"/>
      <c r="S1679" s="35"/>
      <c r="T1679" s="35"/>
      <c r="U1679" s="35"/>
      <c r="V1679" s="35"/>
      <c r="W1679" s="35"/>
      <c r="X1679" s="35"/>
      <c r="Y1679" s="35"/>
      <c r="Z1679" s="35"/>
      <c r="AA1679" s="35"/>
      <c r="AB1679" s="35"/>
      <c r="AC1679" s="35"/>
      <c r="AD1679" s="35"/>
      <c r="AE1679" s="35"/>
      <c r="AF1679" s="35"/>
      <c r="AG1679" s="35"/>
      <c r="AH1679" s="35"/>
      <c r="AI1679" s="35"/>
      <c r="AJ1679" s="35"/>
      <c r="AK1679" s="35"/>
      <c r="AL1679" s="35"/>
      <c r="AM1679" s="35"/>
      <c r="AN1679" s="35"/>
      <c r="AO1679" s="35"/>
      <c r="AP1679" s="35"/>
      <c r="AQ1679" s="35"/>
      <c r="AR1679" s="35"/>
      <c r="AS1679" s="35"/>
      <c r="AT1679" s="35"/>
      <c r="AU1679" s="35"/>
      <c r="AV1679" s="35"/>
      <c r="AW1679" s="35"/>
      <c r="AX1679" s="35"/>
      <c r="AY1679" s="35"/>
      <c r="AZ1679" s="35"/>
      <c r="BA1679" s="35"/>
      <c r="BB1679" s="35"/>
      <c r="BC1679" s="35"/>
      <c r="BD1679" s="35"/>
      <c r="BE1679" s="35"/>
      <c r="BF1679" s="35"/>
      <c r="BG1679" s="35"/>
    </row>
    <row r="1680" ht="15.75" customHeight="1">
      <c r="A1680" s="35"/>
      <c r="B1680" s="35"/>
      <c r="C1680" s="35"/>
      <c r="D1680" s="35"/>
      <c r="E1680" s="35"/>
      <c r="F1680" s="35"/>
      <c r="G1680" s="35"/>
      <c r="H1680" s="35"/>
      <c r="I1680" s="35"/>
      <c r="J1680" s="35"/>
      <c r="K1680" s="35"/>
      <c r="L1680" s="35"/>
      <c r="M1680" s="35"/>
      <c r="N1680" s="35"/>
      <c r="O1680" s="35"/>
      <c r="P1680" s="35"/>
      <c r="Q1680" s="35"/>
      <c r="R1680" s="35"/>
      <c r="S1680" s="35"/>
      <c r="T1680" s="35"/>
      <c r="U1680" s="35"/>
      <c r="V1680" s="35"/>
      <c r="W1680" s="35"/>
      <c r="X1680" s="35"/>
      <c r="Y1680" s="35"/>
      <c r="Z1680" s="35"/>
      <c r="AA1680" s="35"/>
      <c r="AB1680" s="35"/>
      <c r="AC1680" s="35"/>
      <c r="AD1680" s="35"/>
      <c r="AE1680" s="35"/>
      <c r="AF1680" s="35"/>
      <c r="AG1680" s="35"/>
      <c r="AH1680" s="35"/>
      <c r="AI1680" s="35"/>
      <c r="AJ1680" s="35"/>
      <c r="AK1680" s="35"/>
      <c r="AL1680" s="35"/>
      <c r="AM1680" s="35"/>
      <c r="AN1680" s="35"/>
      <c r="AO1680" s="35"/>
      <c r="AP1680" s="35"/>
      <c r="AQ1680" s="35"/>
      <c r="AR1680" s="35"/>
      <c r="AS1680" s="35"/>
      <c r="AT1680" s="35"/>
      <c r="AU1680" s="35"/>
      <c r="AV1680" s="35"/>
      <c r="AW1680" s="35"/>
      <c r="AX1680" s="35"/>
      <c r="AY1680" s="35"/>
      <c r="AZ1680" s="35"/>
      <c r="BA1680" s="35"/>
      <c r="BB1680" s="35"/>
      <c r="BC1680" s="35"/>
      <c r="BD1680" s="35"/>
      <c r="BE1680" s="35"/>
      <c r="BF1680" s="35"/>
      <c r="BG1680" s="35"/>
    </row>
    <row r="1681" ht="15.75" customHeight="1">
      <c r="A1681" s="35"/>
      <c r="B1681" s="35"/>
      <c r="C1681" s="35"/>
      <c r="D1681" s="35"/>
      <c r="E1681" s="35"/>
      <c r="F1681" s="35"/>
      <c r="G1681" s="35"/>
      <c r="H1681" s="35"/>
      <c r="I1681" s="35"/>
      <c r="J1681" s="35"/>
      <c r="K1681" s="35"/>
      <c r="L1681" s="35"/>
      <c r="M1681" s="35"/>
      <c r="N1681" s="35"/>
      <c r="O1681" s="35"/>
      <c r="P1681" s="35"/>
      <c r="Q1681" s="35"/>
      <c r="R1681" s="35"/>
      <c r="S1681" s="35"/>
      <c r="T1681" s="35"/>
      <c r="U1681" s="35"/>
      <c r="V1681" s="35"/>
      <c r="W1681" s="35"/>
      <c r="X1681" s="35"/>
      <c r="Y1681" s="35"/>
      <c r="Z1681" s="35"/>
      <c r="AA1681" s="35"/>
      <c r="AB1681" s="35"/>
      <c r="AC1681" s="35"/>
      <c r="AD1681" s="35"/>
      <c r="AE1681" s="35"/>
      <c r="AF1681" s="35"/>
      <c r="AG1681" s="35"/>
      <c r="AH1681" s="35"/>
      <c r="AI1681" s="35"/>
      <c r="AJ1681" s="35"/>
      <c r="AK1681" s="35"/>
      <c r="AL1681" s="35"/>
      <c r="AM1681" s="35"/>
      <c r="AN1681" s="35"/>
      <c r="AO1681" s="35"/>
      <c r="AP1681" s="35"/>
      <c r="AQ1681" s="35"/>
      <c r="AR1681" s="35"/>
      <c r="AS1681" s="35"/>
      <c r="AT1681" s="35"/>
      <c r="AU1681" s="35"/>
      <c r="AV1681" s="35"/>
      <c r="AW1681" s="35"/>
      <c r="AX1681" s="35"/>
      <c r="AY1681" s="35"/>
      <c r="AZ1681" s="35"/>
      <c r="BA1681" s="35"/>
      <c r="BB1681" s="35"/>
      <c r="BC1681" s="35"/>
      <c r="BD1681" s="35"/>
      <c r="BE1681" s="35"/>
      <c r="BF1681" s="35"/>
      <c r="BG1681" s="35"/>
    </row>
    <row r="1682" ht="15.75" customHeight="1">
      <c r="A1682" s="35"/>
      <c r="B1682" s="35"/>
      <c r="C1682" s="35"/>
      <c r="D1682" s="35"/>
      <c r="E1682" s="35"/>
      <c r="F1682" s="35"/>
      <c r="G1682" s="35"/>
      <c r="H1682" s="35"/>
      <c r="I1682" s="35"/>
      <c r="J1682" s="35"/>
      <c r="K1682" s="35"/>
      <c r="L1682" s="35"/>
      <c r="M1682" s="35"/>
      <c r="N1682" s="35"/>
      <c r="O1682" s="35"/>
      <c r="P1682" s="35"/>
      <c r="Q1682" s="35"/>
      <c r="R1682" s="35"/>
      <c r="S1682" s="35"/>
      <c r="T1682" s="35"/>
      <c r="U1682" s="35"/>
      <c r="V1682" s="35"/>
      <c r="W1682" s="35"/>
      <c r="X1682" s="35"/>
      <c r="Y1682" s="35"/>
      <c r="Z1682" s="35"/>
      <c r="AA1682" s="35"/>
      <c r="AB1682" s="35"/>
      <c r="AC1682" s="35"/>
      <c r="AD1682" s="35"/>
      <c r="AE1682" s="35"/>
      <c r="AF1682" s="35"/>
      <c r="AG1682" s="35"/>
      <c r="AH1682" s="35"/>
      <c r="AI1682" s="35"/>
      <c r="AJ1682" s="35"/>
      <c r="AK1682" s="35"/>
      <c r="AL1682" s="35"/>
      <c r="AM1682" s="35"/>
      <c r="AN1682" s="35"/>
      <c r="AO1682" s="35"/>
      <c r="AP1682" s="35"/>
      <c r="AQ1682" s="35"/>
      <c r="AR1682" s="35"/>
      <c r="AS1682" s="35"/>
      <c r="AT1682" s="35"/>
      <c r="AU1682" s="35"/>
      <c r="AV1682" s="35"/>
      <c r="AW1682" s="35"/>
      <c r="AX1682" s="35"/>
      <c r="AY1682" s="35"/>
      <c r="AZ1682" s="35"/>
      <c r="BA1682" s="35"/>
      <c r="BB1682" s="35"/>
      <c r="BC1682" s="35"/>
      <c r="BD1682" s="35"/>
      <c r="BE1682" s="35"/>
      <c r="BF1682" s="35"/>
      <c r="BG1682" s="35"/>
    </row>
    <row r="1683" ht="15.75" customHeight="1">
      <c r="A1683" s="35"/>
      <c r="B1683" s="35"/>
      <c r="C1683" s="35"/>
      <c r="D1683" s="35"/>
      <c r="E1683" s="35"/>
      <c r="F1683" s="35"/>
      <c r="G1683" s="35"/>
      <c r="H1683" s="35"/>
      <c r="I1683" s="35"/>
      <c r="J1683" s="35"/>
      <c r="K1683" s="35"/>
      <c r="L1683" s="35"/>
      <c r="M1683" s="35"/>
      <c r="N1683" s="35"/>
      <c r="O1683" s="35"/>
      <c r="P1683" s="35"/>
      <c r="Q1683" s="35"/>
      <c r="R1683" s="35"/>
      <c r="S1683" s="35"/>
      <c r="T1683" s="35"/>
      <c r="U1683" s="35"/>
      <c r="V1683" s="35"/>
      <c r="W1683" s="35"/>
      <c r="X1683" s="35"/>
      <c r="Y1683" s="35"/>
      <c r="Z1683" s="35"/>
      <c r="AA1683" s="35"/>
      <c r="AB1683" s="35"/>
      <c r="AC1683" s="35"/>
      <c r="AD1683" s="35"/>
      <c r="AE1683" s="35"/>
      <c r="AF1683" s="35"/>
      <c r="AG1683" s="35"/>
      <c r="AH1683" s="35"/>
      <c r="AI1683" s="35"/>
      <c r="AJ1683" s="35"/>
      <c r="AK1683" s="35"/>
      <c r="AL1683" s="35"/>
      <c r="AM1683" s="35"/>
      <c r="AN1683" s="35"/>
      <c r="AO1683" s="35"/>
      <c r="AP1683" s="35"/>
      <c r="AQ1683" s="35"/>
      <c r="AR1683" s="35"/>
      <c r="AS1683" s="35"/>
      <c r="AT1683" s="35"/>
      <c r="AU1683" s="35"/>
      <c r="AV1683" s="35"/>
      <c r="AW1683" s="35"/>
      <c r="AX1683" s="35"/>
      <c r="AY1683" s="35"/>
      <c r="AZ1683" s="35"/>
      <c r="BA1683" s="35"/>
      <c r="BB1683" s="35"/>
      <c r="BC1683" s="35"/>
      <c r="BD1683" s="35"/>
      <c r="BE1683" s="35"/>
      <c r="BF1683" s="35"/>
      <c r="BG1683" s="35"/>
    </row>
    <row r="1684" ht="15.75" customHeight="1">
      <c r="A1684" s="35"/>
      <c r="B1684" s="35"/>
      <c r="C1684" s="35"/>
      <c r="D1684" s="35"/>
      <c r="E1684" s="35"/>
      <c r="F1684" s="35"/>
      <c r="G1684" s="35"/>
      <c r="H1684" s="35"/>
      <c r="I1684" s="35"/>
      <c r="J1684" s="35"/>
      <c r="K1684" s="35"/>
      <c r="L1684" s="35"/>
      <c r="M1684" s="35"/>
      <c r="N1684" s="35"/>
      <c r="O1684" s="35"/>
      <c r="P1684" s="35"/>
      <c r="Q1684" s="35"/>
      <c r="R1684" s="35"/>
      <c r="S1684" s="35"/>
      <c r="T1684" s="35"/>
      <c r="U1684" s="35"/>
      <c r="V1684" s="35"/>
      <c r="W1684" s="35"/>
      <c r="X1684" s="35"/>
      <c r="Y1684" s="35"/>
      <c r="Z1684" s="35"/>
      <c r="AA1684" s="35"/>
      <c r="AB1684" s="35"/>
      <c r="AC1684" s="35"/>
      <c r="AD1684" s="35"/>
      <c r="AE1684" s="35"/>
      <c r="AF1684" s="35"/>
      <c r="AG1684" s="35"/>
      <c r="AH1684" s="35"/>
      <c r="AI1684" s="35"/>
      <c r="AJ1684" s="35"/>
      <c r="AK1684" s="35"/>
      <c r="AL1684" s="35"/>
      <c r="AM1684" s="35"/>
      <c r="AN1684" s="35"/>
      <c r="AO1684" s="35"/>
      <c r="AP1684" s="35"/>
      <c r="AQ1684" s="35"/>
      <c r="AR1684" s="35"/>
      <c r="AS1684" s="35"/>
      <c r="AT1684" s="35"/>
      <c r="AU1684" s="35"/>
      <c r="AV1684" s="35"/>
      <c r="AW1684" s="35"/>
      <c r="AX1684" s="35"/>
      <c r="AY1684" s="35"/>
      <c r="AZ1684" s="35"/>
      <c r="BA1684" s="35"/>
      <c r="BB1684" s="35"/>
      <c r="BC1684" s="35"/>
      <c r="BD1684" s="35"/>
      <c r="BE1684" s="35"/>
      <c r="BF1684" s="35"/>
      <c r="BG1684" s="35"/>
    </row>
    <row r="1685" ht="15.75" customHeight="1">
      <c r="A1685" s="35"/>
      <c r="B1685" s="35"/>
      <c r="C1685" s="35"/>
      <c r="D1685" s="35"/>
      <c r="E1685" s="35"/>
      <c r="F1685" s="35"/>
      <c r="G1685" s="35"/>
      <c r="H1685" s="35"/>
      <c r="I1685" s="35"/>
      <c r="J1685" s="35"/>
      <c r="K1685" s="35"/>
      <c r="L1685" s="35"/>
      <c r="M1685" s="35"/>
      <c r="N1685" s="35"/>
      <c r="O1685" s="35"/>
      <c r="P1685" s="35"/>
      <c r="Q1685" s="35"/>
      <c r="R1685" s="35"/>
      <c r="S1685" s="35"/>
      <c r="T1685" s="35"/>
      <c r="U1685" s="35"/>
      <c r="V1685" s="35"/>
      <c r="W1685" s="35"/>
      <c r="X1685" s="35"/>
      <c r="Y1685" s="35"/>
      <c r="Z1685" s="35"/>
      <c r="AA1685" s="35"/>
      <c r="AB1685" s="35"/>
      <c r="AC1685" s="35"/>
      <c r="AD1685" s="35"/>
      <c r="AE1685" s="35"/>
      <c r="AF1685" s="35"/>
      <c r="AG1685" s="35"/>
      <c r="AH1685" s="35"/>
      <c r="AI1685" s="35"/>
      <c r="AJ1685" s="35"/>
      <c r="AK1685" s="35"/>
      <c r="AL1685" s="35"/>
      <c r="AM1685" s="35"/>
      <c r="AN1685" s="35"/>
      <c r="AO1685" s="35"/>
      <c r="AP1685" s="35"/>
      <c r="AQ1685" s="35"/>
      <c r="AR1685" s="35"/>
      <c r="AS1685" s="35"/>
      <c r="AT1685" s="35"/>
      <c r="AU1685" s="35"/>
      <c r="AV1685" s="35"/>
      <c r="AW1685" s="35"/>
      <c r="AX1685" s="35"/>
      <c r="AY1685" s="35"/>
      <c r="AZ1685" s="35"/>
      <c r="BA1685" s="35"/>
      <c r="BB1685" s="35"/>
      <c r="BC1685" s="35"/>
      <c r="BD1685" s="35"/>
      <c r="BE1685" s="35"/>
      <c r="BF1685" s="35"/>
      <c r="BG1685" s="35"/>
    </row>
    <row r="1686" ht="15.75" customHeight="1">
      <c r="A1686" s="35"/>
      <c r="B1686" s="35"/>
      <c r="C1686" s="35"/>
      <c r="D1686" s="35"/>
      <c r="E1686" s="35"/>
      <c r="F1686" s="35"/>
      <c r="G1686" s="35"/>
      <c r="H1686" s="35"/>
      <c r="I1686" s="35"/>
      <c r="J1686" s="35"/>
      <c r="K1686" s="35"/>
      <c r="L1686" s="35"/>
      <c r="M1686" s="35"/>
      <c r="N1686" s="35"/>
      <c r="O1686" s="35"/>
      <c r="P1686" s="35"/>
      <c r="Q1686" s="35"/>
      <c r="R1686" s="35"/>
      <c r="S1686" s="35"/>
      <c r="T1686" s="35"/>
      <c r="U1686" s="35"/>
      <c r="V1686" s="35"/>
      <c r="W1686" s="35"/>
      <c r="X1686" s="35"/>
      <c r="Y1686" s="35"/>
      <c r="Z1686" s="35"/>
      <c r="AA1686" s="35"/>
      <c r="AB1686" s="35"/>
      <c r="AC1686" s="35"/>
      <c r="AD1686" s="35"/>
      <c r="AE1686" s="35"/>
      <c r="AF1686" s="35"/>
      <c r="AG1686" s="35"/>
      <c r="AH1686" s="35"/>
      <c r="AI1686" s="35"/>
      <c r="AJ1686" s="35"/>
      <c r="AK1686" s="35"/>
      <c r="AL1686" s="35"/>
      <c r="AM1686" s="35"/>
      <c r="AN1686" s="35"/>
      <c r="AO1686" s="35"/>
      <c r="AP1686" s="35"/>
      <c r="AQ1686" s="35"/>
      <c r="AR1686" s="35"/>
      <c r="AS1686" s="35"/>
      <c r="AT1686" s="35"/>
      <c r="AU1686" s="35"/>
      <c r="AV1686" s="35"/>
      <c r="AW1686" s="35"/>
      <c r="AX1686" s="35"/>
      <c r="AY1686" s="35"/>
      <c r="AZ1686" s="35"/>
      <c r="BA1686" s="35"/>
      <c r="BB1686" s="35"/>
      <c r="BC1686" s="35"/>
      <c r="BD1686" s="35"/>
      <c r="BE1686" s="35"/>
      <c r="BF1686" s="35"/>
      <c r="BG1686" s="35"/>
    </row>
    <row r="1687" ht="15.75" customHeight="1">
      <c r="A1687" s="35"/>
      <c r="B1687" s="35"/>
      <c r="C1687" s="35"/>
      <c r="D1687" s="35"/>
      <c r="E1687" s="35"/>
      <c r="F1687" s="35"/>
      <c r="G1687" s="35"/>
      <c r="H1687" s="35"/>
      <c r="I1687" s="35"/>
      <c r="J1687" s="35"/>
      <c r="K1687" s="35"/>
      <c r="L1687" s="35"/>
      <c r="M1687" s="35"/>
      <c r="N1687" s="35"/>
      <c r="O1687" s="35"/>
      <c r="P1687" s="35"/>
      <c r="Q1687" s="35"/>
      <c r="R1687" s="35"/>
      <c r="S1687" s="35"/>
      <c r="T1687" s="35"/>
      <c r="U1687" s="35"/>
      <c r="V1687" s="35"/>
      <c r="W1687" s="35"/>
      <c r="X1687" s="35"/>
      <c r="Y1687" s="35"/>
      <c r="Z1687" s="35"/>
      <c r="AA1687" s="35"/>
      <c r="AB1687" s="35"/>
      <c r="AC1687" s="35"/>
      <c r="AD1687" s="35"/>
      <c r="AE1687" s="35"/>
      <c r="AF1687" s="35"/>
      <c r="AG1687" s="35"/>
      <c r="AH1687" s="35"/>
      <c r="AI1687" s="35"/>
      <c r="AJ1687" s="35"/>
      <c r="AK1687" s="35"/>
      <c r="AL1687" s="35"/>
      <c r="AM1687" s="35"/>
      <c r="AN1687" s="35"/>
      <c r="AO1687" s="35"/>
      <c r="AP1687" s="35"/>
      <c r="AQ1687" s="35"/>
      <c r="AR1687" s="35"/>
      <c r="AS1687" s="35"/>
      <c r="AT1687" s="35"/>
      <c r="AU1687" s="35"/>
      <c r="AV1687" s="35"/>
      <c r="AW1687" s="35"/>
      <c r="AX1687" s="35"/>
      <c r="AY1687" s="35"/>
      <c r="AZ1687" s="35"/>
      <c r="BA1687" s="35"/>
      <c r="BB1687" s="35"/>
      <c r="BC1687" s="35"/>
      <c r="BD1687" s="35"/>
      <c r="BE1687" s="35"/>
      <c r="BF1687" s="35"/>
      <c r="BG1687" s="35"/>
    </row>
    <row r="1688" ht="15.75" customHeight="1">
      <c r="A1688" s="35"/>
      <c r="B1688" s="35"/>
      <c r="C1688" s="35"/>
      <c r="D1688" s="35"/>
      <c r="E1688" s="35"/>
      <c r="F1688" s="35"/>
      <c r="G1688" s="35"/>
      <c r="H1688" s="35"/>
      <c r="I1688" s="35"/>
      <c r="J1688" s="35"/>
      <c r="K1688" s="35"/>
      <c r="L1688" s="35"/>
      <c r="M1688" s="35"/>
      <c r="N1688" s="35"/>
      <c r="O1688" s="35"/>
      <c r="P1688" s="35"/>
      <c r="Q1688" s="35"/>
      <c r="R1688" s="35"/>
      <c r="S1688" s="35"/>
      <c r="T1688" s="35"/>
      <c r="U1688" s="35"/>
      <c r="V1688" s="35"/>
      <c r="W1688" s="35"/>
      <c r="X1688" s="35"/>
      <c r="Y1688" s="35"/>
      <c r="Z1688" s="35"/>
      <c r="AA1688" s="35"/>
      <c r="AB1688" s="35"/>
      <c r="AC1688" s="35"/>
      <c r="AD1688" s="35"/>
      <c r="AE1688" s="35"/>
      <c r="AF1688" s="35"/>
      <c r="AG1688" s="35"/>
      <c r="AH1688" s="35"/>
      <c r="AI1688" s="35"/>
      <c r="AJ1688" s="35"/>
      <c r="AK1688" s="35"/>
      <c r="AL1688" s="35"/>
      <c r="AM1688" s="35"/>
      <c r="AN1688" s="35"/>
      <c r="AO1688" s="35"/>
      <c r="AP1688" s="35"/>
      <c r="AQ1688" s="35"/>
      <c r="AR1688" s="35"/>
      <c r="AS1688" s="35"/>
      <c r="AT1688" s="35"/>
      <c r="AU1688" s="35"/>
      <c r="AV1688" s="35"/>
      <c r="AW1688" s="35"/>
      <c r="AX1688" s="35"/>
      <c r="AY1688" s="35"/>
      <c r="AZ1688" s="35"/>
      <c r="BA1688" s="35"/>
      <c r="BB1688" s="35"/>
      <c r="BC1688" s="35"/>
      <c r="BD1688" s="35"/>
      <c r="BE1688" s="35"/>
      <c r="BF1688" s="35"/>
      <c r="BG1688" s="35"/>
    </row>
    <row r="1689" ht="15.75" customHeight="1">
      <c r="A1689" s="35"/>
      <c r="B1689" s="35"/>
      <c r="C1689" s="35"/>
      <c r="D1689" s="35"/>
      <c r="E1689" s="35"/>
      <c r="F1689" s="35"/>
      <c r="G1689" s="35"/>
      <c r="H1689" s="35"/>
      <c r="I1689" s="35"/>
      <c r="J1689" s="35"/>
      <c r="K1689" s="35"/>
      <c r="L1689" s="35"/>
      <c r="M1689" s="35"/>
      <c r="N1689" s="35"/>
      <c r="O1689" s="35"/>
      <c r="P1689" s="35"/>
      <c r="Q1689" s="35"/>
      <c r="R1689" s="35"/>
      <c r="S1689" s="35"/>
      <c r="T1689" s="35"/>
      <c r="U1689" s="35"/>
      <c r="V1689" s="35"/>
      <c r="W1689" s="35"/>
      <c r="X1689" s="35"/>
      <c r="Y1689" s="35"/>
      <c r="Z1689" s="35"/>
      <c r="AA1689" s="35"/>
      <c r="AB1689" s="35"/>
      <c r="AC1689" s="35"/>
      <c r="AD1689" s="35"/>
      <c r="AE1689" s="35"/>
      <c r="AF1689" s="35"/>
      <c r="AG1689" s="35"/>
      <c r="AH1689" s="35"/>
      <c r="AI1689" s="35"/>
      <c r="AJ1689" s="35"/>
      <c r="AK1689" s="35"/>
      <c r="AL1689" s="35"/>
      <c r="AM1689" s="35"/>
      <c r="AN1689" s="35"/>
      <c r="AO1689" s="35"/>
      <c r="AP1689" s="35"/>
      <c r="AQ1689" s="35"/>
      <c r="AR1689" s="35"/>
      <c r="AS1689" s="35"/>
      <c r="AT1689" s="35"/>
      <c r="AU1689" s="35"/>
      <c r="AV1689" s="35"/>
      <c r="AW1689" s="35"/>
      <c r="AX1689" s="35"/>
      <c r="AY1689" s="35"/>
      <c r="AZ1689" s="35"/>
      <c r="BA1689" s="35"/>
      <c r="BB1689" s="35"/>
      <c r="BC1689" s="35"/>
      <c r="BD1689" s="35"/>
      <c r="BE1689" s="35"/>
      <c r="BF1689" s="35"/>
      <c r="BG1689" s="35"/>
    </row>
    <row r="1690" ht="15.75" customHeight="1">
      <c r="A1690" s="35"/>
      <c r="B1690" s="35"/>
      <c r="C1690" s="35"/>
      <c r="D1690" s="35"/>
      <c r="E1690" s="35"/>
      <c r="F1690" s="35"/>
      <c r="G1690" s="35"/>
      <c r="H1690" s="35"/>
      <c r="I1690" s="35"/>
      <c r="J1690" s="35"/>
      <c r="K1690" s="35"/>
      <c r="L1690" s="35"/>
      <c r="M1690" s="35"/>
      <c r="N1690" s="35"/>
      <c r="O1690" s="35"/>
      <c r="P1690" s="35"/>
      <c r="Q1690" s="35"/>
      <c r="R1690" s="35"/>
      <c r="S1690" s="35"/>
      <c r="T1690" s="35"/>
      <c r="U1690" s="35"/>
      <c r="V1690" s="35"/>
      <c r="W1690" s="35"/>
      <c r="X1690" s="35"/>
      <c r="Y1690" s="35"/>
      <c r="Z1690" s="35"/>
      <c r="AA1690" s="35"/>
      <c r="AB1690" s="35"/>
      <c r="AC1690" s="35"/>
      <c r="AD1690" s="35"/>
      <c r="AE1690" s="35"/>
      <c r="AF1690" s="35"/>
      <c r="AG1690" s="35"/>
      <c r="AH1690" s="35"/>
      <c r="AI1690" s="35"/>
      <c r="AJ1690" s="35"/>
      <c r="AK1690" s="35"/>
      <c r="AL1690" s="35"/>
      <c r="AM1690" s="35"/>
      <c r="AN1690" s="35"/>
      <c r="AO1690" s="35"/>
      <c r="AP1690" s="35"/>
      <c r="AQ1690" s="35"/>
      <c r="AR1690" s="35"/>
      <c r="AS1690" s="35"/>
      <c r="AT1690" s="35"/>
      <c r="AU1690" s="35"/>
      <c r="AV1690" s="35"/>
      <c r="AW1690" s="35"/>
      <c r="AX1690" s="35"/>
      <c r="AY1690" s="35"/>
      <c r="AZ1690" s="35"/>
      <c r="BA1690" s="35"/>
      <c r="BB1690" s="35"/>
      <c r="BC1690" s="35"/>
      <c r="BD1690" s="35"/>
      <c r="BE1690" s="35"/>
      <c r="BF1690" s="35"/>
      <c r="BG1690" s="35"/>
    </row>
    <row r="1691" ht="15.75" customHeight="1">
      <c r="A1691" s="35"/>
      <c r="B1691" s="35"/>
      <c r="C1691" s="35"/>
      <c r="D1691" s="35"/>
      <c r="E1691" s="35"/>
      <c r="F1691" s="35"/>
      <c r="G1691" s="35"/>
      <c r="H1691" s="35"/>
      <c r="I1691" s="35"/>
      <c r="J1691" s="35"/>
      <c r="K1691" s="35"/>
      <c r="L1691" s="35"/>
      <c r="M1691" s="35"/>
      <c r="N1691" s="35"/>
      <c r="O1691" s="35"/>
      <c r="P1691" s="35"/>
      <c r="Q1691" s="35"/>
      <c r="R1691" s="35"/>
      <c r="S1691" s="35"/>
      <c r="T1691" s="35"/>
      <c r="U1691" s="35"/>
      <c r="V1691" s="35"/>
      <c r="W1691" s="35"/>
      <c r="X1691" s="35"/>
      <c r="Y1691" s="35"/>
      <c r="Z1691" s="35"/>
      <c r="AA1691" s="35"/>
      <c r="AB1691" s="35"/>
      <c r="AC1691" s="35"/>
      <c r="AD1691" s="35"/>
      <c r="AE1691" s="35"/>
      <c r="AF1691" s="35"/>
      <c r="AG1691" s="35"/>
      <c r="AH1691" s="35"/>
      <c r="AI1691" s="35"/>
      <c r="AJ1691" s="35"/>
      <c r="AK1691" s="35"/>
      <c r="AL1691" s="35"/>
      <c r="AM1691" s="35"/>
      <c r="AN1691" s="35"/>
      <c r="AO1691" s="35"/>
      <c r="AP1691" s="35"/>
      <c r="AQ1691" s="35"/>
      <c r="AR1691" s="35"/>
      <c r="AS1691" s="35"/>
      <c r="AT1691" s="35"/>
      <c r="AU1691" s="35"/>
      <c r="AV1691" s="35"/>
      <c r="AW1691" s="35"/>
      <c r="AX1691" s="35"/>
      <c r="AY1691" s="35"/>
      <c r="AZ1691" s="35"/>
      <c r="BA1691" s="35"/>
      <c r="BB1691" s="35"/>
      <c r="BC1691" s="35"/>
      <c r="BD1691" s="35"/>
      <c r="BE1691" s="35"/>
      <c r="BF1691" s="35"/>
      <c r="BG1691" s="35"/>
    </row>
    <row r="1692" ht="15.75" customHeight="1">
      <c r="A1692" s="35"/>
      <c r="B1692" s="35"/>
      <c r="C1692" s="35"/>
      <c r="D1692" s="35"/>
      <c r="E1692" s="35"/>
      <c r="F1692" s="35"/>
      <c r="G1692" s="35"/>
      <c r="H1692" s="35"/>
      <c r="I1692" s="35"/>
      <c r="J1692" s="35"/>
      <c r="K1692" s="35"/>
      <c r="L1692" s="35"/>
      <c r="M1692" s="35"/>
      <c r="N1692" s="35"/>
      <c r="O1692" s="35"/>
      <c r="P1692" s="35"/>
      <c r="Q1692" s="35"/>
      <c r="R1692" s="35"/>
      <c r="S1692" s="35"/>
      <c r="T1692" s="35"/>
      <c r="U1692" s="35"/>
      <c r="V1692" s="35"/>
      <c r="W1692" s="35"/>
      <c r="X1692" s="35"/>
      <c r="Y1692" s="35"/>
      <c r="Z1692" s="35"/>
      <c r="AA1692" s="35"/>
      <c r="AB1692" s="35"/>
      <c r="AC1692" s="35"/>
      <c r="AD1692" s="35"/>
      <c r="AE1692" s="35"/>
      <c r="AF1692" s="35"/>
      <c r="AG1692" s="35"/>
      <c r="AH1692" s="35"/>
      <c r="AI1692" s="35"/>
      <c r="AJ1692" s="35"/>
      <c r="AK1692" s="35"/>
      <c r="AL1692" s="35"/>
      <c r="AM1692" s="35"/>
      <c r="AN1692" s="35"/>
      <c r="AO1692" s="35"/>
      <c r="AP1692" s="35"/>
      <c r="AQ1692" s="35"/>
      <c r="AR1692" s="35"/>
      <c r="AS1692" s="35"/>
      <c r="AT1692" s="35"/>
      <c r="AU1692" s="35"/>
      <c r="AV1692" s="35"/>
      <c r="AW1692" s="35"/>
      <c r="AX1692" s="35"/>
      <c r="AY1692" s="35"/>
      <c r="AZ1692" s="35"/>
      <c r="BA1692" s="35"/>
      <c r="BB1692" s="35"/>
      <c r="BC1692" s="35"/>
      <c r="BD1692" s="35"/>
      <c r="BE1692" s="35"/>
      <c r="BF1692" s="35"/>
      <c r="BG1692" s="35"/>
    </row>
    <row r="1693" ht="15.75" customHeight="1">
      <c r="A1693" s="35"/>
      <c r="B1693" s="35"/>
      <c r="C1693" s="35"/>
      <c r="D1693" s="35"/>
      <c r="E1693" s="35"/>
      <c r="F1693" s="35"/>
      <c r="G1693" s="35"/>
      <c r="H1693" s="35"/>
      <c r="I1693" s="35"/>
      <c r="J1693" s="35"/>
      <c r="K1693" s="35"/>
      <c r="L1693" s="35"/>
      <c r="M1693" s="35"/>
      <c r="N1693" s="35"/>
      <c r="O1693" s="35"/>
      <c r="P1693" s="35"/>
      <c r="Q1693" s="35"/>
      <c r="R1693" s="35"/>
      <c r="S1693" s="35"/>
      <c r="T1693" s="35"/>
      <c r="U1693" s="35"/>
      <c r="V1693" s="35"/>
      <c r="W1693" s="35"/>
      <c r="X1693" s="35"/>
      <c r="Y1693" s="35"/>
      <c r="Z1693" s="35"/>
      <c r="AA1693" s="35"/>
      <c r="AB1693" s="35"/>
      <c r="AC1693" s="35"/>
      <c r="AD1693" s="35"/>
      <c r="AE1693" s="35"/>
      <c r="AF1693" s="35"/>
      <c r="AG1693" s="35"/>
      <c r="AH1693" s="35"/>
      <c r="AI1693" s="35"/>
      <c r="AJ1693" s="35"/>
      <c r="AK1693" s="35"/>
      <c r="AL1693" s="35"/>
      <c r="AM1693" s="35"/>
      <c r="AN1693" s="35"/>
      <c r="AO1693" s="35"/>
      <c r="AP1693" s="35"/>
      <c r="AQ1693" s="35"/>
      <c r="AR1693" s="35"/>
      <c r="AS1693" s="35"/>
      <c r="AT1693" s="35"/>
      <c r="AU1693" s="35"/>
      <c r="AV1693" s="35"/>
      <c r="AW1693" s="35"/>
      <c r="AX1693" s="35"/>
      <c r="AY1693" s="35"/>
      <c r="AZ1693" s="35"/>
      <c r="BA1693" s="35"/>
      <c r="BB1693" s="35"/>
      <c r="BC1693" s="35"/>
      <c r="BD1693" s="35"/>
      <c r="BE1693" s="35"/>
      <c r="BF1693" s="35"/>
      <c r="BG1693" s="35"/>
    </row>
    <row r="1694" ht="15.75" customHeight="1">
      <c r="A1694" s="35"/>
      <c r="B1694" s="35"/>
      <c r="C1694" s="35"/>
      <c r="D1694" s="35"/>
      <c r="E1694" s="35"/>
      <c r="F1694" s="35"/>
      <c r="G1694" s="35"/>
      <c r="H1694" s="35"/>
      <c r="I1694" s="35"/>
      <c r="J1694" s="35"/>
      <c r="K1694" s="35"/>
      <c r="L1694" s="35"/>
      <c r="M1694" s="35"/>
      <c r="N1694" s="35"/>
      <c r="O1694" s="35"/>
      <c r="P1694" s="35"/>
      <c r="Q1694" s="35"/>
      <c r="R1694" s="35"/>
      <c r="S1694" s="35"/>
      <c r="T1694" s="35"/>
      <c r="U1694" s="35"/>
      <c r="V1694" s="35"/>
      <c r="W1694" s="35"/>
      <c r="X1694" s="35"/>
      <c r="Y1694" s="35"/>
      <c r="Z1694" s="35"/>
      <c r="AA1694" s="35"/>
      <c r="AB1694" s="35"/>
      <c r="AC1694" s="35"/>
      <c r="AD1694" s="35"/>
      <c r="AE1694" s="35"/>
      <c r="AF1694" s="35"/>
      <c r="AG1694" s="35"/>
      <c r="AH1694" s="35"/>
      <c r="AI1694" s="35"/>
      <c r="AJ1694" s="35"/>
      <c r="AK1694" s="35"/>
      <c r="AL1694" s="35"/>
      <c r="AM1694" s="35"/>
      <c r="AN1694" s="35"/>
      <c r="AO1694" s="35"/>
      <c r="AP1694" s="35"/>
      <c r="AQ1694" s="35"/>
      <c r="AR1694" s="35"/>
      <c r="AS1694" s="35"/>
      <c r="AT1694" s="35"/>
      <c r="AU1694" s="35"/>
      <c r="AV1694" s="35"/>
      <c r="AW1694" s="35"/>
      <c r="AX1694" s="35"/>
      <c r="AY1694" s="35"/>
      <c r="AZ1694" s="35"/>
      <c r="BA1694" s="35"/>
      <c r="BB1694" s="35"/>
      <c r="BC1694" s="35"/>
      <c r="BD1694" s="35"/>
      <c r="BE1694" s="35"/>
      <c r="BF1694" s="35"/>
      <c r="BG1694" s="35"/>
    </row>
    <row r="1695" ht="15.75" customHeight="1">
      <c r="A1695" s="35"/>
      <c r="B1695" s="35"/>
      <c r="C1695" s="35"/>
      <c r="D1695" s="35"/>
      <c r="E1695" s="35"/>
      <c r="F1695" s="35"/>
      <c r="G1695" s="35"/>
      <c r="H1695" s="35"/>
      <c r="I1695" s="35"/>
      <c r="J1695" s="35"/>
      <c r="K1695" s="35"/>
      <c r="L1695" s="35"/>
      <c r="M1695" s="35"/>
      <c r="N1695" s="35"/>
      <c r="O1695" s="35"/>
      <c r="P1695" s="35"/>
      <c r="Q1695" s="35"/>
      <c r="R1695" s="35"/>
      <c r="S1695" s="35"/>
      <c r="T1695" s="35"/>
      <c r="U1695" s="35"/>
      <c r="V1695" s="35"/>
      <c r="W1695" s="35"/>
      <c r="X1695" s="35"/>
      <c r="Y1695" s="35"/>
      <c r="Z1695" s="35"/>
      <c r="AA1695" s="35"/>
      <c r="AB1695" s="35"/>
      <c r="AC1695" s="35"/>
      <c r="AD1695" s="35"/>
      <c r="AE1695" s="35"/>
      <c r="AF1695" s="35"/>
      <c r="AG1695" s="35"/>
      <c r="AH1695" s="35"/>
      <c r="AI1695" s="35"/>
      <c r="AJ1695" s="35"/>
      <c r="AK1695" s="35"/>
      <c r="AL1695" s="35"/>
      <c r="AM1695" s="35"/>
      <c r="AN1695" s="35"/>
      <c r="AO1695" s="35"/>
      <c r="AP1695" s="35"/>
      <c r="AQ1695" s="35"/>
      <c r="AR1695" s="35"/>
      <c r="AS1695" s="35"/>
      <c r="AT1695" s="35"/>
      <c r="AU1695" s="35"/>
      <c r="AV1695" s="35"/>
      <c r="AW1695" s="35"/>
      <c r="AX1695" s="35"/>
      <c r="AY1695" s="35"/>
      <c r="AZ1695" s="35"/>
      <c r="BA1695" s="35"/>
      <c r="BB1695" s="35"/>
      <c r="BC1695" s="35"/>
      <c r="BD1695" s="35"/>
      <c r="BE1695" s="35"/>
      <c r="BF1695" s="35"/>
      <c r="BG1695" s="35"/>
    </row>
    <row r="1696" ht="15.75" customHeight="1">
      <c r="A1696" s="35"/>
      <c r="B1696" s="35"/>
      <c r="C1696" s="35"/>
      <c r="D1696" s="35"/>
      <c r="E1696" s="35"/>
      <c r="F1696" s="35"/>
      <c r="G1696" s="35"/>
      <c r="H1696" s="35"/>
      <c r="I1696" s="35"/>
      <c r="J1696" s="35"/>
      <c r="K1696" s="35"/>
      <c r="L1696" s="35"/>
      <c r="M1696" s="35"/>
      <c r="N1696" s="35"/>
      <c r="O1696" s="35"/>
      <c r="P1696" s="35"/>
      <c r="Q1696" s="35"/>
      <c r="R1696" s="35"/>
      <c r="S1696" s="35"/>
      <c r="T1696" s="35"/>
      <c r="U1696" s="35"/>
      <c r="V1696" s="35"/>
      <c r="W1696" s="35"/>
      <c r="X1696" s="35"/>
      <c r="Y1696" s="35"/>
      <c r="Z1696" s="35"/>
      <c r="AA1696" s="35"/>
      <c r="AB1696" s="35"/>
      <c r="AC1696" s="35"/>
      <c r="AD1696" s="35"/>
      <c r="AE1696" s="35"/>
      <c r="AF1696" s="35"/>
      <c r="AG1696" s="35"/>
      <c r="AH1696" s="35"/>
      <c r="AI1696" s="35"/>
      <c r="AJ1696" s="35"/>
      <c r="AK1696" s="35"/>
      <c r="AL1696" s="35"/>
      <c r="AM1696" s="35"/>
      <c r="AN1696" s="35"/>
      <c r="AO1696" s="35"/>
      <c r="AP1696" s="35"/>
      <c r="AQ1696" s="35"/>
      <c r="AR1696" s="35"/>
      <c r="AS1696" s="35"/>
      <c r="AT1696" s="35"/>
      <c r="AU1696" s="35"/>
      <c r="AV1696" s="35"/>
      <c r="AW1696" s="35"/>
      <c r="AX1696" s="35"/>
      <c r="AY1696" s="35"/>
      <c r="AZ1696" s="35"/>
      <c r="BA1696" s="35"/>
      <c r="BB1696" s="35"/>
      <c r="BC1696" s="35"/>
      <c r="BD1696" s="35"/>
      <c r="BE1696" s="35"/>
      <c r="BF1696" s="35"/>
      <c r="BG1696" s="35"/>
    </row>
    <row r="1697" ht="15.75" customHeight="1">
      <c r="A1697" s="35"/>
      <c r="B1697" s="35"/>
      <c r="C1697" s="35"/>
      <c r="D1697" s="35"/>
      <c r="E1697" s="35"/>
      <c r="F1697" s="35"/>
      <c r="G1697" s="35"/>
      <c r="H1697" s="35"/>
      <c r="I1697" s="35"/>
      <c r="J1697" s="35"/>
      <c r="K1697" s="35"/>
      <c r="L1697" s="35"/>
      <c r="M1697" s="35"/>
      <c r="N1697" s="35"/>
      <c r="O1697" s="35"/>
      <c r="P1697" s="35"/>
      <c r="Q1697" s="35"/>
      <c r="R1697" s="35"/>
      <c r="S1697" s="35"/>
      <c r="T1697" s="35"/>
      <c r="U1697" s="35"/>
      <c r="V1697" s="35"/>
      <c r="W1697" s="35"/>
      <c r="X1697" s="35"/>
      <c r="Y1697" s="35"/>
      <c r="Z1697" s="35"/>
      <c r="AA1697" s="35"/>
      <c r="AB1697" s="35"/>
      <c r="AC1697" s="35"/>
      <c r="AD1697" s="35"/>
      <c r="AE1697" s="35"/>
      <c r="AF1697" s="35"/>
      <c r="AG1697" s="35"/>
      <c r="AH1697" s="35"/>
      <c r="AI1697" s="35"/>
      <c r="AJ1697" s="35"/>
      <c r="AK1697" s="35"/>
      <c r="AL1697" s="35"/>
      <c r="AM1697" s="35"/>
      <c r="AN1697" s="35"/>
      <c r="AO1697" s="35"/>
      <c r="AP1697" s="35"/>
      <c r="AQ1697" s="35"/>
      <c r="AR1697" s="35"/>
      <c r="AS1697" s="35"/>
      <c r="AT1697" s="35"/>
      <c r="AU1697" s="35"/>
      <c r="AV1697" s="35"/>
      <c r="AW1697" s="35"/>
      <c r="AX1697" s="35"/>
      <c r="AY1697" s="35"/>
      <c r="AZ1697" s="35"/>
      <c r="BA1697" s="35"/>
      <c r="BB1697" s="35"/>
      <c r="BC1697" s="35"/>
      <c r="BD1697" s="35"/>
      <c r="BE1697" s="35"/>
      <c r="BF1697" s="35"/>
      <c r="BG1697" s="35"/>
    </row>
    <row r="1698" ht="15.75" customHeight="1">
      <c r="A1698" s="35"/>
      <c r="B1698" s="35"/>
      <c r="C1698" s="35"/>
      <c r="D1698" s="35"/>
      <c r="E1698" s="35"/>
      <c r="F1698" s="35"/>
      <c r="G1698" s="35"/>
      <c r="H1698" s="35"/>
      <c r="I1698" s="35"/>
      <c r="J1698" s="35"/>
      <c r="K1698" s="35"/>
      <c r="L1698" s="35"/>
      <c r="M1698" s="35"/>
      <c r="N1698" s="35"/>
      <c r="O1698" s="35"/>
      <c r="P1698" s="35"/>
      <c r="Q1698" s="35"/>
      <c r="R1698" s="35"/>
      <c r="S1698" s="35"/>
      <c r="T1698" s="35"/>
      <c r="U1698" s="35"/>
      <c r="V1698" s="35"/>
      <c r="W1698" s="35"/>
      <c r="X1698" s="35"/>
      <c r="Y1698" s="35"/>
      <c r="Z1698" s="35"/>
      <c r="AA1698" s="35"/>
      <c r="AB1698" s="35"/>
      <c r="AC1698" s="35"/>
      <c r="AD1698" s="35"/>
      <c r="AE1698" s="35"/>
      <c r="AF1698" s="35"/>
      <c r="AG1698" s="35"/>
      <c r="AH1698" s="35"/>
      <c r="AI1698" s="35"/>
      <c r="AJ1698" s="35"/>
      <c r="AK1698" s="35"/>
      <c r="AL1698" s="35"/>
      <c r="AM1698" s="35"/>
      <c r="AN1698" s="35"/>
      <c r="AO1698" s="35"/>
      <c r="AP1698" s="35"/>
      <c r="AQ1698" s="35"/>
      <c r="AR1698" s="35"/>
      <c r="AS1698" s="35"/>
      <c r="AT1698" s="35"/>
      <c r="AU1698" s="35"/>
      <c r="AV1698" s="35"/>
      <c r="AW1698" s="35"/>
      <c r="AX1698" s="35"/>
      <c r="AY1698" s="35"/>
      <c r="AZ1698" s="35"/>
      <c r="BA1698" s="35"/>
      <c r="BB1698" s="35"/>
      <c r="BC1698" s="35"/>
      <c r="BD1698" s="35"/>
      <c r="BE1698" s="35"/>
      <c r="BF1698" s="35"/>
      <c r="BG1698" s="35"/>
    </row>
    <row r="1699" ht="15.75" customHeight="1">
      <c r="A1699" s="35"/>
      <c r="B1699" s="35"/>
      <c r="C1699" s="35"/>
      <c r="D1699" s="35"/>
      <c r="E1699" s="35"/>
      <c r="F1699" s="35"/>
      <c r="G1699" s="35"/>
      <c r="H1699" s="35"/>
      <c r="I1699" s="35"/>
      <c r="J1699" s="35"/>
      <c r="K1699" s="35"/>
      <c r="L1699" s="35"/>
      <c r="M1699" s="35"/>
      <c r="N1699" s="35"/>
      <c r="O1699" s="35"/>
      <c r="P1699" s="35"/>
      <c r="Q1699" s="35"/>
      <c r="R1699" s="35"/>
      <c r="S1699" s="35"/>
      <c r="T1699" s="35"/>
      <c r="U1699" s="35"/>
      <c r="V1699" s="35"/>
      <c r="W1699" s="35"/>
      <c r="X1699" s="35"/>
      <c r="Y1699" s="35"/>
      <c r="Z1699" s="35"/>
      <c r="AA1699" s="35"/>
      <c r="AB1699" s="35"/>
      <c r="AC1699" s="35"/>
      <c r="AD1699" s="35"/>
      <c r="AE1699" s="35"/>
      <c r="AF1699" s="35"/>
      <c r="AG1699" s="35"/>
      <c r="AH1699" s="35"/>
      <c r="AI1699" s="35"/>
      <c r="AJ1699" s="35"/>
      <c r="AK1699" s="35"/>
      <c r="AL1699" s="35"/>
      <c r="AM1699" s="35"/>
      <c r="AN1699" s="35"/>
      <c r="AO1699" s="35"/>
      <c r="AP1699" s="35"/>
      <c r="AQ1699" s="35"/>
      <c r="AR1699" s="35"/>
      <c r="AS1699" s="35"/>
      <c r="AT1699" s="35"/>
      <c r="AU1699" s="35"/>
      <c r="AV1699" s="35"/>
      <c r="AW1699" s="35"/>
      <c r="AX1699" s="35"/>
      <c r="AY1699" s="35"/>
      <c r="AZ1699" s="35"/>
      <c r="BA1699" s="35"/>
      <c r="BB1699" s="35"/>
      <c r="BC1699" s="35"/>
      <c r="BD1699" s="35"/>
      <c r="BE1699" s="35"/>
      <c r="BF1699" s="35"/>
      <c r="BG1699" s="35"/>
    </row>
    <row r="1700" ht="15.75" customHeight="1">
      <c r="A1700" s="35"/>
      <c r="B1700" s="35"/>
      <c r="C1700" s="35"/>
      <c r="D1700" s="35"/>
      <c r="E1700" s="35"/>
      <c r="F1700" s="35"/>
      <c r="G1700" s="35"/>
      <c r="H1700" s="35"/>
      <c r="I1700" s="35"/>
      <c r="J1700" s="35"/>
      <c r="K1700" s="35"/>
      <c r="L1700" s="35"/>
      <c r="M1700" s="35"/>
      <c r="N1700" s="35"/>
      <c r="O1700" s="35"/>
      <c r="P1700" s="35"/>
      <c r="Q1700" s="35"/>
      <c r="R1700" s="35"/>
      <c r="S1700" s="35"/>
      <c r="T1700" s="35"/>
      <c r="U1700" s="35"/>
      <c r="V1700" s="35"/>
      <c r="W1700" s="35"/>
      <c r="X1700" s="35"/>
      <c r="Y1700" s="35"/>
      <c r="Z1700" s="35"/>
      <c r="AA1700" s="35"/>
      <c r="AB1700" s="35"/>
      <c r="AC1700" s="35"/>
      <c r="AD1700" s="35"/>
      <c r="AE1700" s="35"/>
      <c r="AF1700" s="35"/>
      <c r="AG1700" s="35"/>
      <c r="AH1700" s="35"/>
      <c r="AI1700" s="35"/>
      <c r="AJ1700" s="35"/>
      <c r="AK1700" s="35"/>
      <c r="AL1700" s="35"/>
      <c r="AM1700" s="35"/>
      <c r="AN1700" s="35"/>
      <c r="AO1700" s="35"/>
      <c r="AP1700" s="35"/>
      <c r="AQ1700" s="35"/>
      <c r="AR1700" s="35"/>
      <c r="AS1700" s="35"/>
      <c r="AT1700" s="35"/>
      <c r="AU1700" s="35"/>
      <c r="AV1700" s="35"/>
      <c r="AW1700" s="35"/>
      <c r="AX1700" s="35"/>
      <c r="AY1700" s="35"/>
      <c r="AZ1700" s="35"/>
      <c r="BA1700" s="35"/>
      <c r="BB1700" s="35"/>
      <c r="BC1700" s="35"/>
      <c r="BD1700" s="35"/>
      <c r="BE1700" s="35"/>
      <c r="BF1700" s="35"/>
      <c r="BG1700" s="35"/>
    </row>
    <row r="1701" ht="15.75" customHeight="1">
      <c r="A1701" s="35"/>
      <c r="B1701" s="35"/>
      <c r="C1701" s="35"/>
      <c r="D1701" s="35"/>
      <c r="E1701" s="35"/>
      <c r="F1701" s="35"/>
      <c r="G1701" s="35"/>
      <c r="H1701" s="35"/>
      <c r="I1701" s="35"/>
      <c r="J1701" s="35"/>
      <c r="K1701" s="35"/>
      <c r="L1701" s="35"/>
      <c r="M1701" s="35"/>
      <c r="N1701" s="35"/>
      <c r="O1701" s="35"/>
      <c r="P1701" s="35"/>
      <c r="Q1701" s="35"/>
      <c r="R1701" s="35"/>
      <c r="S1701" s="35"/>
      <c r="T1701" s="35"/>
      <c r="U1701" s="35"/>
      <c r="V1701" s="35"/>
      <c r="W1701" s="35"/>
      <c r="X1701" s="35"/>
      <c r="Y1701" s="35"/>
      <c r="Z1701" s="35"/>
      <c r="AA1701" s="35"/>
      <c r="AB1701" s="35"/>
      <c r="AC1701" s="35"/>
      <c r="AD1701" s="35"/>
      <c r="AE1701" s="35"/>
      <c r="AF1701" s="35"/>
      <c r="AG1701" s="35"/>
      <c r="AH1701" s="35"/>
      <c r="AI1701" s="35"/>
      <c r="AJ1701" s="35"/>
      <c r="AK1701" s="35"/>
      <c r="AL1701" s="35"/>
      <c r="AM1701" s="35"/>
      <c r="AN1701" s="35"/>
      <c r="AO1701" s="35"/>
      <c r="AP1701" s="35"/>
      <c r="AQ1701" s="35"/>
      <c r="AR1701" s="35"/>
      <c r="AS1701" s="35"/>
      <c r="AT1701" s="35"/>
      <c r="AU1701" s="35"/>
      <c r="AV1701" s="35"/>
      <c r="AW1701" s="35"/>
      <c r="AX1701" s="35"/>
      <c r="AY1701" s="35"/>
      <c r="AZ1701" s="35"/>
      <c r="BA1701" s="35"/>
      <c r="BB1701" s="35"/>
      <c r="BC1701" s="35"/>
      <c r="BD1701" s="35"/>
      <c r="BE1701" s="35"/>
      <c r="BF1701" s="35"/>
      <c r="BG1701" s="35"/>
    </row>
    <row r="1702" ht="15.75" customHeight="1">
      <c r="A1702" s="35"/>
      <c r="B1702" s="35"/>
      <c r="C1702" s="35"/>
      <c r="D1702" s="35"/>
      <c r="E1702" s="35"/>
      <c r="F1702" s="35"/>
      <c r="G1702" s="35"/>
      <c r="H1702" s="35"/>
      <c r="I1702" s="35"/>
      <c r="J1702" s="35"/>
      <c r="K1702" s="35"/>
      <c r="L1702" s="35"/>
      <c r="M1702" s="35"/>
      <c r="N1702" s="35"/>
      <c r="O1702" s="35"/>
      <c r="P1702" s="35"/>
      <c r="Q1702" s="35"/>
      <c r="R1702" s="35"/>
      <c r="S1702" s="35"/>
      <c r="T1702" s="35"/>
      <c r="U1702" s="35"/>
      <c r="V1702" s="35"/>
      <c r="W1702" s="35"/>
      <c r="X1702" s="35"/>
      <c r="Y1702" s="35"/>
      <c r="Z1702" s="35"/>
      <c r="AA1702" s="35"/>
      <c r="AB1702" s="35"/>
      <c r="AC1702" s="35"/>
      <c r="AD1702" s="35"/>
      <c r="AE1702" s="35"/>
      <c r="AF1702" s="35"/>
      <c r="AG1702" s="35"/>
      <c r="AH1702" s="35"/>
      <c r="AI1702" s="35"/>
      <c r="AJ1702" s="35"/>
      <c r="AK1702" s="35"/>
      <c r="AL1702" s="35"/>
      <c r="AM1702" s="35"/>
      <c r="AN1702" s="35"/>
      <c r="AO1702" s="35"/>
      <c r="AP1702" s="35"/>
      <c r="AQ1702" s="35"/>
      <c r="AR1702" s="35"/>
      <c r="AS1702" s="35"/>
      <c r="AT1702" s="35"/>
      <c r="AU1702" s="35"/>
      <c r="AV1702" s="35"/>
      <c r="AW1702" s="35"/>
      <c r="AX1702" s="35"/>
      <c r="AY1702" s="35"/>
      <c r="AZ1702" s="35"/>
      <c r="BA1702" s="35"/>
      <c r="BB1702" s="35"/>
      <c r="BC1702" s="35"/>
      <c r="BD1702" s="35"/>
      <c r="BE1702" s="35"/>
      <c r="BF1702" s="35"/>
      <c r="BG1702" s="35"/>
    </row>
    <row r="1703" ht="15.75" customHeight="1">
      <c r="A1703" s="35"/>
      <c r="B1703" s="35"/>
      <c r="C1703" s="35"/>
      <c r="D1703" s="35"/>
      <c r="E1703" s="35"/>
      <c r="F1703" s="35"/>
      <c r="G1703" s="35"/>
      <c r="H1703" s="35"/>
      <c r="I1703" s="35"/>
      <c r="J1703" s="35"/>
      <c r="K1703" s="35"/>
      <c r="L1703" s="35"/>
      <c r="M1703" s="35"/>
      <c r="N1703" s="35"/>
      <c r="O1703" s="35"/>
      <c r="P1703" s="35"/>
      <c r="Q1703" s="35"/>
      <c r="R1703" s="35"/>
      <c r="S1703" s="35"/>
      <c r="T1703" s="35"/>
      <c r="U1703" s="35"/>
      <c r="V1703" s="35"/>
      <c r="W1703" s="35"/>
      <c r="X1703" s="35"/>
      <c r="Y1703" s="35"/>
      <c r="Z1703" s="35"/>
      <c r="AA1703" s="35"/>
      <c r="AB1703" s="35"/>
      <c r="AC1703" s="35"/>
      <c r="AD1703" s="35"/>
      <c r="AE1703" s="35"/>
      <c r="AF1703" s="35"/>
      <c r="AG1703" s="35"/>
      <c r="AH1703" s="35"/>
      <c r="AI1703" s="35"/>
      <c r="AJ1703" s="35"/>
      <c r="AK1703" s="35"/>
      <c r="AL1703" s="35"/>
      <c r="AM1703" s="35"/>
      <c r="AN1703" s="35"/>
      <c r="AO1703" s="35"/>
      <c r="AP1703" s="35"/>
      <c r="AQ1703" s="35"/>
      <c r="AR1703" s="35"/>
      <c r="AS1703" s="35"/>
      <c r="AT1703" s="35"/>
      <c r="AU1703" s="35"/>
      <c r="AV1703" s="35"/>
      <c r="AW1703" s="35"/>
      <c r="AX1703" s="35"/>
      <c r="AY1703" s="35"/>
      <c r="AZ1703" s="35"/>
      <c r="BA1703" s="35"/>
      <c r="BB1703" s="35"/>
      <c r="BC1703" s="35"/>
      <c r="BD1703" s="35"/>
      <c r="BE1703" s="35"/>
      <c r="BF1703" s="35"/>
      <c r="BG1703" s="35"/>
    </row>
    <row r="1704" ht="15.75" customHeight="1">
      <c r="A1704" s="35"/>
      <c r="B1704" s="35"/>
      <c r="C1704" s="35"/>
      <c r="D1704" s="35"/>
      <c r="E1704" s="35"/>
      <c r="F1704" s="35"/>
      <c r="G1704" s="35"/>
      <c r="H1704" s="35"/>
      <c r="I1704" s="35"/>
      <c r="J1704" s="35"/>
      <c r="K1704" s="35"/>
      <c r="L1704" s="35"/>
      <c r="M1704" s="35"/>
      <c r="N1704" s="35"/>
      <c r="O1704" s="35"/>
      <c r="P1704" s="35"/>
      <c r="Q1704" s="35"/>
      <c r="R1704" s="35"/>
      <c r="S1704" s="35"/>
      <c r="T1704" s="35"/>
      <c r="U1704" s="35"/>
      <c r="V1704" s="35"/>
      <c r="W1704" s="35"/>
      <c r="X1704" s="35"/>
      <c r="Y1704" s="35"/>
      <c r="Z1704" s="35"/>
      <c r="AA1704" s="35"/>
      <c r="AB1704" s="35"/>
      <c r="AC1704" s="35"/>
      <c r="AD1704" s="35"/>
      <c r="AE1704" s="35"/>
      <c r="AF1704" s="35"/>
      <c r="AG1704" s="35"/>
      <c r="AH1704" s="35"/>
      <c r="AI1704" s="35"/>
      <c r="AJ1704" s="35"/>
      <c r="AK1704" s="35"/>
      <c r="AL1704" s="35"/>
      <c r="AM1704" s="35"/>
      <c r="AN1704" s="35"/>
      <c r="AO1704" s="35"/>
      <c r="AP1704" s="35"/>
      <c r="AQ1704" s="35"/>
      <c r="AR1704" s="35"/>
      <c r="AS1704" s="35"/>
      <c r="AT1704" s="35"/>
      <c r="AU1704" s="35"/>
      <c r="AV1704" s="35"/>
      <c r="AW1704" s="35"/>
      <c r="AX1704" s="35"/>
      <c r="AY1704" s="35"/>
      <c r="AZ1704" s="35"/>
      <c r="BA1704" s="35"/>
      <c r="BB1704" s="35"/>
      <c r="BC1704" s="35"/>
      <c r="BD1704" s="35"/>
      <c r="BE1704" s="35"/>
      <c r="BF1704" s="35"/>
      <c r="BG1704" s="35"/>
    </row>
    <row r="1705" ht="15.75" customHeight="1">
      <c r="A1705" s="35"/>
      <c r="B1705" s="35"/>
      <c r="C1705" s="35"/>
      <c r="D1705" s="35"/>
      <c r="E1705" s="35"/>
      <c r="F1705" s="35"/>
      <c r="G1705" s="35"/>
      <c r="H1705" s="35"/>
      <c r="I1705" s="35"/>
      <c r="J1705" s="35"/>
      <c r="K1705" s="35"/>
      <c r="L1705" s="35"/>
      <c r="M1705" s="35"/>
      <c r="N1705" s="35"/>
      <c r="O1705" s="35"/>
      <c r="P1705" s="35"/>
      <c r="Q1705" s="35"/>
      <c r="R1705" s="35"/>
      <c r="S1705" s="35"/>
      <c r="T1705" s="35"/>
      <c r="U1705" s="35"/>
      <c r="V1705" s="35"/>
      <c r="W1705" s="35"/>
      <c r="X1705" s="35"/>
      <c r="Y1705" s="35"/>
      <c r="Z1705" s="35"/>
      <c r="AA1705" s="35"/>
      <c r="AB1705" s="35"/>
      <c r="AC1705" s="35"/>
      <c r="AD1705" s="35"/>
      <c r="AE1705" s="35"/>
      <c r="AF1705" s="35"/>
      <c r="AG1705" s="35"/>
      <c r="AH1705" s="35"/>
      <c r="AI1705" s="35"/>
      <c r="AJ1705" s="35"/>
      <c r="AK1705" s="35"/>
      <c r="AL1705" s="35"/>
      <c r="AM1705" s="35"/>
      <c r="AN1705" s="35"/>
      <c r="AO1705" s="35"/>
      <c r="AP1705" s="35"/>
      <c r="AQ1705" s="35"/>
      <c r="AR1705" s="35"/>
      <c r="AS1705" s="35"/>
      <c r="AT1705" s="35"/>
      <c r="AU1705" s="35"/>
      <c r="AV1705" s="35"/>
      <c r="AW1705" s="35"/>
      <c r="AX1705" s="35"/>
      <c r="AY1705" s="35"/>
      <c r="AZ1705" s="35"/>
      <c r="BA1705" s="35"/>
      <c r="BB1705" s="35"/>
      <c r="BC1705" s="35"/>
      <c r="BD1705" s="35"/>
      <c r="BE1705" s="35"/>
      <c r="BF1705" s="35"/>
      <c r="BG1705" s="35"/>
    </row>
    <row r="1706" ht="15.75" customHeight="1">
      <c r="A1706" s="35"/>
      <c r="B1706" s="35"/>
      <c r="C1706" s="35"/>
      <c r="D1706" s="35"/>
      <c r="E1706" s="35"/>
      <c r="F1706" s="35"/>
      <c r="G1706" s="35"/>
      <c r="H1706" s="35"/>
      <c r="I1706" s="35"/>
      <c r="J1706" s="35"/>
      <c r="K1706" s="35"/>
      <c r="L1706" s="35"/>
      <c r="M1706" s="35"/>
      <c r="N1706" s="35"/>
      <c r="O1706" s="35"/>
      <c r="P1706" s="35"/>
      <c r="Q1706" s="35"/>
      <c r="R1706" s="35"/>
      <c r="S1706" s="35"/>
      <c r="T1706" s="35"/>
      <c r="U1706" s="35"/>
      <c r="V1706" s="35"/>
      <c r="W1706" s="35"/>
      <c r="X1706" s="35"/>
      <c r="Y1706" s="35"/>
      <c r="Z1706" s="35"/>
      <c r="AA1706" s="35"/>
      <c r="AB1706" s="35"/>
      <c r="AC1706" s="35"/>
      <c r="AD1706" s="35"/>
      <c r="AE1706" s="35"/>
      <c r="AF1706" s="35"/>
      <c r="AG1706" s="35"/>
      <c r="AH1706" s="35"/>
      <c r="AI1706" s="35"/>
      <c r="AJ1706" s="35"/>
      <c r="AK1706" s="35"/>
      <c r="AL1706" s="35"/>
      <c r="AM1706" s="35"/>
      <c r="AN1706" s="35"/>
      <c r="AO1706" s="35"/>
      <c r="AP1706" s="35"/>
      <c r="AQ1706" s="35"/>
      <c r="AR1706" s="35"/>
      <c r="AS1706" s="35"/>
      <c r="AT1706" s="35"/>
      <c r="AU1706" s="35"/>
      <c r="AV1706" s="35"/>
      <c r="AW1706" s="35"/>
      <c r="AX1706" s="35"/>
      <c r="AY1706" s="35"/>
      <c r="AZ1706" s="35"/>
      <c r="BA1706" s="35"/>
      <c r="BB1706" s="35"/>
      <c r="BC1706" s="35"/>
      <c r="BD1706" s="35"/>
      <c r="BE1706" s="35"/>
      <c r="BF1706" s="35"/>
      <c r="BG1706" s="35"/>
    </row>
    <row r="1707" ht="15.75" customHeight="1">
      <c r="A1707" s="35"/>
      <c r="B1707" s="35"/>
      <c r="C1707" s="35"/>
      <c r="D1707" s="35"/>
      <c r="E1707" s="35"/>
      <c r="F1707" s="35"/>
      <c r="G1707" s="35"/>
      <c r="H1707" s="35"/>
      <c r="I1707" s="35"/>
      <c r="J1707" s="35"/>
      <c r="K1707" s="35"/>
      <c r="L1707" s="35"/>
      <c r="M1707" s="35"/>
      <c r="N1707" s="35"/>
      <c r="O1707" s="35"/>
      <c r="P1707" s="35"/>
      <c r="Q1707" s="35"/>
      <c r="R1707" s="35"/>
      <c r="S1707" s="35"/>
      <c r="T1707" s="35"/>
      <c r="U1707" s="35"/>
      <c r="V1707" s="35"/>
      <c r="W1707" s="35"/>
      <c r="X1707" s="35"/>
      <c r="Y1707" s="35"/>
      <c r="Z1707" s="35"/>
      <c r="AA1707" s="35"/>
      <c r="AB1707" s="35"/>
      <c r="AC1707" s="35"/>
      <c r="AD1707" s="35"/>
      <c r="AE1707" s="35"/>
      <c r="AF1707" s="35"/>
      <c r="AG1707" s="35"/>
      <c r="AH1707" s="35"/>
      <c r="AI1707" s="35"/>
      <c r="AJ1707" s="35"/>
      <c r="AK1707" s="35"/>
      <c r="AL1707" s="35"/>
      <c r="AM1707" s="35"/>
      <c r="AN1707" s="35"/>
      <c r="AO1707" s="35"/>
      <c r="AP1707" s="35"/>
      <c r="AQ1707" s="35"/>
      <c r="AR1707" s="35"/>
      <c r="AS1707" s="35"/>
      <c r="AT1707" s="35"/>
      <c r="AU1707" s="35"/>
      <c r="AV1707" s="35"/>
      <c r="AW1707" s="35"/>
      <c r="AX1707" s="35"/>
      <c r="AY1707" s="35"/>
      <c r="AZ1707" s="35"/>
      <c r="BA1707" s="35"/>
      <c r="BB1707" s="35"/>
      <c r="BC1707" s="35"/>
      <c r="BD1707" s="35"/>
      <c r="BE1707" s="35"/>
      <c r="BF1707" s="35"/>
      <c r="BG1707" s="35"/>
    </row>
    <row r="1708" ht="15.75" customHeight="1">
      <c r="A1708" s="35"/>
      <c r="B1708" s="35"/>
      <c r="C1708" s="35"/>
      <c r="D1708" s="35"/>
      <c r="E1708" s="35"/>
      <c r="F1708" s="35"/>
      <c r="G1708" s="35"/>
      <c r="H1708" s="35"/>
      <c r="I1708" s="35"/>
      <c r="J1708" s="35"/>
      <c r="K1708" s="35"/>
      <c r="L1708" s="35"/>
      <c r="M1708" s="35"/>
      <c r="N1708" s="35"/>
      <c r="O1708" s="35"/>
      <c r="P1708" s="35"/>
      <c r="Q1708" s="35"/>
      <c r="R1708" s="35"/>
      <c r="S1708" s="35"/>
      <c r="T1708" s="35"/>
      <c r="U1708" s="35"/>
      <c r="V1708" s="35"/>
      <c r="W1708" s="35"/>
      <c r="X1708" s="35"/>
      <c r="Y1708" s="35"/>
      <c r="Z1708" s="35"/>
      <c r="AA1708" s="35"/>
      <c r="AB1708" s="35"/>
      <c r="AC1708" s="35"/>
      <c r="AD1708" s="35"/>
      <c r="AE1708" s="35"/>
      <c r="AF1708" s="35"/>
      <c r="AG1708" s="35"/>
      <c r="AH1708" s="35"/>
      <c r="AI1708" s="35"/>
      <c r="AJ1708" s="35"/>
      <c r="AK1708" s="35"/>
      <c r="AL1708" s="35"/>
      <c r="AM1708" s="35"/>
      <c r="AN1708" s="35"/>
      <c r="AO1708" s="35"/>
      <c r="AP1708" s="35"/>
      <c r="AQ1708" s="35"/>
      <c r="AR1708" s="35"/>
      <c r="AS1708" s="35"/>
      <c r="AT1708" s="35"/>
      <c r="AU1708" s="35"/>
      <c r="AV1708" s="35"/>
      <c r="AW1708" s="35"/>
      <c r="AX1708" s="35"/>
      <c r="AY1708" s="35"/>
      <c r="AZ1708" s="35"/>
      <c r="BA1708" s="35"/>
      <c r="BB1708" s="35"/>
      <c r="BC1708" s="35"/>
      <c r="BD1708" s="35"/>
      <c r="BE1708" s="35"/>
      <c r="BF1708" s="35"/>
      <c r="BG1708" s="35"/>
    </row>
    <row r="1709" ht="15.75" customHeight="1">
      <c r="A1709" s="35"/>
      <c r="B1709" s="35"/>
      <c r="C1709" s="35"/>
      <c r="D1709" s="35"/>
      <c r="E1709" s="35"/>
      <c r="F1709" s="35"/>
      <c r="G1709" s="35"/>
      <c r="H1709" s="35"/>
      <c r="I1709" s="35"/>
      <c r="J1709" s="35"/>
      <c r="K1709" s="35"/>
      <c r="L1709" s="35"/>
      <c r="M1709" s="35"/>
      <c r="N1709" s="35"/>
      <c r="O1709" s="35"/>
      <c r="P1709" s="35"/>
      <c r="Q1709" s="35"/>
      <c r="R1709" s="35"/>
      <c r="S1709" s="35"/>
      <c r="T1709" s="35"/>
      <c r="U1709" s="35"/>
      <c r="V1709" s="35"/>
      <c r="W1709" s="35"/>
      <c r="X1709" s="35"/>
      <c r="Y1709" s="35"/>
      <c r="Z1709" s="35"/>
      <c r="AA1709" s="35"/>
      <c r="AB1709" s="35"/>
      <c r="AC1709" s="35"/>
      <c r="AD1709" s="35"/>
      <c r="AE1709" s="35"/>
      <c r="AF1709" s="35"/>
      <c r="AG1709" s="35"/>
      <c r="AH1709" s="35"/>
      <c r="AI1709" s="35"/>
      <c r="AJ1709" s="35"/>
      <c r="AK1709" s="35"/>
      <c r="AL1709" s="35"/>
      <c r="AM1709" s="35"/>
      <c r="AN1709" s="35"/>
      <c r="AO1709" s="35"/>
      <c r="AP1709" s="35"/>
      <c r="AQ1709" s="35"/>
      <c r="AR1709" s="35"/>
      <c r="AS1709" s="35"/>
      <c r="AT1709" s="35"/>
      <c r="AU1709" s="35"/>
      <c r="AV1709" s="35"/>
      <c r="AW1709" s="35"/>
      <c r="AX1709" s="35"/>
      <c r="AY1709" s="35"/>
      <c r="AZ1709" s="35"/>
      <c r="BA1709" s="35"/>
      <c r="BB1709" s="35"/>
      <c r="BC1709" s="35"/>
      <c r="BD1709" s="35"/>
      <c r="BE1709" s="35"/>
      <c r="BF1709" s="35"/>
      <c r="BG1709" s="35"/>
    </row>
    <row r="1710" ht="15.75" customHeight="1">
      <c r="A1710" s="35"/>
      <c r="B1710" s="35"/>
      <c r="C1710" s="35"/>
      <c r="D1710" s="35"/>
      <c r="E1710" s="35"/>
      <c r="F1710" s="35"/>
      <c r="G1710" s="35"/>
      <c r="H1710" s="35"/>
      <c r="I1710" s="35"/>
      <c r="J1710" s="35"/>
      <c r="K1710" s="35"/>
      <c r="L1710" s="35"/>
      <c r="M1710" s="35"/>
      <c r="N1710" s="35"/>
      <c r="O1710" s="35"/>
      <c r="P1710" s="35"/>
      <c r="Q1710" s="35"/>
      <c r="R1710" s="35"/>
      <c r="S1710" s="35"/>
      <c r="T1710" s="35"/>
      <c r="U1710" s="35"/>
      <c r="V1710" s="35"/>
      <c r="W1710" s="35"/>
      <c r="X1710" s="35"/>
      <c r="Y1710" s="35"/>
      <c r="Z1710" s="35"/>
      <c r="AA1710" s="35"/>
      <c r="AB1710" s="35"/>
      <c r="AC1710" s="35"/>
      <c r="AD1710" s="35"/>
      <c r="AE1710" s="35"/>
      <c r="AF1710" s="35"/>
      <c r="AG1710" s="35"/>
      <c r="AH1710" s="35"/>
      <c r="AI1710" s="35"/>
      <c r="AJ1710" s="35"/>
      <c r="AK1710" s="35"/>
      <c r="AL1710" s="35"/>
      <c r="AM1710" s="35"/>
      <c r="AN1710" s="35"/>
      <c r="AO1710" s="35"/>
      <c r="AP1710" s="35"/>
      <c r="AQ1710" s="35"/>
      <c r="AR1710" s="35"/>
      <c r="AS1710" s="35"/>
      <c r="AT1710" s="35"/>
      <c r="AU1710" s="35"/>
      <c r="AV1710" s="35"/>
      <c r="AW1710" s="35"/>
      <c r="AX1710" s="35"/>
      <c r="AY1710" s="35"/>
      <c r="AZ1710" s="35"/>
      <c r="BA1710" s="35"/>
      <c r="BB1710" s="35"/>
      <c r="BC1710" s="35"/>
      <c r="BD1710" s="35"/>
      <c r="BE1710" s="35"/>
      <c r="BF1710" s="35"/>
      <c r="BG1710" s="35"/>
    </row>
    <row r="1711" ht="15.75" customHeight="1">
      <c r="A1711" s="35"/>
      <c r="B1711" s="35"/>
      <c r="C1711" s="35"/>
      <c r="D1711" s="35"/>
      <c r="E1711" s="35"/>
      <c r="F1711" s="35"/>
      <c r="G1711" s="35"/>
      <c r="H1711" s="35"/>
      <c r="I1711" s="35"/>
      <c r="J1711" s="35"/>
      <c r="K1711" s="35"/>
      <c r="L1711" s="35"/>
      <c r="M1711" s="35"/>
      <c r="N1711" s="35"/>
      <c r="O1711" s="35"/>
      <c r="P1711" s="35"/>
      <c r="Q1711" s="35"/>
      <c r="R1711" s="35"/>
      <c r="S1711" s="35"/>
      <c r="T1711" s="35"/>
      <c r="U1711" s="35"/>
      <c r="V1711" s="35"/>
      <c r="W1711" s="35"/>
      <c r="X1711" s="35"/>
      <c r="Y1711" s="35"/>
      <c r="Z1711" s="35"/>
      <c r="AA1711" s="35"/>
      <c r="AB1711" s="35"/>
      <c r="AC1711" s="35"/>
      <c r="AD1711" s="35"/>
      <c r="AE1711" s="35"/>
      <c r="AF1711" s="35"/>
      <c r="AG1711" s="35"/>
      <c r="AH1711" s="35"/>
      <c r="AI1711" s="35"/>
      <c r="AJ1711" s="35"/>
      <c r="AK1711" s="35"/>
      <c r="AL1711" s="35"/>
      <c r="AM1711" s="35"/>
      <c r="AN1711" s="35"/>
      <c r="AO1711" s="35"/>
      <c r="AP1711" s="35"/>
      <c r="AQ1711" s="35"/>
      <c r="AR1711" s="35"/>
      <c r="AS1711" s="35"/>
      <c r="AT1711" s="35"/>
      <c r="AU1711" s="35"/>
      <c r="AV1711" s="35"/>
      <c r="AW1711" s="35"/>
      <c r="AX1711" s="35"/>
      <c r="AY1711" s="35"/>
      <c r="AZ1711" s="35"/>
      <c r="BA1711" s="35"/>
      <c r="BB1711" s="35"/>
      <c r="BC1711" s="35"/>
      <c r="BD1711" s="35"/>
      <c r="BE1711" s="35"/>
      <c r="BF1711" s="35"/>
      <c r="BG1711" s="35"/>
    </row>
    <row r="1712" ht="15.75" customHeight="1">
      <c r="A1712" s="35"/>
      <c r="B1712" s="35"/>
      <c r="C1712" s="35"/>
      <c r="D1712" s="35"/>
      <c r="E1712" s="35"/>
      <c r="F1712" s="35"/>
      <c r="G1712" s="35"/>
      <c r="H1712" s="35"/>
      <c r="I1712" s="35"/>
      <c r="J1712" s="35"/>
      <c r="K1712" s="35"/>
      <c r="L1712" s="35"/>
      <c r="M1712" s="35"/>
      <c r="N1712" s="35"/>
      <c r="O1712" s="35"/>
      <c r="P1712" s="35"/>
      <c r="Q1712" s="35"/>
      <c r="R1712" s="35"/>
      <c r="S1712" s="35"/>
      <c r="T1712" s="35"/>
      <c r="U1712" s="35"/>
      <c r="V1712" s="35"/>
      <c r="W1712" s="35"/>
      <c r="X1712" s="35"/>
      <c r="Y1712" s="35"/>
      <c r="Z1712" s="35"/>
      <c r="AA1712" s="35"/>
      <c r="AB1712" s="35"/>
      <c r="AC1712" s="35"/>
      <c r="AD1712" s="35"/>
      <c r="AE1712" s="35"/>
      <c r="AF1712" s="35"/>
      <c r="AG1712" s="35"/>
      <c r="AH1712" s="35"/>
      <c r="AI1712" s="35"/>
      <c r="AJ1712" s="35"/>
      <c r="AK1712" s="35"/>
      <c r="AL1712" s="35"/>
      <c r="AM1712" s="35"/>
      <c r="AN1712" s="35"/>
      <c r="AO1712" s="35"/>
      <c r="AP1712" s="35"/>
      <c r="AQ1712" s="35"/>
      <c r="AR1712" s="35"/>
      <c r="AS1712" s="35"/>
      <c r="AT1712" s="35"/>
      <c r="AU1712" s="35"/>
      <c r="AV1712" s="35"/>
      <c r="AW1712" s="35"/>
      <c r="AX1712" s="35"/>
      <c r="AY1712" s="35"/>
      <c r="AZ1712" s="35"/>
      <c r="BA1712" s="35"/>
      <c r="BB1712" s="35"/>
      <c r="BC1712" s="35"/>
      <c r="BD1712" s="35"/>
      <c r="BE1712" s="35"/>
      <c r="BF1712" s="35"/>
      <c r="BG1712" s="35"/>
    </row>
    <row r="1713" ht="15.75" customHeight="1">
      <c r="A1713" s="35"/>
      <c r="B1713" s="35"/>
      <c r="C1713" s="35"/>
      <c r="D1713" s="35"/>
      <c r="E1713" s="35"/>
      <c r="F1713" s="35"/>
      <c r="G1713" s="35"/>
      <c r="H1713" s="35"/>
      <c r="I1713" s="35"/>
      <c r="J1713" s="35"/>
      <c r="K1713" s="35"/>
      <c r="L1713" s="35"/>
      <c r="M1713" s="35"/>
      <c r="N1713" s="35"/>
      <c r="O1713" s="35"/>
      <c r="P1713" s="35"/>
      <c r="Q1713" s="35"/>
      <c r="R1713" s="35"/>
      <c r="S1713" s="35"/>
      <c r="T1713" s="35"/>
      <c r="U1713" s="35"/>
      <c r="V1713" s="35"/>
      <c r="W1713" s="35"/>
      <c r="X1713" s="35"/>
      <c r="Y1713" s="35"/>
      <c r="Z1713" s="35"/>
      <c r="AA1713" s="35"/>
      <c r="AB1713" s="35"/>
      <c r="AC1713" s="35"/>
      <c r="AD1713" s="35"/>
      <c r="AE1713" s="35"/>
      <c r="AF1713" s="35"/>
      <c r="AG1713" s="35"/>
      <c r="AH1713" s="35"/>
      <c r="AI1713" s="35"/>
      <c r="AJ1713" s="35"/>
      <c r="AK1713" s="35"/>
      <c r="AL1713" s="35"/>
      <c r="AM1713" s="35"/>
      <c r="AN1713" s="35"/>
      <c r="AO1713" s="35"/>
      <c r="AP1713" s="35"/>
      <c r="AQ1713" s="35"/>
      <c r="AR1713" s="35"/>
      <c r="AS1713" s="35"/>
      <c r="AT1713" s="35"/>
      <c r="AU1713" s="35"/>
      <c r="AV1713" s="35"/>
      <c r="AW1713" s="35"/>
      <c r="AX1713" s="35"/>
      <c r="AY1713" s="35"/>
      <c r="AZ1713" s="35"/>
      <c r="BA1713" s="35"/>
      <c r="BB1713" s="35"/>
      <c r="BC1713" s="35"/>
      <c r="BD1713" s="35"/>
      <c r="BE1713" s="35"/>
      <c r="BF1713" s="35"/>
      <c r="BG1713" s="35"/>
    </row>
    <row r="1714" ht="15.75" customHeight="1">
      <c r="A1714" s="35"/>
      <c r="B1714" s="35"/>
      <c r="C1714" s="35"/>
      <c r="D1714" s="35"/>
      <c r="E1714" s="35"/>
      <c r="F1714" s="35"/>
      <c r="G1714" s="35"/>
      <c r="H1714" s="35"/>
      <c r="I1714" s="35"/>
      <c r="J1714" s="35"/>
      <c r="K1714" s="35"/>
      <c r="L1714" s="35"/>
      <c r="M1714" s="35"/>
      <c r="N1714" s="35"/>
      <c r="O1714" s="35"/>
      <c r="P1714" s="35"/>
      <c r="Q1714" s="35"/>
      <c r="R1714" s="35"/>
      <c r="S1714" s="35"/>
      <c r="T1714" s="35"/>
      <c r="U1714" s="35"/>
      <c r="V1714" s="35"/>
      <c r="W1714" s="35"/>
      <c r="X1714" s="35"/>
      <c r="Y1714" s="35"/>
      <c r="Z1714" s="35"/>
      <c r="AA1714" s="35"/>
      <c r="AB1714" s="35"/>
      <c r="AC1714" s="35"/>
      <c r="AD1714" s="35"/>
      <c r="AE1714" s="35"/>
      <c r="AF1714" s="35"/>
      <c r="AG1714" s="35"/>
      <c r="AH1714" s="35"/>
      <c r="AI1714" s="35"/>
      <c r="AJ1714" s="35"/>
      <c r="AK1714" s="35"/>
      <c r="AL1714" s="35"/>
      <c r="AM1714" s="35"/>
      <c r="AN1714" s="35"/>
      <c r="AO1714" s="35"/>
      <c r="AP1714" s="35"/>
      <c r="AQ1714" s="35"/>
      <c r="AR1714" s="35"/>
      <c r="AS1714" s="35"/>
      <c r="AT1714" s="35"/>
      <c r="AU1714" s="35"/>
      <c r="AV1714" s="35"/>
      <c r="AW1714" s="35"/>
      <c r="AX1714" s="35"/>
      <c r="AY1714" s="35"/>
      <c r="AZ1714" s="35"/>
      <c r="BA1714" s="35"/>
      <c r="BB1714" s="35"/>
      <c r="BC1714" s="35"/>
      <c r="BD1714" s="35"/>
      <c r="BE1714" s="35"/>
      <c r="BF1714" s="35"/>
      <c r="BG1714" s="35"/>
    </row>
    <row r="1715" ht="15.75" customHeight="1">
      <c r="A1715" s="35"/>
      <c r="B1715" s="35"/>
      <c r="C1715" s="35"/>
      <c r="D1715" s="35"/>
      <c r="E1715" s="35"/>
      <c r="F1715" s="35"/>
      <c r="G1715" s="35"/>
      <c r="H1715" s="35"/>
      <c r="I1715" s="35"/>
      <c r="J1715" s="35"/>
      <c r="K1715" s="35"/>
      <c r="L1715" s="35"/>
      <c r="M1715" s="35"/>
      <c r="N1715" s="35"/>
      <c r="O1715" s="35"/>
      <c r="P1715" s="35"/>
      <c r="Q1715" s="35"/>
      <c r="R1715" s="35"/>
      <c r="S1715" s="35"/>
      <c r="T1715" s="35"/>
      <c r="U1715" s="35"/>
      <c r="V1715" s="35"/>
      <c r="W1715" s="35"/>
      <c r="X1715" s="35"/>
      <c r="Y1715" s="35"/>
      <c r="Z1715" s="35"/>
      <c r="AA1715" s="35"/>
      <c r="AB1715" s="35"/>
      <c r="AC1715" s="35"/>
      <c r="AD1715" s="35"/>
      <c r="AE1715" s="35"/>
      <c r="AF1715" s="35"/>
      <c r="AG1715" s="35"/>
      <c r="AH1715" s="35"/>
      <c r="AI1715" s="35"/>
      <c r="AJ1715" s="35"/>
      <c r="AK1715" s="35"/>
      <c r="AL1715" s="35"/>
      <c r="AM1715" s="35"/>
      <c r="AN1715" s="35"/>
      <c r="AO1715" s="35"/>
      <c r="AP1715" s="35"/>
      <c r="AQ1715" s="35"/>
      <c r="AR1715" s="35"/>
      <c r="AS1715" s="35"/>
      <c r="AT1715" s="35"/>
      <c r="AU1715" s="35"/>
      <c r="AV1715" s="35"/>
      <c r="AW1715" s="35"/>
      <c r="AX1715" s="35"/>
      <c r="AY1715" s="35"/>
      <c r="AZ1715" s="35"/>
      <c r="BA1715" s="35"/>
      <c r="BB1715" s="35"/>
      <c r="BC1715" s="35"/>
      <c r="BD1715" s="35"/>
      <c r="BE1715" s="35"/>
      <c r="BF1715" s="35"/>
      <c r="BG1715" s="35"/>
    </row>
    <row r="1716" ht="15.75" customHeight="1">
      <c r="A1716" s="35"/>
      <c r="B1716" s="35"/>
      <c r="C1716" s="35"/>
      <c r="D1716" s="35"/>
      <c r="E1716" s="35"/>
      <c r="F1716" s="35"/>
      <c r="G1716" s="35"/>
      <c r="H1716" s="35"/>
      <c r="I1716" s="35"/>
      <c r="J1716" s="35"/>
      <c r="K1716" s="35"/>
      <c r="L1716" s="35"/>
      <c r="M1716" s="35"/>
      <c r="N1716" s="35"/>
      <c r="O1716" s="35"/>
      <c r="P1716" s="35"/>
      <c r="Q1716" s="35"/>
      <c r="R1716" s="35"/>
      <c r="S1716" s="35"/>
      <c r="T1716" s="35"/>
      <c r="U1716" s="35"/>
      <c r="V1716" s="35"/>
      <c r="W1716" s="35"/>
      <c r="X1716" s="35"/>
      <c r="Y1716" s="35"/>
      <c r="Z1716" s="35"/>
      <c r="AA1716" s="35"/>
      <c r="AB1716" s="35"/>
      <c r="AC1716" s="35"/>
      <c r="AD1716" s="35"/>
      <c r="AE1716" s="35"/>
      <c r="AF1716" s="35"/>
      <c r="AG1716" s="35"/>
      <c r="AH1716" s="35"/>
      <c r="AI1716" s="35"/>
      <c r="AJ1716" s="35"/>
      <c r="AK1716" s="35"/>
      <c r="AL1716" s="35"/>
      <c r="AM1716" s="35"/>
      <c r="AN1716" s="35"/>
      <c r="AO1716" s="35"/>
      <c r="AP1716" s="35"/>
      <c r="AQ1716" s="35"/>
      <c r="AR1716" s="35"/>
      <c r="AS1716" s="35"/>
      <c r="AT1716" s="35"/>
      <c r="AU1716" s="35"/>
      <c r="AV1716" s="35"/>
      <c r="AW1716" s="35"/>
      <c r="AX1716" s="35"/>
      <c r="AY1716" s="35"/>
      <c r="AZ1716" s="35"/>
      <c r="BA1716" s="35"/>
      <c r="BB1716" s="35"/>
      <c r="BC1716" s="35"/>
      <c r="BD1716" s="35"/>
      <c r="BE1716" s="35"/>
      <c r="BF1716" s="35"/>
      <c r="BG1716" s="35"/>
    </row>
    <row r="1717" ht="15.75" customHeight="1">
      <c r="A1717" s="35"/>
      <c r="B1717" s="35"/>
      <c r="C1717" s="35"/>
      <c r="D1717" s="35"/>
      <c r="E1717" s="35"/>
      <c r="F1717" s="35"/>
      <c r="G1717" s="35"/>
      <c r="H1717" s="35"/>
      <c r="I1717" s="35"/>
      <c r="J1717" s="35"/>
      <c r="K1717" s="35"/>
      <c r="L1717" s="35"/>
      <c r="M1717" s="35"/>
      <c r="N1717" s="35"/>
      <c r="O1717" s="35"/>
      <c r="P1717" s="35"/>
      <c r="Q1717" s="35"/>
      <c r="R1717" s="35"/>
      <c r="S1717" s="35"/>
      <c r="T1717" s="35"/>
      <c r="U1717" s="35"/>
      <c r="V1717" s="35"/>
      <c r="W1717" s="35"/>
      <c r="X1717" s="35"/>
      <c r="Y1717" s="35"/>
      <c r="Z1717" s="35"/>
      <c r="AA1717" s="35"/>
      <c r="AB1717" s="35"/>
      <c r="AC1717" s="35"/>
      <c r="AD1717" s="35"/>
      <c r="AE1717" s="35"/>
      <c r="AF1717" s="35"/>
      <c r="AG1717" s="35"/>
      <c r="AH1717" s="35"/>
      <c r="AI1717" s="35"/>
      <c r="AJ1717" s="35"/>
      <c r="AK1717" s="35"/>
      <c r="AL1717" s="35"/>
      <c r="AM1717" s="35"/>
      <c r="AN1717" s="35"/>
      <c r="AO1717" s="35"/>
      <c r="AP1717" s="35"/>
      <c r="AQ1717" s="35"/>
      <c r="AR1717" s="35"/>
      <c r="AS1717" s="35"/>
      <c r="AT1717" s="35"/>
      <c r="AU1717" s="35"/>
      <c r="AV1717" s="35"/>
      <c r="AW1717" s="35"/>
      <c r="AX1717" s="35"/>
      <c r="AY1717" s="35"/>
      <c r="AZ1717" s="35"/>
      <c r="BA1717" s="35"/>
      <c r="BB1717" s="35"/>
      <c r="BC1717" s="35"/>
      <c r="BD1717" s="35"/>
      <c r="BE1717" s="35"/>
      <c r="BF1717" s="35"/>
      <c r="BG1717" s="35"/>
    </row>
    <row r="1718" ht="15.75" customHeight="1">
      <c r="A1718" s="35"/>
      <c r="B1718" s="35"/>
      <c r="C1718" s="35"/>
      <c r="D1718" s="35"/>
      <c r="E1718" s="35"/>
      <c r="F1718" s="35"/>
      <c r="G1718" s="35"/>
      <c r="H1718" s="35"/>
      <c r="I1718" s="35"/>
      <c r="J1718" s="35"/>
      <c r="K1718" s="35"/>
      <c r="L1718" s="35"/>
      <c r="M1718" s="35"/>
      <c r="N1718" s="35"/>
      <c r="O1718" s="35"/>
      <c r="P1718" s="35"/>
      <c r="Q1718" s="35"/>
      <c r="R1718" s="35"/>
      <c r="S1718" s="35"/>
      <c r="T1718" s="35"/>
      <c r="U1718" s="35"/>
      <c r="V1718" s="35"/>
      <c r="W1718" s="35"/>
      <c r="X1718" s="35"/>
      <c r="Y1718" s="35"/>
      <c r="Z1718" s="35"/>
      <c r="AA1718" s="35"/>
      <c r="AB1718" s="35"/>
      <c r="AC1718" s="35"/>
      <c r="AD1718" s="35"/>
      <c r="AE1718" s="35"/>
      <c r="AF1718" s="35"/>
      <c r="AG1718" s="35"/>
      <c r="AH1718" s="35"/>
      <c r="AI1718" s="35"/>
      <c r="AJ1718" s="35"/>
      <c r="AK1718" s="35"/>
      <c r="AL1718" s="35"/>
      <c r="AM1718" s="35"/>
      <c r="AN1718" s="35"/>
      <c r="AO1718" s="35"/>
      <c r="AP1718" s="35"/>
      <c r="AQ1718" s="35"/>
      <c r="AR1718" s="35"/>
      <c r="AS1718" s="35"/>
      <c r="AT1718" s="35"/>
      <c r="AU1718" s="35"/>
      <c r="AV1718" s="35"/>
      <c r="AW1718" s="35"/>
      <c r="AX1718" s="35"/>
      <c r="AY1718" s="35"/>
      <c r="AZ1718" s="35"/>
      <c r="BA1718" s="35"/>
      <c r="BB1718" s="35"/>
      <c r="BC1718" s="35"/>
      <c r="BD1718" s="35"/>
      <c r="BE1718" s="35"/>
      <c r="BF1718" s="35"/>
      <c r="BG1718" s="35"/>
    </row>
    <row r="1719" ht="15.75" customHeight="1">
      <c r="A1719" s="35"/>
      <c r="B1719" s="35"/>
      <c r="C1719" s="35"/>
      <c r="D1719" s="35"/>
      <c r="E1719" s="35"/>
      <c r="F1719" s="35"/>
      <c r="G1719" s="35"/>
      <c r="H1719" s="35"/>
      <c r="I1719" s="35"/>
      <c r="J1719" s="35"/>
      <c r="K1719" s="35"/>
      <c r="L1719" s="35"/>
      <c r="M1719" s="35"/>
      <c r="N1719" s="35"/>
      <c r="O1719" s="35"/>
      <c r="P1719" s="35"/>
      <c r="Q1719" s="35"/>
      <c r="R1719" s="35"/>
      <c r="S1719" s="35"/>
      <c r="T1719" s="35"/>
      <c r="U1719" s="35"/>
      <c r="V1719" s="35"/>
      <c r="W1719" s="35"/>
      <c r="X1719" s="35"/>
      <c r="Y1719" s="35"/>
      <c r="Z1719" s="35"/>
      <c r="AA1719" s="35"/>
      <c r="AB1719" s="35"/>
      <c r="AC1719" s="35"/>
      <c r="AD1719" s="35"/>
      <c r="AE1719" s="35"/>
      <c r="AF1719" s="35"/>
      <c r="AG1719" s="35"/>
      <c r="AH1719" s="35"/>
      <c r="AI1719" s="35"/>
      <c r="AJ1719" s="35"/>
      <c r="AK1719" s="35"/>
      <c r="AL1719" s="35"/>
      <c r="AM1719" s="35"/>
      <c r="AN1719" s="35"/>
      <c r="AO1719" s="35"/>
      <c r="AP1719" s="35"/>
      <c r="AQ1719" s="35"/>
      <c r="AR1719" s="35"/>
      <c r="AS1719" s="35"/>
      <c r="AT1719" s="35"/>
      <c r="AU1719" s="35"/>
      <c r="AV1719" s="35"/>
      <c r="AW1719" s="35"/>
      <c r="AX1719" s="35"/>
      <c r="AY1719" s="35"/>
      <c r="AZ1719" s="35"/>
      <c r="BA1719" s="35"/>
      <c r="BB1719" s="35"/>
      <c r="BC1719" s="35"/>
      <c r="BD1719" s="35"/>
      <c r="BE1719" s="35"/>
      <c r="BF1719" s="35"/>
      <c r="BG1719" s="35"/>
    </row>
    <row r="1720" ht="15.75" customHeight="1">
      <c r="A1720" s="35"/>
      <c r="B1720" s="35"/>
      <c r="C1720" s="35"/>
      <c r="D1720" s="35"/>
      <c r="E1720" s="35"/>
      <c r="F1720" s="35"/>
      <c r="G1720" s="35"/>
      <c r="H1720" s="35"/>
      <c r="I1720" s="35"/>
      <c r="J1720" s="35"/>
      <c r="K1720" s="35"/>
      <c r="L1720" s="35"/>
      <c r="M1720" s="35"/>
      <c r="N1720" s="35"/>
      <c r="O1720" s="35"/>
      <c r="P1720" s="35"/>
      <c r="Q1720" s="35"/>
      <c r="R1720" s="35"/>
      <c r="S1720" s="35"/>
      <c r="T1720" s="35"/>
      <c r="U1720" s="35"/>
      <c r="V1720" s="35"/>
      <c r="W1720" s="35"/>
      <c r="X1720" s="35"/>
      <c r="Y1720" s="35"/>
      <c r="Z1720" s="35"/>
      <c r="AA1720" s="35"/>
      <c r="AB1720" s="35"/>
      <c r="AC1720" s="35"/>
      <c r="AD1720" s="35"/>
      <c r="AE1720" s="35"/>
      <c r="AF1720" s="35"/>
      <c r="AG1720" s="35"/>
      <c r="AH1720" s="35"/>
      <c r="AI1720" s="35"/>
      <c r="AJ1720" s="35"/>
      <c r="AK1720" s="35"/>
      <c r="AL1720" s="35"/>
      <c r="AM1720" s="35"/>
      <c r="AN1720" s="35"/>
      <c r="AO1720" s="35"/>
      <c r="AP1720" s="35"/>
      <c r="AQ1720" s="35"/>
      <c r="AR1720" s="35"/>
      <c r="AS1720" s="35"/>
      <c r="AT1720" s="35"/>
      <c r="AU1720" s="35"/>
      <c r="AV1720" s="35"/>
      <c r="AW1720" s="35"/>
      <c r="AX1720" s="35"/>
      <c r="AY1720" s="35"/>
      <c r="AZ1720" s="35"/>
      <c r="BA1720" s="35"/>
      <c r="BB1720" s="35"/>
      <c r="BC1720" s="35"/>
      <c r="BD1720" s="35"/>
      <c r="BE1720" s="35"/>
      <c r="BF1720" s="35"/>
      <c r="BG1720" s="35"/>
    </row>
    <row r="1721" ht="15.75" customHeight="1">
      <c r="A1721" s="35"/>
      <c r="B1721" s="35"/>
      <c r="C1721" s="35"/>
      <c r="D1721" s="35"/>
      <c r="E1721" s="35"/>
      <c r="F1721" s="35"/>
      <c r="G1721" s="35"/>
      <c r="H1721" s="35"/>
      <c r="I1721" s="35"/>
      <c r="J1721" s="35"/>
      <c r="K1721" s="35"/>
      <c r="L1721" s="35"/>
      <c r="M1721" s="35"/>
      <c r="N1721" s="35"/>
      <c r="O1721" s="35"/>
      <c r="P1721" s="35"/>
      <c r="Q1721" s="35"/>
      <c r="R1721" s="35"/>
      <c r="S1721" s="35"/>
      <c r="T1721" s="35"/>
      <c r="U1721" s="35"/>
      <c r="V1721" s="35"/>
      <c r="W1721" s="35"/>
      <c r="X1721" s="35"/>
      <c r="Y1721" s="35"/>
      <c r="Z1721" s="35"/>
      <c r="AA1721" s="35"/>
      <c r="AB1721" s="35"/>
      <c r="AC1721" s="35"/>
      <c r="AD1721" s="35"/>
      <c r="AE1721" s="35"/>
      <c r="AF1721" s="35"/>
      <c r="AG1721" s="35"/>
      <c r="AH1721" s="35"/>
      <c r="AI1721" s="35"/>
      <c r="AJ1721" s="35"/>
      <c r="AK1721" s="35"/>
      <c r="AL1721" s="35"/>
      <c r="AM1721" s="35"/>
      <c r="AN1721" s="35"/>
      <c r="AO1721" s="35"/>
      <c r="AP1721" s="35"/>
      <c r="AQ1721" s="35"/>
      <c r="AR1721" s="35"/>
      <c r="AS1721" s="35"/>
      <c r="AT1721" s="35"/>
      <c r="AU1721" s="35"/>
      <c r="AV1721" s="35"/>
      <c r="AW1721" s="35"/>
      <c r="AX1721" s="35"/>
      <c r="AY1721" s="35"/>
      <c r="AZ1721" s="35"/>
      <c r="BA1721" s="35"/>
      <c r="BB1721" s="35"/>
      <c r="BC1721" s="35"/>
      <c r="BD1721" s="35"/>
      <c r="BE1721" s="35"/>
      <c r="BF1721" s="35"/>
      <c r="BG1721" s="35"/>
    </row>
    <row r="1722" ht="15.75" customHeight="1">
      <c r="A1722" s="35"/>
      <c r="B1722" s="35"/>
      <c r="C1722" s="35"/>
      <c r="D1722" s="35"/>
      <c r="E1722" s="35"/>
      <c r="F1722" s="35"/>
      <c r="G1722" s="35"/>
      <c r="H1722" s="35"/>
      <c r="I1722" s="35"/>
      <c r="J1722" s="35"/>
      <c r="K1722" s="35"/>
      <c r="L1722" s="35"/>
      <c r="M1722" s="35"/>
      <c r="N1722" s="35"/>
      <c r="O1722" s="35"/>
      <c r="P1722" s="35"/>
      <c r="Q1722" s="35"/>
      <c r="R1722" s="35"/>
      <c r="S1722" s="35"/>
      <c r="T1722" s="35"/>
      <c r="U1722" s="35"/>
      <c r="V1722" s="35"/>
      <c r="W1722" s="35"/>
      <c r="X1722" s="35"/>
      <c r="Y1722" s="35"/>
      <c r="Z1722" s="35"/>
      <c r="AA1722" s="35"/>
      <c r="AB1722" s="35"/>
      <c r="AC1722" s="35"/>
      <c r="AD1722" s="35"/>
      <c r="AE1722" s="35"/>
      <c r="AF1722" s="35"/>
      <c r="AG1722" s="35"/>
      <c r="AH1722" s="35"/>
      <c r="AI1722" s="35"/>
      <c r="AJ1722" s="35"/>
      <c r="AK1722" s="35"/>
      <c r="AL1722" s="35"/>
      <c r="AM1722" s="35"/>
      <c r="AN1722" s="35"/>
      <c r="AO1722" s="35"/>
      <c r="AP1722" s="35"/>
      <c r="AQ1722" s="35"/>
      <c r="AR1722" s="35"/>
      <c r="AS1722" s="35"/>
      <c r="AT1722" s="35"/>
      <c r="AU1722" s="35"/>
      <c r="AV1722" s="35"/>
      <c r="AW1722" s="35"/>
      <c r="AX1722" s="35"/>
      <c r="AY1722" s="35"/>
      <c r="AZ1722" s="35"/>
      <c r="BA1722" s="35"/>
      <c r="BB1722" s="35"/>
      <c r="BC1722" s="35"/>
      <c r="BD1722" s="35"/>
      <c r="BE1722" s="35"/>
      <c r="BF1722" s="35"/>
      <c r="BG1722" s="35"/>
    </row>
    <row r="1723" ht="15.75" customHeight="1">
      <c r="A1723" s="35"/>
      <c r="B1723" s="35"/>
      <c r="C1723" s="35"/>
      <c r="D1723" s="35"/>
      <c r="E1723" s="35"/>
      <c r="F1723" s="35"/>
      <c r="G1723" s="35"/>
      <c r="H1723" s="35"/>
      <c r="I1723" s="35"/>
      <c r="J1723" s="35"/>
      <c r="K1723" s="35"/>
      <c r="L1723" s="35"/>
      <c r="M1723" s="35"/>
      <c r="N1723" s="35"/>
      <c r="O1723" s="35"/>
      <c r="P1723" s="35"/>
      <c r="Q1723" s="35"/>
      <c r="R1723" s="35"/>
      <c r="S1723" s="35"/>
      <c r="T1723" s="35"/>
      <c r="U1723" s="35"/>
      <c r="V1723" s="35"/>
      <c r="W1723" s="35"/>
      <c r="X1723" s="35"/>
      <c r="Y1723" s="35"/>
      <c r="Z1723" s="35"/>
      <c r="AA1723" s="35"/>
      <c r="AB1723" s="35"/>
      <c r="AC1723" s="35"/>
      <c r="AD1723" s="35"/>
      <c r="AE1723" s="35"/>
      <c r="AF1723" s="35"/>
      <c r="AG1723" s="35"/>
      <c r="AH1723" s="35"/>
      <c r="AI1723" s="35"/>
      <c r="AJ1723" s="35"/>
      <c r="AK1723" s="35"/>
      <c r="AL1723" s="35"/>
      <c r="AM1723" s="35"/>
      <c r="AN1723" s="35"/>
      <c r="AO1723" s="35"/>
      <c r="AP1723" s="35"/>
      <c r="AQ1723" s="35"/>
      <c r="AR1723" s="35"/>
      <c r="AS1723" s="35"/>
      <c r="AT1723" s="35"/>
      <c r="AU1723" s="35"/>
      <c r="AV1723" s="35"/>
      <c r="AW1723" s="35"/>
      <c r="AX1723" s="35"/>
      <c r="AY1723" s="35"/>
      <c r="AZ1723" s="35"/>
      <c r="BA1723" s="35"/>
      <c r="BB1723" s="35"/>
      <c r="BC1723" s="35"/>
      <c r="BD1723" s="35"/>
      <c r="BE1723" s="35"/>
      <c r="BF1723" s="35"/>
      <c r="BG1723" s="35"/>
    </row>
    <row r="1724" ht="15.75" customHeight="1">
      <c r="A1724" s="35"/>
      <c r="B1724" s="35"/>
      <c r="C1724" s="35"/>
      <c r="D1724" s="35"/>
      <c r="E1724" s="35"/>
      <c r="F1724" s="35"/>
      <c r="G1724" s="35"/>
      <c r="H1724" s="35"/>
      <c r="I1724" s="35"/>
      <c r="J1724" s="35"/>
      <c r="K1724" s="35"/>
      <c r="L1724" s="35"/>
      <c r="M1724" s="35"/>
      <c r="N1724" s="35"/>
      <c r="O1724" s="35"/>
      <c r="P1724" s="35"/>
      <c r="Q1724" s="35"/>
      <c r="R1724" s="35"/>
      <c r="S1724" s="35"/>
      <c r="T1724" s="35"/>
      <c r="U1724" s="35"/>
      <c r="V1724" s="35"/>
      <c r="W1724" s="35"/>
      <c r="X1724" s="35"/>
      <c r="Y1724" s="35"/>
      <c r="Z1724" s="35"/>
      <c r="AA1724" s="35"/>
      <c r="AB1724" s="35"/>
      <c r="AC1724" s="35"/>
      <c r="AD1724" s="35"/>
      <c r="AE1724" s="35"/>
      <c r="AF1724" s="35"/>
      <c r="AG1724" s="35"/>
      <c r="AH1724" s="35"/>
      <c r="AI1724" s="35"/>
      <c r="AJ1724" s="35"/>
      <c r="AK1724" s="35"/>
      <c r="AL1724" s="35"/>
      <c r="AM1724" s="35"/>
      <c r="AN1724" s="35"/>
      <c r="AO1724" s="35"/>
      <c r="AP1724" s="35"/>
      <c r="AQ1724" s="35"/>
      <c r="AR1724" s="35"/>
      <c r="AS1724" s="35"/>
      <c r="AT1724" s="35"/>
      <c r="AU1724" s="35"/>
      <c r="AV1724" s="35"/>
      <c r="AW1724" s="35"/>
      <c r="AX1724" s="35"/>
      <c r="AY1724" s="35"/>
      <c r="AZ1724" s="35"/>
      <c r="BA1724" s="35"/>
      <c r="BB1724" s="35"/>
      <c r="BC1724" s="35"/>
      <c r="BD1724" s="35"/>
      <c r="BE1724" s="35"/>
      <c r="BF1724" s="35"/>
      <c r="BG1724" s="35"/>
    </row>
    <row r="1725" ht="15.75" customHeight="1">
      <c r="A1725" s="35"/>
      <c r="B1725" s="35"/>
      <c r="C1725" s="35"/>
      <c r="D1725" s="35"/>
      <c r="E1725" s="35"/>
      <c r="F1725" s="35"/>
      <c r="G1725" s="35"/>
      <c r="H1725" s="35"/>
      <c r="I1725" s="35"/>
      <c r="J1725" s="35"/>
      <c r="K1725" s="35"/>
      <c r="L1725" s="35"/>
      <c r="M1725" s="35"/>
      <c r="N1725" s="35"/>
      <c r="O1725" s="35"/>
      <c r="P1725" s="35"/>
      <c r="Q1725" s="35"/>
      <c r="R1725" s="35"/>
      <c r="S1725" s="35"/>
      <c r="T1725" s="35"/>
      <c r="U1725" s="35"/>
      <c r="V1725" s="35"/>
      <c r="W1725" s="35"/>
      <c r="X1725" s="35"/>
      <c r="Y1725" s="35"/>
      <c r="Z1725" s="35"/>
      <c r="AA1725" s="35"/>
      <c r="AB1725" s="35"/>
      <c r="AC1725" s="35"/>
      <c r="AD1725" s="35"/>
      <c r="AE1725" s="35"/>
      <c r="AF1725" s="35"/>
      <c r="AG1725" s="35"/>
      <c r="AH1725" s="35"/>
      <c r="AI1725" s="35"/>
      <c r="AJ1725" s="35"/>
      <c r="AK1725" s="35"/>
      <c r="AL1725" s="35"/>
      <c r="AM1725" s="35"/>
      <c r="AN1725" s="35"/>
      <c r="AO1725" s="35"/>
      <c r="AP1725" s="35"/>
      <c r="AQ1725" s="35"/>
      <c r="AR1725" s="35"/>
      <c r="AS1725" s="35"/>
      <c r="AT1725" s="35"/>
      <c r="AU1725" s="35"/>
      <c r="AV1725" s="35"/>
      <c r="AW1725" s="35"/>
      <c r="AX1725" s="35"/>
      <c r="AY1725" s="35"/>
      <c r="AZ1725" s="35"/>
      <c r="BA1725" s="35"/>
      <c r="BB1725" s="35"/>
      <c r="BC1725" s="35"/>
      <c r="BD1725" s="35"/>
      <c r="BE1725" s="35"/>
      <c r="BF1725" s="35"/>
      <c r="BG1725" s="35"/>
    </row>
    <row r="1726" ht="15.75" customHeight="1">
      <c r="A1726" s="35"/>
      <c r="B1726" s="35"/>
      <c r="C1726" s="35"/>
      <c r="D1726" s="35"/>
      <c r="E1726" s="35"/>
      <c r="F1726" s="35"/>
      <c r="G1726" s="35"/>
      <c r="H1726" s="35"/>
      <c r="I1726" s="35"/>
      <c r="J1726" s="35"/>
      <c r="K1726" s="35"/>
      <c r="L1726" s="35"/>
      <c r="M1726" s="35"/>
      <c r="N1726" s="35"/>
      <c r="O1726" s="35"/>
      <c r="P1726" s="35"/>
      <c r="Q1726" s="35"/>
      <c r="R1726" s="35"/>
      <c r="S1726" s="35"/>
      <c r="T1726" s="35"/>
      <c r="U1726" s="35"/>
      <c r="V1726" s="35"/>
      <c r="W1726" s="35"/>
      <c r="X1726" s="35"/>
      <c r="Y1726" s="35"/>
      <c r="Z1726" s="35"/>
      <c r="AA1726" s="35"/>
      <c r="AB1726" s="35"/>
      <c r="AC1726" s="35"/>
      <c r="AD1726" s="35"/>
      <c r="AE1726" s="35"/>
      <c r="AF1726" s="35"/>
      <c r="AG1726" s="35"/>
      <c r="AH1726" s="35"/>
      <c r="AI1726" s="35"/>
      <c r="AJ1726" s="35"/>
      <c r="AK1726" s="35"/>
      <c r="AL1726" s="35"/>
      <c r="AM1726" s="35"/>
      <c r="AN1726" s="35"/>
      <c r="AO1726" s="35"/>
      <c r="AP1726" s="35"/>
      <c r="AQ1726" s="35"/>
      <c r="AR1726" s="35"/>
      <c r="AS1726" s="35"/>
      <c r="AT1726" s="35"/>
      <c r="AU1726" s="35"/>
      <c r="AV1726" s="35"/>
      <c r="AW1726" s="35"/>
      <c r="AX1726" s="35"/>
      <c r="AY1726" s="35"/>
      <c r="AZ1726" s="35"/>
      <c r="BA1726" s="35"/>
      <c r="BB1726" s="35"/>
      <c r="BC1726" s="35"/>
      <c r="BD1726" s="35"/>
      <c r="BE1726" s="35"/>
      <c r="BF1726" s="35"/>
      <c r="BG1726" s="35"/>
    </row>
    <row r="1727" ht="15.75" customHeight="1">
      <c r="A1727" s="35"/>
      <c r="B1727" s="35"/>
      <c r="C1727" s="35"/>
      <c r="D1727" s="35"/>
      <c r="E1727" s="35"/>
      <c r="F1727" s="35"/>
      <c r="G1727" s="35"/>
      <c r="H1727" s="35"/>
      <c r="I1727" s="35"/>
      <c r="J1727" s="35"/>
      <c r="K1727" s="35"/>
      <c r="L1727" s="35"/>
      <c r="M1727" s="35"/>
      <c r="N1727" s="35"/>
      <c r="O1727" s="35"/>
      <c r="P1727" s="35"/>
      <c r="Q1727" s="35"/>
      <c r="R1727" s="35"/>
      <c r="S1727" s="35"/>
      <c r="T1727" s="35"/>
      <c r="U1727" s="35"/>
      <c r="V1727" s="35"/>
      <c r="W1727" s="35"/>
      <c r="X1727" s="35"/>
      <c r="Y1727" s="35"/>
      <c r="Z1727" s="35"/>
      <c r="AA1727" s="35"/>
      <c r="AB1727" s="35"/>
      <c r="AC1727" s="35"/>
      <c r="AD1727" s="35"/>
      <c r="AE1727" s="35"/>
      <c r="AF1727" s="35"/>
      <c r="AG1727" s="35"/>
      <c r="AH1727" s="35"/>
      <c r="AI1727" s="35"/>
      <c r="AJ1727" s="35"/>
      <c r="AK1727" s="35"/>
      <c r="AL1727" s="35"/>
      <c r="AM1727" s="35"/>
      <c r="AN1727" s="35"/>
      <c r="AO1727" s="35"/>
      <c r="AP1727" s="35"/>
      <c r="AQ1727" s="35"/>
      <c r="AR1727" s="35"/>
      <c r="AS1727" s="35"/>
      <c r="AT1727" s="35"/>
      <c r="AU1727" s="35"/>
      <c r="AV1727" s="35"/>
      <c r="AW1727" s="35"/>
      <c r="AX1727" s="35"/>
      <c r="AY1727" s="35"/>
      <c r="AZ1727" s="35"/>
      <c r="BA1727" s="35"/>
      <c r="BB1727" s="35"/>
      <c r="BC1727" s="35"/>
      <c r="BD1727" s="35"/>
      <c r="BE1727" s="35"/>
      <c r="BF1727" s="35"/>
      <c r="BG1727" s="35"/>
    </row>
    <row r="1728" ht="15.75" customHeight="1">
      <c r="A1728" s="35"/>
      <c r="B1728" s="35"/>
      <c r="C1728" s="35"/>
      <c r="D1728" s="35"/>
      <c r="E1728" s="35"/>
      <c r="F1728" s="35"/>
      <c r="G1728" s="35"/>
      <c r="H1728" s="35"/>
      <c r="I1728" s="35"/>
      <c r="J1728" s="35"/>
      <c r="K1728" s="35"/>
      <c r="L1728" s="35"/>
      <c r="M1728" s="35"/>
      <c r="N1728" s="35"/>
      <c r="O1728" s="35"/>
      <c r="P1728" s="35"/>
      <c r="Q1728" s="35"/>
      <c r="R1728" s="35"/>
      <c r="S1728" s="35"/>
      <c r="T1728" s="35"/>
      <c r="U1728" s="35"/>
      <c r="V1728" s="35"/>
      <c r="W1728" s="35"/>
      <c r="X1728" s="35"/>
      <c r="Y1728" s="35"/>
      <c r="Z1728" s="35"/>
      <c r="AA1728" s="35"/>
      <c r="AB1728" s="35"/>
      <c r="AC1728" s="35"/>
      <c r="AD1728" s="35"/>
      <c r="AE1728" s="35"/>
      <c r="AF1728" s="35"/>
      <c r="AG1728" s="35"/>
      <c r="AH1728" s="35"/>
      <c r="AI1728" s="35"/>
      <c r="AJ1728" s="35"/>
      <c r="AK1728" s="35"/>
      <c r="AL1728" s="35"/>
      <c r="AM1728" s="35"/>
      <c r="AN1728" s="35"/>
      <c r="AO1728" s="35"/>
      <c r="AP1728" s="35"/>
      <c r="AQ1728" s="35"/>
      <c r="AR1728" s="35"/>
      <c r="AS1728" s="35"/>
      <c r="AT1728" s="35"/>
      <c r="AU1728" s="35"/>
      <c r="AV1728" s="35"/>
      <c r="AW1728" s="35"/>
      <c r="AX1728" s="35"/>
      <c r="AY1728" s="35"/>
      <c r="AZ1728" s="35"/>
      <c r="BA1728" s="35"/>
      <c r="BB1728" s="35"/>
      <c r="BC1728" s="35"/>
      <c r="BD1728" s="35"/>
      <c r="BE1728" s="35"/>
      <c r="BF1728" s="35"/>
      <c r="BG1728" s="35"/>
    </row>
    <row r="1729" ht="15.75" customHeight="1">
      <c r="A1729" s="35"/>
      <c r="B1729" s="35"/>
      <c r="C1729" s="35"/>
      <c r="D1729" s="35"/>
      <c r="E1729" s="35"/>
      <c r="F1729" s="35"/>
      <c r="G1729" s="35"/>
      <c r="H1729" s="35"/>
      <c r="I1729" s="35"/>
      <c r="J1729" s="35"/>
      <c r="K1729" s="35"/>
      <c r="L1729" s="35"/>
      <c r="M1729" s="35"/>
      <c r="N1729" s="35"/>
      <c r="O1729" s="35"/>
      <c r="P1729" s="35"/>
      <c r="Q1729" s="35"/>
      <c r="R1729" s="35"/>
      <c r="S1729" s="35"/>
      <c r="T1729" s="35"/>
      <c r="U1729" s="35"/>
      <c r="V1729" s="35"/>
      <c r="W1729" s="35"/>
      <c r="X1729" s="35"/>
      <c r="Y1729" s="35"/>
      <c r="Z1729" s="35"/>
      <c r="AA1729" s="35"/>
      <c r="AB1729" s="35"/>
      <c r="AC1729" s="35"/>
      <c r="AD1729" s="35"/>
      <c r="AE1729" s="35"/>
      <c r="AF1729" s="35"/>
      <c r="AG1729" s="35"/>
      <c r="AH1729" s="35"/>
      <c r="AI1729" s="35"/>
      <c r="AJ1729" s="35"/>
      <c r="AK1729" s="35"/>
      <c r="AL1729" s="35"/>
      <c r="AM1729" s="35"/>
      <c r="AN1729" s="35"/>
      <c r="AO1729" s="35"/>
      <c r="AP1729" s="35"/>
      <c r="AQ1729" s="35"/>
      <c r="AR1729" s="35"/>
      <c r="AS1729" s="35"/>
      <c r="AT1729" s="35"/>
      <c r="AU1729" s="35"/>
      <c r="AV1729" s="35"/>
      <c r="AW1729" s="35"/>
      <c r="AX1729" s="35"/>
      <c r="AY1729" s="35"/>
      <c r="AZ1729" s="35"/>
      <c r="BA1729" s="35"/>
      <c r="BB1729" s="35"/>
      <c r="BC1729" s="35"/>
      <c r="BD1729" s="35"/>
      <c r="BE1729" s="35"/>
      <c r="BF1729" s="35"/>
      <c r="BG1729" s="35"/>
    </row>
    <row r="1730" ht="15.75" customHeight="1">
      <c r="A1730" s="35"/>
      <c r="B1730" s="35"/>
      <c r="C1730" s="35"/>
      <c r="D1730" s="35"/>
      <c r="E1730" s="35"/>
      <c r="F1730" s="35"/>
      <c r="G1730" s="35"/>
      <c r="H1730" s="35"/>
      <c r="I1730" s="35"/>
      <c r="J1730" s="35"/>
      <c r="K1730" s="35"/>
      <c r="L1730" s="35"/>
      <c r="M1730" s="35"/>
      <c r="N1730" s="35"/>
      <c r="O1730" s="35"/>
      <c r="P1730" s="35"/>
      <c r="Q1730" s="35"/>
      <c r="R1730" s="35"/>
      <c r="S1730" s="35"/>
      <c r="T1730" s="35"/>
      <c r="U1730" s="35"/>
      <c r="V1730" s="35"/>
      <c r="W1730" s="35"/>
      <c r="X1730" s="35"/>
      <c r="Y1730" s="35"/>
      <c r="Z1730" s="35"/>
      <c r="AA1730" s="35"/>
      <c r="AB1730" s="35"/>
      <c r="AC1730" s="35"/>
      <c r="AD1730" s="35"/>
      <c r="AE1730" s="35"/>
      <c r="AF1730" s="35"/>
      <c r="AG1730" s="35"/>
      <c r="AH1730" s="35"/>
      <c r="AI1730" s="35"/>
      <c r="AJ1730" s="35"/>
      <c r="AK1730" s="35"/>
      <c r="AL1730" s="35"/>
      <c r="AM1730" s="35"/>
      <c r="AN1730" s="35"/>
      <c r="AO1730" s="35"/>
      <c r="AP1730" s="35"/>
      <c r="AQ1730" s="35"/>
      <c r="AR1730" s="35"/>
      <c r="AS1730" s="35"/>
      <c r="AT1730" s="35"/>
      <c r="AU1730" s="35"/>
      <c r="AV1730" s="35"/>
      <c r="AW1730" s="35"/>
      <c r="AX1730" s="35"/>
      <c r="AY1730" s="35"/>
      <c r="AZ1730" s="35"/>
      <c r="BA1730" s="35"/>
      <c r="BB1730" s="35"/>
      <c r="BC1730" s="35"/>
      <c r="BD1730" s="35"/>
      <c r="BE1730" s="35"/>
      <c r="BF1730" s="35"/>
      <c r="BG1730" s="35"/>
    </row>
    <row r="1731" ht="15.75" customHeight="1">
      <c r="A1731" s="35"/>
      <c r="B1731" s="35"/>
      <c r="C1731" s="35"/>
      <c r="D1731" s="35"/>
      <c r="E1731" s="35"/>
      <c r="F1731" s="35"/>
      <c r="G1731" s="35"/>
      <c r="H1731" s="35"/>
      <c r="I1731" s="35"/>
      <c r="J1731" s="35"/>
      <c r="K1731" s="35"/>
      <c r="L1731" s="35"/>
      <c r="M1731" s="35"/>
      <c r="N1731" s="35"/>
      <c r="O1731" s="35"/>
      <c r="P1731" s="35"/>
      <c r="Q1731" s="35"/>
      <c r="R1731" s="35"/>
      <c r="S1731" s="35"/>
      <c r="T1731" s="35"/>
      <c r="U1731" s="35"/>
      <c r="V1731" s="35"/>
      <c r="W1731" s="35"/>
      <c r="X1731" s="35"/>
      <c r="Y1731" s="35"/>
      <c r="Z1731" s="35"/>
      <c r="AA1731" s="35"/>
      <c r="AB1731" s="35"/>
      <c r="AC1731" s="35"/>
      <c r="AD1731" s="35"/>
      <c r="AE1731" s="35"/>
      <c r="AF1731" s="35"/>
      <c r="AG1731" s="35"/>
      <c r="AH1731" s="35"/>
      <c r="AI1731" s="35"/>
      <c r="AJ1731" s="35"/>
      <c r="AK1731" s="35"/>
      <c r="AL1731" s="35"/>
      <c r="AM1731" s="35"/>
      <c r="AN1731" s="35"/>
      <c r="AO1731" s="35"/>
      <c r="AP1731" s="35"/>
      <c r="AQ1731" s="35"/>
      <c r="AR1731" s="35"/>
      <c r="AS1731" s="35"/>
      <c r="AT1731" s="35"/>
      <c r="AU1731" s="35"/>
      <c r="AV1731" s="35"/>
      <c r="AW1731" s="35"/>
      <c r="AX1731" s="35"/>
      <c r="AY1731" s="35"/>
      <c r="AZ1731" s="35"/>
      <c r="BA1731" s="35"/>
      <c r="BB1731" s="35"/>
      <c r="BC1731" s="35"/>
      <c r="BD1731" s="35"/>
      <c r="BE1731" s="35"/>
      <c r="BF1731" s="35"/>
      <c r="BG1731" s="35"/>
    </row>
    <row r="1732" ht="15.75" customHeight="1">
      <c r="A1732" s="35"/>
      <c r="B1732" s="35"/>
      <c r="C1732" s="35"/>
      <c r="D1732" s="35"/>
      <c r="E1732" s="35"/>
      <c r="F1732" s="35"/>
      <c r="G1732" s="35"/>
      <c r="H1732" s="35"/>
      <c r="I1732" s="35"/>
      <c r="J1732" s="35"/>
      <c r="K1732" s="35"/>
      <c r="L1732" s="35"/>
      <c r="M1732" s="35"/>
      <c r="N1732" s="35"/>
      <c r="O1732" s="35"/>
      <c r="P1732" s="35"/>
      <c r="Q1732" s="35"/>
      <c r="R1732" s="35"/>
      <c r="S1732" s="35"/>
      <c r="T1732" s="35"/>
      <c r="U1732" s="35"/>
      <c r="V1732" s="35"/>
      <c r="W1732" s="35"/>
      <c r="X1732" s="35"/>
      <c r="Y1732" s="35"/>
      <c r="Z1732" s="35"/>
      <c r="AA1732" s="35"/>
      <c r="AB1732" s="35"/>
      <c r="AC1732" s="35"/>
      <c r="AD1732" s="35"/>
      <c r="AE1732" s="35"/>
      <c r="AF1732" s="35"/>
      <c r="AG1732" s="35"/>
      <c r="AH1732" s="35"/>
      <c r="AI1732" s="35"/>
      <c r="AJ1732" s="35"/>
      <c r="AK1732" s="35"/>
      <c r="AL1732" s="35"/>
      <c r="AM1732" s="35"/>
      <c r="AN1732" s="35"/>
      <c r="AO1732" s="35"/>
      <c r="AP1732" s="35"/>
      <c r="AQ1732" s="35"/>
      <c r="AR1732" s="35"/>
      <c r="AS1732" s="35"/>
      <c r="AT1732" s="35"/>
      <c r="AU1732" s="35"/>
      <c r="AV1732" s="35"/>
      <c r="AW1732" s="35"/>
      <c r="AX1732" s="35"/>
      <c r="AY1732" s="35"/>
      <c r="AZ1732" s="35"/>
      <c r="BA1732" s="35"/>
      <c r="BB1732" s="35"/>
      <c r="BC1732" s="35"/>
      <c r="BD1732" s="35"/>
      <c r="BE1732" s="35"/>
      <c r="BF1732" s="35"/>
      <c r="BG1732" s="35"/>
    </row>
    <row r="1733" ht="15.75" customHeight="1">
      <c r="A1733" s="35"/>
      <c r="B1733" s="35"/>
      <c r="C1733" s="35"/>
      <c r="D1733" s="35"/>
      <c r="E1733" s="35"/>
      <c r="F1733" s="35"/>
      <c r="G1733" s="35"/>
      <c r="H1733" s="35"/>
      <c r="I1733" s="35"/>
      <c r="J1733" s="35"/>
      <c r="K1733" s="35"/>
      <c r="L1733" s="35"/>
      <c r="M1733" s="35"/>
      <c r="N1733" s="35"/>
      <c r="O1733" s="35"/>
      <c r="P1733" s="35"/>
      <c r="Q1733" s="35"/>
      <c r="R1733" s="35"/>
      <c r="S1733" s="35"/>
      <c r="T1733" s="35"/>
      <c r="U1733" s="35"/>
      <c r="V1733" s="35"/>
      <c r="W1733" s="35"/>
      <c r="X1733" s="35"/>
      <c r="Y1733" s="35"/>
      <c r="Z1733" s="35"/>
      <c r="AA1733" s="35"/>
      <c r="AB1733" s="35"/>
      <c r="AC1733" s="35"/>
      <c r="AD1733" s="35"/>
      <c r="AE1733" s="35"/>
      <c r="AF1733" s="35"/>
      <c r="AG1733" s="35"/>
      <c r="AH1733" s="35"/>
      <c r="AI1733" s="35"/>
      <c r="AJ1733" s="35"/>
      <c r="AK1733" s="35"/>
      <c r="AL1733" s="35"/>
      <c r="AM1733" s="35"/>
      <c r="AN1733" s="35"/>
      <c r="AO1733" s="35"/>
      <c r="AP1733" s="35"/>
      <c r="AQ1733" s="35"/>
      <c r="AR1733" s="35"/>
      <c r="AS1733" s="35"/>
      <c r="AT1733" s="35"/>
      <c r="AU1733" s="35"/>
      <c r="AV1733" s="35"/>
      <c r="AW1733" s="35"/>
      <c r="AX1733" s="35"/>
      <c r="AY1733" s="35"/>
      <c r="AZ1733" s="35"/>
      <c r="BA1733" s="35"/>
      <c r="BB1733" s="35"/>
      <c r="BC1733" s="35"/>
      <c r="BD1733" s="35"/>
      <c r="BE1733" s="35"/>
      <c r="BF1733" s="35"/>
      <c r="BG1733" s="35"/>
    </row>
    <row r="1734" ht="15.75" customHeight="1">
      <c r="A1734" s="35"/>
      <c r="B1734" s="35"/>
      <c r="C1734" s="35"/>
      <c r="D1734" s="35"/>
      <c r="E1734" s="35"/>
      <c r="F1734" s="35"/>
      <c r="G1734" s="35"/>
      <c r="H1734" s="35"/>
      <c r="I1734" s="35"/>
      <c r="J1734" s="35"/>
      <c r="K1734" s="35"/>
      <c r="L1734" s="35"/>
      <c r="M1734" s="35"/>
      <c r="N1734" s="35"/>
      <c r="O1734" s="35"/>
      <c r="P1734" s="35"/>
      <c r="Q1734" s="35"/>
      <c r="R1734" s="35"/>
      <c r="S1734" s="35"/>
      <c r="T1734" s="35"/>
      <c r="U1734" s="35"/>
      <c r="V1734" s="35"/>
      <c r="W1734" s="35"/>
      <c r="X1734" s="35"/>
      <c r="Y1734" s="35"/>
      <c r="Z1734" s="35"/>
      <c r="AA1734" s="35"/>
      <c r="AB1734" s="35"/>
      <c r="AC1734" s="35"/>
      <c r="AD1734" s="35"/>
      <c r="AE1734" s="35"/>
      <c r="AF1734" s="35"/>
      <c r="AG1734" s="35"/>
      <c r="AH1734" s="35"/>
      <c r="AI1734" s="35"/>
      <c r="AJ1734" s="35"/>
      <c r="AK1734" s="35"/>
      <c r="AL1734" s="35"/>
      <c r="AM1734" s="35"/>
      <c r="AN1734" s="35"/>
      <c r="AO1734" s="35"/>
      <c r="AP1734" s="35"/>
      <c r="AQ1734" s="35"/>
      <c r="AR1734" s="35"/>
      <c r="AS1734" s="35"/>
      <c r="AT1734" s="35"/>
      <c r="AU1734" s="35"/>
      <c r="AV1734" s="35"/>
      <c r="AW1734" s="35"/>
      <c r="AX1734" s="35"/>
      <c r="AY1734" s="35"/>
      <c r="AZ1734" s="35"/>
      <c r="BA1734" s="35"/>
      <c r="BB1734" s="35"/>
      <c r="BC1734" s="35"/>
      <c r="BD1734" s="35"/>
      <c r="BE1734" s="35"/>
      <c r="BF1734" s="35"/>
      <c r="BG1734" s="35"/>
    </row>
    <row r="1735" ht="15.75" customHeight="1">
      <c r="A1735" s="35"/>
      <c r="B1735" s="35"/>
      <c r="C1735" s="35"/>
      <c r="D1735" s="35"/>
      <c r="E1735" s="35"/>
      <c r="F1735" s="35"/>
      <c r="G1735" s="35"/>
      <c r="H1735" s="35"/>
      <c r="I1735" s="35"/>
      <c r="J1735" s="35"/>
      <c r="K1735" s="35"/>
      <c r="L1735" s="35"/>
      <c r="M1735" s="35"/>
      <c r="N1735" s="35"/>
      <c r="O1735" s="35"/>
      <c r="P1735" s="35"/>
      <c r="Q1735" s="35"/>
      <c r="R1735" s="35"/>
      <c r="S1735" s="35"/>
      <c r="T1735" s="35"/>
      <c r="U1735" s="35"/>
      <c r="V1735" s="35"/>
      <c r="W1735" s="35"/>
      <c r="X1735" s="35"/>
      <c r="Y1735" s="35"/>
      <c r="Z1735" s="35"/>
      <c r="AA1735" s="35"/>
      <c r="AB1735" s="35"/>
      <c r="AC1735" s="35"/>
      <c r="AD1735" s="35"/>
      <c r="AE1735" s="35"/>
      <c r="AF1735" s="35"/>
      <c r="AG1735" s="35"/>
      <c r="AH1735" s="35"/>
      <c r="AI1735" s="35"/>
      <c r="AJ1735" s="35"/>
      <c r="AK1735" s="35"/>
      <c r="AL1735" s="35"/>
      <c r="AM1735" s="35"/>
      <c r="AN1735" s="35"/>
      <c r="AO1735" s="35"/>
      <c r="AP1735" s="35"/>
      <c r="AQ1735" s="35"/>
      <c r="AR1735" s="35"/>
      <c r="AS1735" s="35"/>
      <c r="AT1735" s="35"/>
      <c r="AU1735" s="35"/>
      <c r="AV1735" s="35"/>
      <c r="AW1735" s="35"/>
      <c r="AX1735" s="35"/>
      <c r="AY1735" s="35"/>
      <c r="AZ1735" s="35"/>
      <c r="BA1735" s="35"/>
      <c r="BB1735" s="35"/>
      <c r="BC1735" s="35"/>
      <c r="BD1735" s="35"/>
      <c r="BE1735" s="35"/>
      <c r="BF1735" s="35"/>
      <c r="BG1735" s="35"/>
    </row>
    <row r="1736" ht="15.75" customHeight="1">
      <c r="A1736" s="35"/>
      <c r="B1736" s="35"/>
      <c r="C1736" s="35"/>
      <c r="D1736" s="35"/>
      <c r="E1736" s="35"/>
      <c r="F1736" s="35"/>
      <c r="G1736" s="35"/>
      <c r="H1736" s="35"/>
      <c r="I1736" s="35"/>
      <c r="J1736" s="35"/>
      <c r="K1736" s="35"/>
      <c r="L1736" s="35"/>
      <c r="M1736" s="35"/>
      <c r="N1736" s="35"/>
      <c r="O1736" s="35"/>
      <c r="P1736" s="35"/>
      <c r="Q1736" s="35"/>
      <c r="R1736" s="35"/>
      <c r="S1736" s="35"/>
      <c r="T1736" s="35"/>
      <c r="U1736" s="35"/>
      <c r="V1736" s="35"/>
      <c r="W1736" s="35"/>
      <c r="X1736" s="35"/>
      <c r="Y1736" s="35"/>
      <c r="Z1736" s="35"/>
      <c r="AA1736" s="35"/>
      <c r="AB1736" s="35"/>
      <c r="AC1736" s="35"/>
      <c r="AD1736" s="35"/>
      <c r="AE1736" s="35"/>
      <c r="AF1736" s="35"/>
      <c r="AG1736" s="35"/>
      <c r="AH1736" s="35"/>
      <c r="AI1736" s="35"/>
      <c r="AJ1736" s="35"/>
      <c r="AK1736" s="35"/>
      <c r="AL1736" s="35"/>
      <c r="AM1736" s="35"/>
      <c r="AN1736" s="35"/>
      <c r="AO1736" s="35"/>
      <c r="AP1736" s="35"/>
      <c r="AQ1736" s="35"/>
      <c r="AR1736" s="35"/>
      <c r="AS1736" s="35"/>
      <c r="AT1736" s="35"/>
      <c r="AU1736" s="35"/>
      <c r="AV1736" s="35"/>
      <c r="AW1736" s="35"/>
      <c r="AX1736" s="35"/>
      <c r="AY1736" s="35"/>
      <c r="AZ1736" s="35"/>
      <c r="BA1736" s="35"/>
      <c r="BB1736" s="35"/>
      <c r="BC1736" s="35"/>
      <c r="BD1736" s="35"/>
      <c r="BE1736" s="35"/>
      <c r="BF1736" s="35"/>
      <c r="BG1736" s="35"/>
    </row>
    <row r="1737" ht="15.75" customHeight="1">
      <c r="A1737" s="35"/>
      <c r="B1737" s="35"/>
      <c r="C1737" s="35"/>
      <c r="D1737" s="35"/>
      <c r="E1737" s="35"/>
      <c r="F1737" s="35"/>
      <c r="G1737" s="35"/>
      <c r="H1737" s="35"/>
      <c r="I1737" s="35"/>
      <c r="J1737" s="35"/>
      <c r="K1737" s="35"/>
      <c r="L1737" s="35"/>
      <c r="M1737" s="35"/>
      <c r="N1737" s="35"/>
      <c r="O1737" s="35"/>
      <c r="P1737" s="35"/>
      <c r="Q1737" s="35"/>
      <c r="R1737" s="35"/>
      <c r="S1737" s="35"/>
      <c r="T1737" s="35"/>
      <c r="U1737" s="35"/>
      <c r="V1737" s="35"/>
      <c r="W1737" s="35"/>
      <c r="X1737" s="35"/>
      <c r="Y1737" s="35"/>
      <c r="Z1737" s="35"/>
      <c r="AA1737" s="35"/>
      <c r="AB1737" s="35"/>
      <c r="AC1737" s="35"/>
      <c r="AD1737" s="35"/>
      <c r="AE1737" s="35"/>
      <c r="AF1737" s="35"/>
      <c r="AG1737" s="35"/>
      <c r="AH1737" s="35"/>
      <c r="AI1737" s="35"/>
      <c r="AJ1737" s="35"/>
      <c r="AK1737" s="35"/>
      <c r="AL1737" s="35"/>
      <c r="AM1737" s="35"/>
      <c r="AN1737" s="35"/>
      <c r="AO1737" s="35"/>
      <c r="AP1737" s="35"/>
      <c r="AQ1737" s="35"/>
      <c r="AR1737" s="35"/>
      <c r="AS1737" s="35"/>
      <c r="AT1737" s="35"/>
      <c r="AU1737" s="35"/>
      <c r="AV1737" s="35"/>
      <c r="AW1737" s="35"/>
      <c r="AX1737" s="35"/>
      <c r="AY1737" s="35"/>
      <c r="AZ1737" s="35"/>
      <c r="BA1737" s="35"/>
      <c r="BB1737" s="35"/>
      <c r="BC1737" s="35"/>
      <c r="BD1737" s="35"/>
      <c r="BE1737" s="35"/>
      <c r="BF1737" s="35"/>
      <c r="BG1737" s="35"/>
    </row>
    <row r="1738" ht="15.75" customHeight="1">
      <c r="A1738" s="35"/>
      <c r="B1738" s="35"/>
      <c r="C1738" s="35"/>
      <c r="D1738" s="35"/>
      <c r="E1738" s="35"/>
      <c r="F1738" s="35"/>
      <c r="G1738" s="35"/>
      <c r="H1738" s="35"/>
      <c r="I1738" s="35"/>
      <c r="J1738" s="35"/>
      <c r="K1738" s="35"/>
      <c r="L1738" s="35"/>
      <c r="M1738" s="35"/>
      <c r="N1738" s="35"/>
      <c r="O1738" s="35"/>
      <c r="P1738" s="35"/>
      <c r="Q1738" s="35"/>
      <c r="R1738" s="35"/>
      <c r="S1738" s="35"/>
      <c r="T1738" s="35"/>
      <c r="U1738" s="35"/>
      <c r="V1738" s="35"/>
      <c r="W1738" s="35"/>
      <c r="X1738" s="35"/>
      <c r="Y1738" s="35"/>
      <c r="Z1738" s="35"/>
      <c r="AA1738" s="35"/>
      <c r="AB1738" s="35"/>
      <c r="AC1738" s="35"/>
      <c r="AD1738" s="35"/>
      <c r="AE1738" s="35"/>
      <c r="AF1738" s="35"/>
      <c r="AG1738" s="35"/>
      <c r="AH1738" s="35"/>
      <c r="AI1738" s="35"/>
      <c r="AJ1738" s="35"/>
      <c r="AK1738" s="35"/>
      <c r="AL1738" s="35"/>
      <c r="AM1738" s="35"/>
      <c r="AN1738" s="35"/>
      <c r="AO1738" s="35"/>
      <c r="AP1738" s="35"/>
      <c r="AQ1738" s="35"/>
      <c r="AR1738" s="35"/>
      <c r="AS1738" s="35"/>
      <c r="AT1738" s="35"/>
      <c r="AU1738" s="35"/>
      <c r="AV1738" s="35"/>
      <c r="AW1738" s="35"/>
      <c r="AX1738" s="35"/>
      <c r="AY1738" s="35"/>
      <c r="AZ1738" s="35"/>
      <c r="BA1738" s="35"/>
      <c r="BB1738" s="35"/>
      <c r="BC1738" s="35"/>
      <c r="BD1738" s="35"/>
      <c r="BE1738" s="35"/>
      <c r="BF1738" s="35"/>
      <c r="BG1738" s="35"/>
    </row>
    <row r="1739" ht="15.75" customHeight="1">
      <c r="A1739" s="35"/>
      <c r="B1739" s="35"/>
      <c r="C1739" s="35"/>
      <c r="D1739" s="35"/>
      <c r="E1739" s="35"/>
      <c r="F1739" s="35"/>
      <c r="G1739" s="35"/>
      <c r="H1739" s="35"/>
      <c r="I1739" s="35"/>
      <c r="J1739" s="35"/>
      <c r="K1739" s="35"/>
      <c r="L1739" s="35"/>
      <c r="M1739" s="35"/>
      <c r="N1739" s="35"/>
      <c r="O1739" s="35"/>
      <c r="P1739" s="35"/>
      <c r="Q1739" s="35"/>
      <c r="R1739" s="35"/>
      <c r="S1739" s="35"/>
      <c r="T1739" s="35"/>
      <c r="U1739" s="35"/>
      <c r="V1739" s="35"/>
      <c r="W1739" s="35"/>
      <c r="X1739" s="35"/>
      <c r="Y1739" s="35"/>
      <c r="Z1739" s="35"/>
      <c r="AA1739" s="35"/>
      <c r="AB1739" s="35"/>
      <c r="AC1739" s="35"/>
      <c r="AD1739" s="35"/>
      <c r="AE1739" s="35"/>
      <c r="AF1739" s="35"/>
      <c r="AG1739" s="35"/>
      <c r="AH1739" s="35"/>
      <c r="AI1739" s="35"/>
      <c r="AJ1739" s="35"/>
      <c r="AK1739" s="35"/>
      <c r="AL1739" s="35"/>
      <c r="AM1739" s="35"/>
      <c r="AN1739" s="35"/>
      <c r="AO1739" s="35"/>
      <c r="AP1739" s="35"/>
      <c r="AQ1739" s="35"/>
      <c r="AR1739" s="35"/>
      <c r="AS1739" s="35"/>
      <c r="AT1739" s="35"/>
      <c r="AU1739" s="35"/>
      <c r="AV1739" s="35"/>
      <c r="AW1739" s="35"/>
      <c r="AX1739" s="35"/>
      <c r="AY1739" s="35"/>
      <c r="AZ1739" s="35"/>
      <c r="BA1739" s="35"/>
      <c r="BB1739" s="35"/>
      <c r="BC1739" s="35"/>
      <c r="BD1739" s="35"/>
      <c r="BE1739" s="35"/>
      <c r="BF1739" s="35"/>
      <c r="BG1739" s="35"/>
    </row>
    <row r="1740" ht="15.75" customHeight="1">
      <c r="A1740" s="35"/>
      <c r="B1740" s="35"/>
      <c r="C1740" s="35"/>
      <c r="D1740" s="35"/>
      <c r="E1740" s="35"/>
      <c r="F1740" s="35"/>
      <c r="G1740" s="35"/>
      <c r="H1740" s="35"/>
      <c r="I1740" s="35"/>
      <c r="J1740" s="35"/>
      <c r="K1740" s="35"/>
      <c r="L1740" s="35"/>
      <c r="M1740" s="35"/>
      <c r="N1740" s="35"/>
      <c r="O1740" s="35"/>
      <c r="P1740" s="35"/>
      <c r="Q1740" s="35"/>
      <c r="R1740" s="35"/>
      <c r="S1740" s="35"/>
      <c r="T1740" s="35"/>
      <c r="U1740" s="35"/>
      <c r="V1740" s="35"/>
      <c r="W1740" s="35"/>
      <c r="X1740" s="35"/>
      <c r="Y1740" s="35"/>
      <c r="Z1740" s="35"/>
      <c r="AA1740" s="35"/>
      <c r="AB1740" s="35"/>
      <c r="AC1740" s="35"/>
      <c r="AD1740" s="35"/>
      <c r="AE1740" s="35"/>
      <c r="AF1740" s="35"/>
      <c r="AG1740" s="35"/>
      <c r="AH1740" s="35"/>
      <c r="AI1740" s="35"/>
      <c r="AJ1740" s="35"/>
      <c r="AK1740" s="35"/>
      <c r="AL1740" s="35"/>
      <c r="AM1740" s="35"/>
      <c r="AN1740" s="35"/>
      <c r="AO1740" s="35"/>
      <c r="AP1740" s="35"/>
      <c r="AQ1740" s="35"/>
      <c r="AR1740" s="35"/>
      <c r="AS1740" s="35"/>
      <c r="AT1740" s="35"/>
      <c r="AU1740" s="35"/>
      <c r="AV1740" s="35"/>
      <c r="AW1740" s="35"/>
      <c r="AX1740" s="35"/>
      <c r="AY1740" s="35"/>
      <c r="AZ1740" s="35"/>
      <c r="BA1740" s="35"/>
      <c r="BB1740" s="35"/>
      <c r="BC1740" s="35"/>
      <c r="BD1740" s="35"/>
      <c r="BE1740" s="35"/>
      <c r="BF1740" s="35"/>
      <c r="BG1740" s="35"/>
    </row>
    <row r="1741" ht="15.75" customHeight="1">
      <c r="A1741" s="35"/>
      <c r="B1741" s="35"/>
      <c r="C1741" s="35"/>
      <c r="D1741" s="35"/>
      <c r="E1741" s="35"/>
      <c r="F1741" s="35"/>
      <c r="G1741" s="35"/>
      <c r="H1741" s="35"/>
      <c r="I1741" s="35"/>
      <c r="J1741" s="35"/>
      <c r="K1741" s="35"/>
      <c r="L1741" s="35"/>
      <c r="M1741" s="35"/>
      <c r="N1741" s="35"/>
      <c r="O1741" s="35"/>
      <c r="P1741" s="35"/>
      <c r="Q1741" s="35"/>
      <c r="R1741" s="35"/>
      <c r="S1741" s="35"/>
      <c r="T1741" s="35"/>
      <c r="U1741" s="35"/>
      <c r="V1741" s="35"/>
      <c r="W1741" s="35"/>
      <c r="X1741" s="35"/>
      <c r="Y1741" s="35"/>
      <c r="Z1741" s="35"/>
      <c r="AA1741" s="35"/>
      <c r="AB1741" s="35"/>
      <c r="AC1741" s="35"/>
      <c r="AD1741" s="35"/>
      <c r="AE1741" s="35"/>
      <c r="AF1741" s="35"/>
      <c r="AG1741" s="35"/>
      <c r="AH1741" s="35"/>
      <c r="AI1741" s="35"/>
      <c r="AJ1741" s="35"/>
      <c r="AK1741" s="35"/>
      <c r="AL1741" s="35"/>
      <c r="AM1741" s="35"/>
      <c r="AN1741" s="35"/>
      <c r="AO1741" s="35"/>
      <c r="AP1741" s="35"/>
      <c r="AQ1741" s="35"/>
      <c r="AR1741" s="35"/>
      <c r="AS1741" s="35"/>
      <c r="AT1741" s="35"/>
      <c r="AU1741" s="35"/>
      <c r="AV1741" s="35"/>
      <c r="AW1741" s="35"/>
      <c r="AX1741" s="35"/>
      <c r="AY1741" s="35"/>
      <c r="AZ1741" s="35"/>
      <c r="BA1741" s="35"/>
      <c r="BB1741" s="35"/>
      <c r="BC1741" s="35"/>
      <c r="BD1741" s="35"/>
      <c r="BE1741" s="35"/>
      <c r="BF1741" s="35"/>
      <c r="BG1741" s="35"/>
    </row>
    <row r="1742" ht="15.75" customHeight="1">
      <c r="A1742" s="35"/>
      <c r="B1742" s="35"/>
      <c r="C1742" s="35"/>
      <c r="D1742" s="35"/>
      <c r="E1742" s="35"/>
      <c r="F1742" s="35"/>
      <c r="G1742" s="35"/>
      <c r="H1742" s="35"/>
      <c r="I1742" s="35"/>
      <c r="J1742" s="35"/>
      <c r="K1742" s="35"/>
      <c r="L1742" s="35"/>
      <c r="M1742" s="35"/>
      <c r="N1742" s="35"/>
      <c r="O1742" s="35"/>
      <c r="P1742" s="35"/>
      <c r="Q1742" s="35"/>
      <c r="R1742" s="35"/>
      <c r="S1742" s="35"/>
      <c r="T1742" s="35"/>
      <c r="U1742" s="35"/>
      <c r="V1742" s="35"/>
      <c r="W1742" s="35"/>
      <c r="X1742" s="35"/>
      <c r="Y1742" s="35"/>
      <c r="Z1742" s="35"/>
      <c r="AA1742" s="35"/>
      <c r="AB1742" s="35"/>
      <c r="AC1742" s="35"/>
      <c r="AD1742" s="35"/>
      <c r="AE1742" s="35"/>
      <c r="AF1742" s="35"/>
      <c r="AG1742" s="35"/>
      <c r="AH1742" s="35"/>
      <c r="AI1742" s="35"/>
      <c r="AJ1742" s="35"/>
      <c r="AK1742" s="35"/>
      <c r="AL1742" s="35"/>
      <c r="AM1742" s="35"/>
      <c r="AN1742" s="35"/>
      <c r="AO1742" s="35"/>
      <c r="AP1742" s="35"/>
      <c r="AQ1742" s="35"/>
      <c r="AR1742" s="35"/>
      <c r="AS1742" s="35"/>
      <c r="AT1742" s="35"/>
      <c r="AU1742" s="35"/>
      <c r="AV1742" s="35"/>
      <c r="AW1742" s="35"/>
      <c r="AX1742" s="35"/>
      <c r="AY1742" s="35"/>
      <c r="AZ1742" s="35"/>
      <c r="BA1742" s="35"/>
      <c r="BB1742" s="35"/>
      <c r="BC1742" s="35"/>
      <c r="BD1742" s="35"/>
      <c r="BE1742" s="35"/>
      <c r="BF1742" s="35"/>
      <c r="BG1742" s="35"/>
    </row>
    <row r="1743" ht="15.75" customHeight="1">
      <c r="A1743" s="35"/>
      <c r="B1743" s="35"/>
      <c r="C1743" s="35"/>
      <c r="D1743" s="35"/>
      <c r="E1743" s="35"/>
      <c r="F1743" s="35"/>
      <c r="G1743" s="35"/>
      <c r="H1743" s="35"/>
      <c r="I1743" s="35"/>
      <c r="J1743" s="35"/>
      <c r="K1743" s="35"/>
      <c r="L1743" s="35"/>
      <c r="M1743" s="35"/>
      <c r="N1743" s="35"/>
      <c r="O1743" s="35"/>
      <c r="P1743" s="35"/>
      <c r="Q1743" s="35"/>
      <c r="R1743" s="35"/>
      <c r="S1743" s="35"/>
      <c r="T1743" s="35"/>
      <c r="U1743" s="35"/>
      <c r="V1743" s="35"/>
      <c r="W1743" s="35"/>
      <c r="X1743" s="35"/>
      <c r="Y1743" s="35"/>
      <c r="Z1743" s="35"/>
      <c r="AA1743" s="35"/>
      <c r="AB1743" s="35"/>
      <c r="AC1743" s="35"/>
      <c r="AD1743" s="35"/>
      <c r="AE1743" s="35"/>
      <c r="AF1743" s="35"/>
      <c r="AG1743" s="35"/>
      <c r="AH1743" s="35"/>
      <c r="AI1743" s="35"/>
      <c r="AJ1743" s="35"/>
      <c r="AK1743" s="35"/>
      <c r="AL1743" s="35"/>
      <c r="AM1743" s="35"/>
      <c r="AN1743" s="35"/>
      <c r="AO1743" s="35"/>
      <c r="AP1743" s="35"/>
      <c r="AQ1743" s="35"/>
      <c r="AR1743" s="35"/>
      <c r="AS1743" s="35"/>
      <c r="AT1743" s="35"/>
      <c r="AU1743" s="35"/>
      <c r="AV1743" s="35"/>
      <c r="AW1743" s="35"/>
      <c r="AX1743" s="35"/>
      <c r="AY1743" s="35"/>
      <c r="AZ1743" s="35"/>
      <c r="BA1743" s="35"/>
      <c r="BB1743" s="35"/>
      <c r="BC1743" s="35"/>
      <c r="BD1743" s="35"/>
      <c r="BE1743" s="35"/>
      <c r="BF1743" s="35"/>
      <c r="BG1743" s="35"/>
    </row>
    <row r="1744" ht="15.75" customHeight="1">
      <c r="A1744" s="35"/>
      <c r="B1744" s="35"/>
      <c r="C1744" s="35"/>
      <c r="D1744" s="35"/>
      <c r="E1744" s="35"/>
      <c r="F1744" s="35"/>
      <c r="G1744" s="35"/>
      <c r="H1744" s="35"/>
      <c r="I1744" s="35"/>
      <c r="J1744" s="35"/>
      <c r="K1744" s="35"/>
      <c r="L1744" s="35"/>
      <c r="M1744" s="35"/>
      <c r="N1744" s="35"/>
      <c r="O1744" s="35"/>
      <c r="P1744" s="35"/>
      <c r="Q1744" s="35"/>
      <c r="R1744" s="35"/>
      <c r="S1744" s="35"/>
      <c r="T1744" s="35"/>
      <c r="U1744" s="35"/>
      <c r="V1744" s="35"/>
      <c r="W1744" s="35"/>
      <c r="X1744" s="35"/>
      <c r="Y1744" s="35"/>
      <c r="Z1744" s="35"/>
      <c r="AA1744" s="35"/>
      <c r="AB1744" s="35"/>
      <c r="AC1744" s="35"/>
      <c r="AD1744" s="35"/>
      <c r="AE1744" s="35"/>
      <c r="AF1744" s="35"/>
      <c r="AG1744" s="35"/>
      <c r="AH1744" s="35"/>
      <c r="AI1744" s="35"/>
      <c r="AJ1744" s="35"/>
      <c r="AK1744" s="35"/>
      <c r="AL1744" s="35"/>
      <c r="AM1744" s="35"/>
      <c r="AN1744" s="35"/>
      <c r="AO1744" s="35"/>
      <c r="AP1744" s="35"/>
      <c r="AQ1744" s="35"/>
      <c r="AR1744" s="35"/>
      <c r="AS1744" s="35"/>
      <c r="AT1744" s="35"/>
      <c r="AU1744" s="35"/>
      <c r="AV1744" s="35"/>
      <c r="AW1744" s="35"/>
      <c r="AX1744" s="35"/>
      <c r="AY1744" s="35"/>
      <c r="AZ1744" s="35"/>
      <c r="BA1744" s="35"/>
      <c r="BB1744" s="35"/>
      <c r="BC1744" s="35"/>
      <c r="BD1744" s="35"/>
      <c r="BE1744" s="35"/>
      <c r="BF1744" s="35"/>
      <c r="BG1744" s="35"/>
    </row>
    <row r="1745" ht="15.75" customHeight="1">
      <c r="A1745" s="35"/>
      <c r="B1745" s="35"/>
      <c r="C1745" s="35"/>
      <c r="D1745" s="35"/>
      <c r="E1745" s="35"/>
      <c r="F1745" s="35"/>
      <c r="G1745" s="35"/>
      <c r="H1745" s="35"/>
      <c r="I1745" s="35"/>
      <c r="J1745" s="35"/>
      <c r="K1745" s="35"/>
      <c r="L1745" s="35"/>
      <c r="M1745" s="35"/>
      <c r="N1745" s="35"/>
      <c r="O1745" s="35"/>
      <c r="P1745" s="35"/>
      <c r="Q1745" s="35"/>
      <c r="R1745" s="35"/>
      <c r="S1745" s="35"/>
      <c r="T1745" s="35"/>
      <c r="U1745" s="35"/>
      <c r="V1745" s="35"/>
      <c r="W1745" s="35"/>
      <c r="X1745" s="35"/>
      <c r="Y1745" s="35"/>
      <c r="Z1745" s="35"/>
      <c r="AA1745" s="35"/>
      <c r="AB1745" s="35"/>
      <c r="AC1745" s="35"/>
      <c r="AD1745" s="35"/>
      <c r="AE1745" s="35"/>
      <c r="AF1745" s="35"/>
      <c r="AG1745" s="35"/>
      <c r="AH1745" s="35"/>
      <c r="AI1745" s="35"/>
      <c r="AJ1745" s="35"/>
      <c r="AK1745" s="35"/>
      <c r="AL1745" s="35"/>
      <c r="AM1745" s="35"/>
      <c r="AN1745" s="35"/>
      <c r="AO1745" s="35"/>
      <c r="AP1745" s="35"/>
      <c r="AQ1745" s="35"/>
      <c r="AR1745" s="35"/>
      <c r="AS1745" s="35"/>
      <c r="AT1745" s="35"/>
      <c r="AU1745" s="35"/>
      <c r="AV1745" s="35"/>
      <c r="AW1745" s="35"/>
      <c r="AX1745" s="35"/>
      <c r="AY1745" s="35"/>
      <c r="AZ1745" s="35"/>
      <c r="BA1745" s="35"/>
      <c r="BB1745" s="35"/>
      <c r="BC1745" s="35"/>
      <c r="BD1745" s="35"/>
      <c r="BE1745" s="35"/>
      <c r="BF1745" s="35"/>
      <c r="BG1745" s="35"/>
    </row>
    <row r="1746" ht="15.75" customHeight="1">
      <c r="A1746" s="35"/>
      <c r="B1746" s="35"/>
      <c r="C1746" s="35"/>
      <c r="D1746" s="35"/>
      <c r="E1746" s="35"/>
      <c r="F1746" s="35"/>
      <c r="G1746" s="35"/>
      <c r="H1746" s="35"/>
      <c r="I1746" s="35"/>
      <c r="J1746" s="35"/>
      <c r="K1746" s="35"/>
      <c r="L1746" s="35"/>
      <c r="M1746" s="35"/>
      <c r="N1746" s="35"/>
      <c r="O1746" s="35"/>
      <c r="P1746" s="35"/>
      <c r="Q1746" s="35"/>
      <c r="R1746" s="35"/>
      <c r="S1746" s="35"/>
      <c r="T1746" s="35"/>
      <c r="U1746" s="35"/>
      <c r="V1746" s="35"/>
      <c r="W1746" s="35"/>
      <c r="X1746" s="35"/>
      <c r="Y1746" s="35"/>
      <c r="Z1746" s="35"/>
      <c r="AA1746" s="35"/>
      <c r="AB1746" s="35"/>
      <c r="AC1746" s="35"/>
      <c r="AD1746" s="35"/>
      <c r="AE1746" s="35"/>
      <c r="AF1746" s="35"/>
      <c r="AG1746" s="35"/>
      <c r="AH1746" s="35"/>
      <c r="AI1746" s="35"/>
      <c r="AJ1746" s="35"/>
      <c r="AK1746" s="35"/>
      <c r="AL1746" s="35"/>
      <c r="AM1746" s="35"/>
      <c r="AN1746" s="35"/>
      <c r="AO1746" s="35"/>
      <c r="AP1746" s="35"/>
      <c r="AQ1746" s="35"/>
      <c r="AR1746" s="35"/>
      <c r="AS1746" s="35"/>
      <c r="AT1746" s="35"/>
      <c r="AU1746" s="35"/>
      <c r="AV1746" s="35"/>
      <c r="AW1746" s="35"/>
      <c r="AX1746" s="35"/>
      <c r="AY1746" s="35"/>
      <c r="AZ1746" s="35"/>
      <c r="BA1746" s="35"/>
      <c r="BB1746" s="35"/>
      <c r="BC1746" s="35"/>
      <c r="BD1746" s="35"/>
      <c r="BE1746" s="35"/>
      <c r="BF1746" s="35"/>
      <c r="BG1746" s="35"/>
    </row>
    <row r="1747" ht="15.75" customHeight="1">
      <c r="A1747" s="35"/>
      <c r="B1747" s="35"/>
      <c r="C1747" s="35"/>
      <c r="D1747" s="35"/>
      <c r="E1747" s="35"/>
      <c r="F1747" s="35"/>
      <c r="G1747" s="35"/>
      <c r="H1747" s="35"/>
      <c r="I1747" s="35"/>
      <c r="J1747" s="35"/>
      <c r="K1747" s="35"/>
      <c r="L1747" s="35"/>
      <c r="M1747" s="35"/>
      <c r="N1747" s="35"/>
      <c r="O1747" s="35"/>
      <c r="P1747" s="35"/>
      <c r="Q1747" s="35"/>
      <c r="R1747" s="35"/>
      <c r="S1747" s="35"/>
      <c r="T1747" s="35"/>
      <c r="U1747" s="35"/>
      <c r="V1747" s="35"/>
      <c r="W1747" s="35"/>
      <c r="X1747" s="35"/>
      <c r="Y1747" s="35"/>
      <c r="Z1747" s="35"/>
      <c r="AA1747" s="35"/>
      <c r="AB1747" s="35"/>
      <c r="AC1747" s="35"/>
      <c r="AD1747" s="35"/>
      <c r="AE1747" s="35"/>
      <c r="AF1747" s="35"/>
      <c r="AG1747" s="35"/>
      <c r="AH1747" s="35"/>
      <c r="AI1747" s="35"/>
      <c r="AJ1747" s="35"/>
      <c r="AK1747" s="35"/>
      <c r="AL1747" s="35"/>
      <c r="AM1747" s="35"/>
      <c r="AN1747" s="35"/>
      <c r="AO1747" s="35"/>
      <c r="AP1747" s="35"/>
      <c r="AQ1747" s="35"/>
      <c r="AR1747" s="35"/>
      <c r="AS1747" s="35"/>
      <c r="AT1747" s="35"/>
      <c r="AU1747" s="35"/>
      <c r="AV1747" s="35"/>
      <c r="AW1747" s="35"/>
      <c r="AX1747" s="35"/>
      <c r="AY1747" s="35"/>
      <c r="AZ1747" s="35"/>
      <c r="BA1747" s="35"/>
      <c r="BB1747" s="35"/>
      <c r="BC1747" s="35"/>
      <c r="BD1747" s="35"/>
      <c r="BE1747" s="35"/>
      <c r="BF1747" s="35"/>
      <c r="BG1747" s="35"/>
    </row>
    <row r="1748" ht="15.75" customHeight="1">
      <c r="A1748" s="35"/>
      <c r="B1748" s="35"/>
      <c r="C1748" s="35"/>
      <c r="D1748" s="35"/>
      <c r="E1748" s="35"/>
      <c r="F1748" s="35"/>
      <c r="G1748" s="35"/>
      <c r="H1748" s="35"/>
      <c r="I1748" s="35"/>
      <c r="J1748" s="35"/>
      <c r="K1748" s="35"/>
      <c r="L1748" s="35"/>
      <c r="M1748" s="35"/>
      <c r="N1748" s="35"/>
      <c r="O1748" s="35"/>
      <c r="P1748" s="35"/>
      <c r="Q1748" s="35"/>
      <c r="R1748" s="35"/>
      <c r="S1748" s="35"/>
      <c r="T1748" s="35"/>
      <c r="U1748" s="35"/>
      <c r="V1748" s="35"/>
      <c r="W1748" s="35"/>
      <c r="X1748" s="35"/>
      <c r="Y1748" s="35"/>
      <c r="Z1748" s="35"/>
      <c r="AA1748" s="35"/>
      <c r="AB1748" s="35"/>
      <c r="AC1748" s="35"/>
      <c r="AD1748" s="35"/>
      <c r="AE1748" s="35"/>
      <c r="AF1748" s="35"/>
      <c r="AG1748" s="35"/>
      <c r="AH1748" s="35"/>
      <c r="AI1748" s="35"/>
      <c r="AJ1748" s="35"/>
      <c r="AK1748" s="35"/>
      <c r="AL1748" s="35"/>
      <c r="AM1748" s="35"/>
      <c r="AN1748" s="35"/>
      <c r="AO1748" s="35"/>
      <c r="AP1748" s="35"/>
      <c r="AQ1748" s="35"/>
      <c r="AR1748" s="35"/>
      <c r="AS1748" s="35"/>
      <c r="AT1748" s="35"/>
      <c r="AU1748" s="35"/>
      <c r="AV1748" s="35"/>
      <c r="AW1748" s="35"/>
      <c r="AX1748" s="35"/>
      <c r="AY1748" s="35"/>
      <c r="AZ1748" s="35"/>
      <c r="BA1748" s="35"/>
      <c r="BB1748" s="35"/>
      <c r="BC1748" s="35"/>
      <c r="BD1748" s="35"/>
      <c r="BE1748" s="35"/>
      <c r="BF1748" s="35"/>
      <c r="BG1748" s="35"/>
    </row>
    <row r="1749" ht="15.75" customHeight="1">
      <c r="A1749" s="35"/>
      <c r="B1749" s="35"/>
      <c r="C1749" s="35"/>
      <c r="D1749" s="35"/>
      <c r="E1749" s="35"/>
      <c r="F1749" s="35"/>
      <c r="G1749" s="35"/>
      <c r="H1749" s="35"/>
      <c r="I1749" s="35"/>
      <c r="J1749" s="35"/>
      <c r="K1749" s="35"/>
      <c r="L1749" s="35"/>
      <c r="M1749" s="35"/>
      <c r="N1749" s="35"/>
      <c r="O1749" s="35"/>
      <c r="P1749" s="35"/>
      <c r="Q1749" s="35"/>
      <c r="R1749" s="35"/>
      <c r="S1749" s="35"/>
      <c r="T1749" s="35"/>
      <c r="U1749" s="35"/>
      <c r="V1749" s="35"/>
      <c r="W1749" s="35"/>
      <c r="X1749" s="35"/>
      <c r="Y1749" s="35"/>
      <c r="Z1749" s="35"/>
      <c r="AA1749" s="35"/>
      <c r="AB1749" s="35"/>
      <c r="AC1749" s="35"/>
      <c r="AD1749" s="35"/>
      <c r="AE1749" s="35"/>
      <c r="AF1749" s="35"/>
      <c r="AG1749" s="35"/>
      <c r="AH1749" s="35"/>
      <c r="AI1749" s="35"/>
      <c r="AJ1749" s="35"/>
      <c r="AK1749" s="35"/>
      <c r="AL1749" s="35"/>
      <c r="AM1749" s="35"/>
      <c r="AN1749" s="35"/>
      <c r="AO1749" s="35"/>
      <c r="AP1749" s="35"/>
      <c r="AQ1749" s="35"/>
      <c r="AR1749" s="35"/>
      <c r="AS1749" s="35"/>
      <c r="AT1749" s="35"/>
      <c r="AU1749" s="35"/>
      <c r="AV1749" s="35"/>
      <c r="AW1749" s="35"/>
      <c r="AX1749" s="35"/>
      <c r="AY1749" s="35"/>
      <c r="AZ1749" s="35"/>
      <c r="BA1749" s="35"/>
      <c r="BB1749" s="35"/>
      <c r="BC1749" s="35"/>
      <c r="BD1749" s="35"/>
      <c r="BE1749" s="35"/>
      <c r="BF1749" s="35"/>
      <c r="BG1749" s="35"/>
    </row>
    <row r="1750" ht="15.75" customHeight="1">
      <c r="A1750" s="35"/>
      <c r="B1750" s="35"/>
      <c r="C1750" s="35"/>
      <c r="D1750" s="35"/>
      <c r="E1750" s="35"/>
      <c r="F1750" s="35"/>
      <c r="G1750" s="35"/>
      <c r="H1750" s="35"/>
      <c r="I1750" s="35"/>
      <c r="J1750" s="35"/>
      <c r="K1750" s="35"/>
      <c r="L1750" s="35"/>
      <c r="M1750" s="35"/>
      <c r="N1750" s="35"/>
      <c r="O1750" s="35"/>
      <c r="P1750" s="35"/>
      <c r="Q1750" s="35"/>
      <c r="R1750" s="35"/>
      <c r="S1750" s="35"/>
      <c r="T1750" s="35"/>
      <c r="U1750" s="35"/>
      <c r="V1750" s="35"/>
      <c r="W1750" s="35"/>
      <c r="X1750" s="35"/>
      <c r="Y1750" s="35"/>
      <c r="Z1750" s="35"/>
      <c r="AA1750" s="35"/>
      <c r="AB1750" s="35"/>
      <c r="AC1750" s="35"/>
      <c r="AD1750" s="35"/>
      <c r="AE1750" s="35"/>
      <c r="AF1750" s="35"/>
      <c r="AG1750" s="35"/>
      <c r="AH1750" s="35"/>
      <c r="AI1750" s="35"/>
      <c r="AJ1750" s="35"/>
      <c r="AK1750" s="35"/>
      <c r="AL1750" s="35"/>
      <c r="AM1750" s="35"/>
      <c r="AN1750" s="35"/>
      <c r="AO1750" s="35"/>
      <c r="AP1750" s="35"/>
      <c r="AQ1750" s="35"/>
      <c r="AR1750" s="35"/>
      <c r="AS1750" s="35"/>
      <c r="AT1750" s="35"/>
      <c r="AU1750" s="35"/>
      <c r="AV1750" s="35"/>
      <c r="AW1750" s="35"/>
      <c r="AX1750" s="35"/>
      <c r="AY1750" s="35"/>
      <c r="AZ1750" s="35"/>
      <c r="BA1750" s="35"/>
      <c r="BB1750" s="35"/>
      <c r="BC1750" s="35"/>
      <c r="BD1750" s="35"/>
      <c r="BE1750" s="35"/>
      <c r="BF1750" s="35"/>
      <c r="BG1750" s="35"/>
    </row>
    <row r="1751" ht="15.75" customHeight="1">
      <c r="A1751" s="35"/>
      <c r="B1751" s="35"/>
      <c r="C1751" s="35"/>
      <c r="D1751" s="35"/>
      <c r="E1751" s="35"/>
      <c r="F1751" s="35"/>
      <c r="G1751" s="35"/>
      <c r="H1751" s="35"/>
      <c r="I1751" s="35"/>
      <c r="J1751" s="35"/>
      <c r="K1751" s="35"/>
      <c r="L1751" s="35"/>
      <c r="M1751" s="35"/>
      <c r="N1751" s="35"/>
      <c r="O1751" s="35"/>
      <c r="P1751" s="35"/>
      <c r="Q1751" s="35"/>
      <c r="R1751" s="35"/>
      <c r="S1751" s="35"/>
      <c r="T1751" s="35"/>
      <c r="U1751" s="35"/>
      <c r="V1751" s="35"/>
      <c r="W1751" s="35"/>
      <c r="X1751" s="35"/>
      <c r="Y1751" s="35"/>
      <c r="Z1751" s="35"/>
      <c r="AA1751" s="35"/>
      <c r="AB1751" s="35"/>
      <c r="AC1751" s="35"/>
      <c r="AD1751" s="35"/>
      <c r="AE1751" s="35"/>
      <c r="AF1751" s="35"/>
      <c r="AG1751" s="35"/>
      <c r="AH1751" s="35"/>
      <c r="AI1751" s="35"/>
      <c r="AJ1751" s="35"/>
      <c r="AK1751" s="35"/>
      <c r="AL1751" s="35"/>
      <c r="AM1751" s="35"/>
      <c r="AN1751" s="35"/>
      <c r="AO1751" s="35"/>
      <c r="AP1751" s="35"/>
      <c r="AQ1751" s="35"/>
      <c r="AR1751" s="35"/>
      <c r="AS1751" s="35"/>
      <c r="AT1751" s="35"/>
      <c r="AU1751" s="35"/>
      <c r="AV1751" s="35"/>
      <c r="AW1751" s="35"/>
      <c r="AX1751" s="35"/>
      <c r="AY1751" s="35"/>
      <c r="AZ1751" s="35"/>
      <c r="BA1751" s="35"/>
      <c r="BB1751" s="35"/>
      <c r="BC1751" s="35"/>
      <c r="BD1751" s="35"/>
      <c r="BE1751" s="35"/>
      <c r="BF1751" s="35"/>
      <c r="BG1751" s="35"/>
    </row>
    <row r="1752" ht="15.75" customHeight="1">
      <c r="A1752" s="35"/>
      <c r="B1752" s="35"/>
      <c r="C1752" s="35"/>
      <c r="D1752" s="35"/>
      <c r="E1752" s="35"/>
      <c r="F1752" s="35"/>
      <c r="G1752" s="35"/>
      <c r="H1752" s="35"/>
      <c r="I1752" s="35"/>
      <c r="J1752" s="35"/>
      <c r="K1752" s="35"/>
      <c r="L1752" s="35"/>
      <c r="M1752" s="35"/>
      <c r="N1752" s="35"/>
      <c r="O1752" s="35"/>
      <c r="P1752" s="35"/>
      <c r="Q1752" s="35"/>
      <c r="R1752" s="35"/>
      <c r="S1752" s="35"/>
      <c r="T1752" s="35"/>
      <c r="U1752" s="35"/>
      <c r="V1752" s="35"/>
      <c r="W1752" s="35"/>
      <c r="X1752" s="35"/>
      <c r="Y1752" s="35"/>
      <c r="Z1752" s="35"/>
      <c r="AA1752" s="35"/>
      <c r="AB1752" s="35"/>
      <c r="AC1752" s="35"/>
      <c r="AD1752" s="35"/>
      <c r="AE1752" s="35"/>
      <c r="AF1752" s="35"/>
      <c r="AG1752" s="35"/>
      <c r="AH1752" s="35"/>
      <c r="AI1752" s="35"/>
      <c r="AJ1752" s="35"/>
      <c r="AK1752" s="35"/>
      <c r="AL1752" s="35"/>
      <c r="AM1752" s="35"/>
      <c r="AN1752" s="35"/>
      <c r="AO1752" s="35"/>
      <c r="AP1752" s="35"/>
      <c r="AQ1752" s="35"/>
      <c r="AR1752" s="35"/>
      <c r="AS1752" s="35"/>
      <c r="AT1752" s="35"/>
      <c r="AU1752" s="35"/>
      <c r="AV1752" s="35"/>
      <c r="AW1752" s="35"/>
      <c r="AX1752" s="35"/>
      <c r="AY1752" s="35"/>
      <c r="AZ1752" s="35"/>
      <c r="BA1752" s="35"/>
      <c r="BB1752" s="35"/>
      <c r="BC1752" s="35"/>
      <c r="BD1752" s="35"/>
      <c r="BE1752" s="35"/>
      <c r="BF1752" s="35"/>
      <c r="BG1752" s="35"/>
    </row>
    <row r="1753" ht="15.75" customHeight="1">
      <c r="A1753" s="35"/>
      <c r="B1753" s="35"/>
      <c r="C1753" s="35"/>
      <c r="D1753" s="35"/>
      <c r="E1753" s="35"/>
      <c r="F1753" s="35"/>
      <c r="G1753" s="35"/>
      <c r="H1753" s="35"/>
      <c r="I1753" s="35"/>
      <c r="J1753" s="35"/>
      <c r="K1753" s="35"/>
      <c r="L1753" s="35"/>
      <c r="M1753" s="35"/>
      <c r="N1753" s="35"/>
      <c r="O1753" s="35"/>
      <c r="P1753" s="35"/>
      <c r="Q1753" s="35"/>
      <c r="R1753" s="35"/>
      <c r="S1753" s="35"/>
      <c r="T1753" s="35"/>
      <c r="U1753" s="35"/>
      <c r="V1753" s="35"/>
      <c r="W1753" s="35"/>
      <c r="X1753" s="35"/>
      <c r="Y1753" s="35"/>
      <c r="Z1753" s="35"/>
      <c r="AA1753" s="35"/>
      <c r="AB1753" s="35"/>
      <c r="AC1753" s="35"/>
      <c r="AD1753" s="35"/>
      <c r="AE1753" s="35"/>
      <c r="AF1753" s="35"/>
      <c r="AG1753" s="35"/>
      <c r="AH1753" s="35"/>
      <c r="AI1753" s="35"/>
      <c r="AJ1753" s="35"/>
      <c r="AK1753" s="35"/>
      <c r="AL1753" s="35"/>
      <c r="AM1753" s="35"/>
      <c r="AN1753" s="35"/>
      <c r="AO1753" s="35"/>
      <c r="AP1753" s="35"/>
      <c r="AQ1753" s="35"/>
      <c r="AR1753" s="35"/>
      <c r="AS1753" s="35"/>
      <c r="AT1753" s="35"/>
      <c r="AU1753" s="35"/>
      <c r="AV1753" s="35"/>
      <c r="AW1753" s="35"/>
      <c r="AX1753" s="35"/>
      <c r="AY1753" s="35"/>
      <c r="AZ1753" s="35"/>
      <c r="BA1753" s="35"/>
      <c r="BB1753" s="35"/>
      <c r="BC1753" s="35"/>
      <c r="BD1753" s="35"/>
      <c r="BE1753" s="35"/>
      <c r="BF1753" s="35"/>
      <c r="BG1753" s="35"/>
    </row>
    <row r="1754" ht="15.75" customHeight="1">
      <c r="A1754" s="35"/>
      <c r="B1754" s="35"/>
      <c r="C1754" s="35"/>
      <c r="D1754" s="35"/>
      <c r="E1754" s="35"/>
      <c r="F1754" s="35"/>
      <c r="G1754" s="35"/>
      <c r="H1754" s="35"/>
      <c r="I1754" s="35"/>
      <c r="J1754" s="35"/>
      <c r="K1754" s="35"/>
      <c r="L1754" s="35"/>
      <c r="M1754" s="35"/>
      <c r="N1754" s="35"/>
      <c r="O1754" s="35"/>
      <c r="P1754" s="35"/>
      <c r="Q1754" s="35"/>
      <c r="R1754" s="35"/>
      <c r="S1754" s="35"/>
      <c r="T1754" s="35"/>
      <c r="U1754" s="35"/>
      <c r="V1754" s="35"/>
      <c r="W1754" s="35"/>
      <c r="X1754" s="35"/>
      <c r="Y1754" s="35"/>
      <c r="Z1754" s="35"/>
      <c r="AA1754" s="35"/>
      <c r="AB1754" s="35"/>
      <c r="AC1754" s="35"/>
      <c r="AD1754" s="35"/>
      <c r="AE1754" s="35"/>
      <c r="AF1754" s="35"/>
      <c r="AG1754" s="35"/>
      <c r="AH1754" s="35"/>
      <c r="AI1754" s="35"/>
      <c r="AJ1754" s="35"/>
      <c r="AK1754" s="35"/>
      <c r="AL1754" s="35"/>
      <c r="AM1754" s="35"/>
      <c r="AN1754" s="35"/>
      <c r="AO1754" s="35"/>
      <c r="AP1754" s="35"/>
      <c r="AQ1754" s="35"/>
      <c r="AR1754" s="35"/>
      <c r="AS1754" s="35"/>
      <c r="AT1754" s="35"/>
      <c r="AU1754" s="35"/>
      <c r="AV1754" s="35"/>
      <c r="AW1754" s="35"/>
      <c r="AX1754" s="35"/>
      <c r="AY1754" s="35"/>
      <c r="AZ1754" s="35"/>
      <c r="BA1754" s="35"/>
      <c r="BB1754" s="35"/>
      <c r="BC1754" s="35"/>
      <c r="BD1754" s="35"/>
      <c r="BE1754" s="35"/>
      <c r="BF1754" s="35"/>
      <c r="BG1754" s="35"/>
    </row>
    <row r="1755" ht="15.75" customHeight="1">
      <c r="A1755" s="35"/>
      <c r="B1755" s="35"/>
      <c r="C1755" s="35"/>
      <c r="D1755" s="35"/>
      <c r="E1755" s="35"/>
      <c r="F1755" s="35"/>
      <c r="G1755" s="35"/>
      <c r="H1755" s="35"/>
      <c r="I1755" s="35"/>
      <c r="J1755" s="35"/>
      <c r="K1755" s="35"/>
      <c r="L1755" s="35"/>
      <c r="M1755" s="35"/>
      <c r="N1755" s="35"/>
      <c r="O1755" s="35"/>
      <c r="P1755" s="35"/>
      <c r="Q1755" s="35"/>
      <c r="R1755" s="35"/>
      <c r="S1755" s="35"/>
      <c r="T1755" s="35"/>
      <c r="U1755" s="35"/>
      <c r="V1755" s="35"/>
      <c r="W1755" s="35"/>
      <c r="X1755" s="35"/>
      <c r="Y1755" s="35"/>
      <c r="Z1755" s="35"/>
      <c r="AA1755" s="35"/>
      <c r="AB1755" s="35"/>
      <c r="AC1755" s="35"/>
      <c r="AD1755" s="35"/>
      <c r="AE1755" s="35"/>
      <c r="AF1755" s="35"/>
      <c r="AG1755" s="35"/>
      <c r="AH1755" s="35"/>
      <c r="AI1755" s="35"/>
      <c r="AJ1755" s="35"/>
      <c r="AK1755" s="35"/>
      <c r="AL1755" s="35"/>
      <c r="AM1755" s="35"/>
      <c r="AN1755" s="35"/>
      <c r="AO1755" s="35"/>
      <c r="AP1755" s="35"/>
      <c r="AQ1755" s="35"/>
      <c r="AR1755" s="35"/>
      <c r="AS1755" s="35"/>
      <c r="AT1755" s="35"/>
      <c r="AU1755" s="35"/>
      <c r="AV1755" s="35"/>
      <c r="AW1755" s="35"/>
      <c r="AX1755" s="35"/>
      <c r="AY1755" s="35"/>
      <c r="AZ1755" s="35"/>
      <c r="BA1755" s="35"/>
      <c r="BB1755" s="35"/>
      <c r="BC1755" s="35"/>
      <c r="BD1755" s="35"/>
      <c r="BE1755" s="35"/>
      <c r="BF1755" s="35"/>
      <c r="BG1755" s="35"/>
    </row>
    <row r="1756" ht="15.75" customHeight="1">
      <c r="A1756" s="35"/>
      <c r="B1756" s="35"/>
      <c r="C1756" s="35"/>
      <c r="D1756" s="35"/>
      <c r="E1756" s="35"/>
      <c r="F1756" s="35"/>
      <c r="G1756" s="35"/>
      <c r="H1756" s="35"/>
      <c r="I1756" s="35"/>
      <c r="J1756" s="35"/>
      <c r="K1756" s="35"/>
      <c r="L1756" s="35"/>
      <c r="M1756" s="35"/>
      <c r="N1756" s="35"/>
      <c r="O1756" s="35"/>
      <c r="P1756" s="35"/>
      <c r="Q1756" s="35"/>
      <c r="R1756" s="35"/>
      <c r="S1756" s="35"/>
      <c r="T1756" s="35"/>
      <c r="U1756" s="35"/>
      <c r="V1756" s="35"/>
      <c r="W1756" s="35"/>
      <c r="X1756" s="35"/>
      <c r="Y1756" s="35"/>
      <c r="Z1756" s="35"/>
      <c r="AA1756" s="35"/>
      <c r="AB1756" s="35"/>
      <c r="AC1756" s="35"/>
      <c r="AD1756" s="35"/>
      <c r="AE1756" s="35"/>
      <c r="AF1756" s="35"/>
      <c r="AG1756" s="35"/>
      <c r="AH1756" s="35"/>
      <c r="AI1756" s="35"/>
      <c r="AJ1756" s="35"/>
      <c r="AK1756" s="35"/>
      <c r="AL1756" s="35"/>
      <c r="AM1756" s="35"/>
      <c r="AN1756" s="35"/>
      <c r="AO1756" s="35"/>
      <c r="AP1756" s="35"/>
      <c r="AQ1756" s="35"/>
      <c r="AR1756" s="35"/>
      <c r="AS1756" s="35"/>
      <c r="AT1756" s="35"/>
      <c r="AU1756" s="35"/>
      <c r="AV1756" s="35"/>
      <c r="AW1756" s="35"/>
      <c r="AX1756" s="35"/>
      <c r="AY1756" s="35"/>
      <c r="AZ1756" s="35"/>
      <c r="BA1756" s="35"/>
      <c r="BB1756" s="35"/>
      <c r="BC1756" s="35"/>
      <c r="BD1756" s="35"/>
      <c r="BE1756" s="35"/>
      <c r="BF1756" s="35"/>
      <c r="BG1756" s="35"/>
    </row>
    <row r="1757" ht="15.75" customHeight="1">
      <c r="A1757" s="35"/>
      <c r="B1757" s="35"/>
      <c r="C1757" s="35"/>
      <c r="D1757" s="35"/>
      <c r="E1757" s="35"/>
      <c r="F1757" s="35"/>
      <c r="G1757" s="35"/>
      <c r="H1757" s="35"/>
      <c r="I1757" s="35"/>
      <c r="J1757" s="35"/>
      <c r="K1757" s="35"/>
      <c r="L1757" s="35"/>
      <c r="M1757" s="35"/>
      <c r="N1757" s="35"/>
      <c r="O1757" s="35"/>
      <c r="P1757" s="35"/>
      <c r="Q1757" s="35"/>
      <c r="R1757" s="35"/>
      <c r="S1757" s="35"/>
      <c r="T1757" s="35"/>
      <c r="U1757" s="35"/>
      <c r="V1757" s="35"/>
      <c r="W1757" s="35"/>
      <c r="X1757" s="35"/>
      <c r="Y1757" s="35"/>
      <c r="Z1757" s="35"/>
      <c r="AA1757" s="35"/>
      <c r="AB1757" s="35"/>
      <c r="AC1757" s="35"/>
      <c r="AD1757" s="35"/>
      <c r="AE1757" s="35"/>
      <c r="AF1757" s="35"/>
      <c r="AG1757" s="35"/>
      <c r="AH1757" s="35"/>
      <c r="AI1757" s="35"/>
      <c r="AJ1757" s="35"/>
      <c r="AK1757" s="35"/>
      <c r="AL1757" s="35"/>
      <c r="AM1757" s="35"/>
      <c r="AN1757" s="35"/>
      <c r="AO1757" s="35"/>
      <c r="AP1757" s="35"/>
      <c r="AQ1757" s="35"/>
      <c r="AR1757" s="35"/>
      <c r="AS1757" s="35"/>
      <c r="AT1757" s="35"/>
      <c r="AU1757" s="35"/>
      <c r="AV1757" s="35"/>
      <c r="AW1757" s="35"/>
      <c r="AX1757" s="35"/>
      <c r="AY1757" s="35"/>
      <c r="AZ1757" s="35"/>
      <c r="BA1757" s="35"/>
      <c r="BB1757" s="35"/>
      <c r="BC1757" s="35"/>
      <c r="BD1757" s="35"/>
      <c r="BE1757" s="35"/>
      <c r="BF1757" s="35"/>
      <c r="BG1757" s="35"/>
    </row>
    <row r="1758" ht="15.75" customHeight="1">
      <c r="A1758" s="35"/>
      <c r="B1758" s="35"/>
      <c r="C1758" s="35"/>
      <c r="D1758" s="35"/>
      <c r="E1758" s="35"/>
      <c r="F1758" s="35"/>
      <c r="G1758" s="35"/>
      <c r="H1758" s="35"/>
      <c r="I1758" s="35"/>
      <c r="J1758" s="35"/>
      <c r="K1758" s="35"/>
      <c r="L1758" s="35"/>
      <c r="M1758" s="35"/>
      <c r="N1758" s="35"/>
      <c r="O1758" s="35"/>
      <c r="P1758" s="35"/>
      <c r="Q1758" s="35"/>
      <c r="R1758" s="35"/>
      <c r="S1758" s="35"/>
      <c r="T1758" s="35"/>
      <c r="U1758" s="35"/>
      <c r="V1758" s="35"/>
      <c r="W1758" s="35"/>
      <c r="X1758" s="35"/>
      <c r="Y1758" s="35"/>
      <c r="Z1758" s="35"/>
      <c r="AA1758" s="35"/>
      <c r="AB1758" s="35"/>
      <c r="AC1758" s="35"/>
      <c r="AD1758" s="35"/>
      <c r="AE1758" s="35"/>
      <c r="AF1758" s="35"/>
      <c r="AG1758" s="35"/>
      <c r="AH1758" s="35"/>
      <c r="AI1758" s="35"/>
      <c r="AJ1758" s="35"/>
      <c r="AK1758" s="35"/>
      <c r="AL1758" s="35"/>
      <c r="AM1758" s="35"/>
      <c r="AN1758" s="35"/>
      <c r="AO1758" s="35"/>
      <c r="AP1758" s="35"/>
      <c r="AQ1758" s="35"/>
      <c r="AR1758" s="35"/>
      <c r="AS1758" s="35"/>
      <c r="AT1758" s="35"/>
      <c r="AU1758" s="35"/>
      <c r="AV1758" s="35"/>
      <c r="AW1758" s="35"/>
      <c r="AX1758" s="35"/>
      <c r="AY1758" s="35"/>
      <c r="AZ1758" s="35"/>
      <c r="BA1758" s="35"/>
      <c r="BB1758" s="35"/>
      <c r="BC1758" s="35"/>
      <c r="BD1758" s="35"/>
      <c r="BE1758" s="35"/>
      <c r="BF1758" s="35"/>
      <c r="BG1758" s="35"/>
    </row>
    <row r="1759" ht="15.75" customHeight="1">
      <c r="A1759" s="35"/>
      <c r="B1759" s="35"/>
      <c r="C1759" s="35"/>
      <c r="D1759" s="35"/>
      <c r="E1759" s="35"/>
      <c r="F1759" s="35"/>
      <c r="G1759" s="35"/>
      <c r="H1759" s="35"/>
      <c r="I1759" s="35"/>
      <c r="J1759" s="35"/>
      <c r="K1759" s="35"/>
      <c r="L1759" s="35"/>
      <c r="M1759" s="35"/>
      <c r="N1759" s="35"/>
      <c r="O1759" s="35"/>
      <c r="P1759" s="35"/>
      <c r="Q1759" s="35"/>
      <c r="R1759" s="35"/>
      <c r="S1759" s="35"/>
      <c r="T1759" s="35"/>
      <c r="U1759" s="35"/>
      <c r="V1759" s="35"/>
      <c r="W1759" s="35"/>
      <c r="X1759" s="35"/>
      <c r="Y1759" s="35"/>
      <c r="Z1759" s="35"/>
      <c r="AA1759" s="35"/>
      <c r="AB1759" s="35"/>
      <c r="AC1759" s="35"/>
      <c r="AD1759" s="35"/>
      <c r="AE1759" s="35"/>
      <c r="AF1759" s="35"/>
      <c r="AG1759" s="35"/>
      <c r="AH1759" s="35"/>
      <c r="AI1759" s="35"/>
      <c r="AJ1759" s="35"/>
      <c r="AK1759" s="35"/>
      <c r="AL1759" s="35"/>
      <c r="AM1759" s="35"/>
      <c r="AN1759" s="35"/>
      <c r="AO1759" s="35"/>
      <c r="AP1759" s="35"/>
      <c r="AQ1759" s="35"/>
      <c r="AR1759" s="35"/>
      <c r="AS1759" s="35"/>
      <c r="AT1759" s="35"/>
      <c r="AU1759" s="35"/>
      <c r="AV1759" s="35"/>
      <c r="AW1759" s="35"/>
      <c r="AX1759" s="35"/>
      <c r="AY1759" s="35"/>
      <c r="AZ1759" s="35"/>
      <c r="BA1759" s="35"/>
      <c r="BB1759" s="35"/>
      <c r="BC1759" s="35"/>
      <c r="BD1759" s="35"/>
      <c r="BE1759" s="35"/>
      <c r="BF1759" s="35"/>
      <c r="BG1759" s="35"/>
    </row>
    <row r="1760" ht="15.75" customHeight="1">
      <c r="A1760" s="35"/>
      <c r="B1760" s="35"/>
      <c r="C1760" s="35"/>
      <c r="D1760" s="35"/>
      <c r="E1760" s="35"/>
      <c r="F1760" s="35"/>
      <c r="G1760" s="35"/>
      <c r="H1760" s="35"/>
      <c r="I1760" s="35"/>
      <c r="J1760" s="35"/>
      <c r="K1760" s="35"/>
      <c r="L1760" s="35"/>
      <c r="M1760" s="35"/>
      <c r="N1760" s="35"/>
      <c r="O1760" s="35"/>
      <c r="P1760" s="35"/>
      <c r="Q1760" s="35"/>
      <c r="R1760" s="35"/>
      <c r="S1760" s="35"/>
      <c r="T1760" s="35"/>
      <c r="U1760" s="35"/>
      <c r="V1760" s="35"/>
      <c r="W1760" s="35"/>
      <c r="X1760" s="35"/>
      <c r="Y1760" s="35"/>
      <c r="Z1760" s="35"/>
      <c r="AA1760" s="35"/>
      <c r="AB1760" s="35"/>
      <c r="AC1760" s="35"/>
      <c r="AD1760" s="35"/>
      <c r="AE1760" s="35"/>
      <c r="AF1760" s="35"/>
      <c r="AG1760" s="35"/>
      <c r="AH1760" s="35"/>
      <c r="AI1760" s="35"/>
      <c r="AJ1760" s="35"/>
      <c r="AK1760" s="35"/>
      <c r="AL1760" s="35"/>
      <c r="AM1760" s="35"/>
      <c r="AN1760" s="35"/>
      <c r="AO1760" s="35"/>
      <c r="AP1760" s="35"/>
      <c r="AQ1760" s="35"/>
      <c r="AR1760" s="35"/>
      <c r="AS1760" s="35"/>
      <c r="AT1760" s="35"/>
      <c r="AU1760" s="35"/>
      <c r="AV1760" s="35"/>
      <c r="AW1760" s="35"/>
      <c r="AX1760" s="35"/>
      <c r="AY1760" s="35"/>
      <c r="AZ1760" s="35"/>
      <c r="BA1760" s="35"/>
      <c r="BB1760" s="35"/>
      <c r="BC1760" s="35"/>
      <c r="BD1760" s="35"/>
      <c r="BE1760" s="35"/>
      <c r="BF1760" s="35"/>
      <c r="BG1760" s="35"/>
    </row>
    <row r="1761" ht="15.75" customHeight="1">
      <c r="A1761" s="35"/>
      <c r="B1761" s="35"/>
      <c r="C1761" s="35"/>
      <c r="D1761" s="35"/>
      <c r="E1761" s="35"/>
      <c r="F1761" s="35"/>
      <c r="G1761" s="35"/>
      <c r="H1761" s="35"/>
      <c r="I1761" s="35"/>
      <c r="J1761" s="35"/>
      <c r="K1761" s="35"/>
      <c r="L1761" s="35"/>
      <c r="M1761" s="35"/>
      <c r="N1761" s="35"/>
      <c r="O1761" s="35"/>
      <c r="P1761" s="35"/>
      <c r="Q1761" s="35"/>
      <c r="R1761" s="35"/>
      <c r="S1761" s="35"/>
      <c r="T1761" s="35"/>
      <c r="U1761" s="35"/>
      <c r="V1761" s="35"/>
      <c r="W1761" s="35"/>
      <c r="X1761" s="35"/>
      <c r="Y1761" s="35"/>
      <c r="Z1761" s="35"/>
      <c r="AA1761" s="35"/>
      <c r="AB1761" s="35"/>
      <c r="AC1761" s="35"/>
      <c r="AD1761" s="35"/>
      <c r="AE1761" s="35"/>
      <c r="AF1761" s="35"/>
      <c r="AG1761" s="35"/>
      <c r="AH1761" s="35"/>
      <c r="AI1761" s="35"/>
      <c r="AJ1761" s="35"/>
      <c r="AK1761" s="35"/>
      <c r="AL1761" s="35"/>
      <c r="AM1761" s="35"/>
      <c r="AN1761" s="35"/>
      <c r="AO1761" s="35"/>
      <c r="AP1761" s="35"/>
      <c r="AQ1761" s="35"/>
      <c r="AR1761" s="35"/>
      <c r="AS1761" s="35"/>
      <c r="AT1761" s="35"/>
      <c r="AU1761" s="35"/>
      <c r="AV1761" s="35"/>
      <c r="AW1761" s="35"/>
      <c r="AX1761" s="35"/>
      <c r="AY1761" s="35"/>
      <c r="AZ1761" s="35"/>
      <c r="BA1761" s="35"/>
      <c r="BB1761" s="35"/>
      <c r="BC1761" s="35"/>
      <c r="BD1761" s="35"/>
      <c r="BE1761" s="35"/>
      <c r="BF1761" s="35"/>
      <c r="BG1761" s="35"/>
    </row>
    <row r="1762" ht="15.75" customHeight="1">
      <c r="A1762" s="35"/>
      <c r="B1762" s="35"/>
      <c r="C1762" s="35"/>
      <c r="D1762" s="35"/>
      <c r="E1762" s="35"/>
      <c r="F1762" s="35"/>
      <c r="G1762" s="35"/>
      <c r="H1762" s="35"/>
      <c r="I1762" s="35"/>
      <c r="J1762" s="35"/>
      <c r="K1762" s="35"/>
      <c r="L1762" s="35"/>
      <c r="M1762" s="35"/>
      <c r="N1762" s="35"/>
      <c r="O1762" s="35"/>
      <c r="P1762" s="35"/>
      <c r="Q1762" s="35"/>
      <c r="R1762" s="35"/>
      <c r="S1762" s="35"/>
      <c r="T1762" s="35"/>
      <c r="U1762" s="35"/>
      <c r="V1762" s="35"/>
      <c r="W1762" s="35"/>
      <c r="X1762" s="35"/>
      <c r="Y1762" s="35"/>
      <c r="Z1762" s="35"/>
      <c r="AA1762" s="35"/>
      <c r="AB1762" s="35"/>
      <c r="AC1762" s="35"/>
      <c r="AD1762" s="35"/>
      <c r="AE1762" s="35"/>
      <c r="AF1762" s="35"/>
      <c r="AG1762" s="35"/>
      <c r="AH1762" s="35"/>
      <c r="AI1762" s="35"/>
      <c r="AJ1762" s="35"/>
      <c r="AK1762" s="35"/>
      <c r="AL1762" s="35"/>
      <c r="AM1762" s="35"/>
      <c r="AN1762" s="35"/>
      <c r="AO1762" s="35"/>
      <c r="AP1762" s="35"/>
      <c r="AQ1762" s="35"/>
      <c r="AR1762" s="35"/>
      <c r="AS1762" s="35"/>
      <c r="AT1762" s="35"/>
      <c r="AU1762" s="35"/>
      <c r="AV1762" s="35"/>
      <c r="AW1762" s="35"/>
      <c r="AX1762" s="35"/>
      <c r="AY1762" s="35"/>
      <c r="AZ1762" s="35"/>
      <c r="BA1762" s="35"/>
      <c r="BB1762" s="35"/>
      <c r="BC1762" s="35"/>
      <c r="BD1762" s="35"/>
      <c r="BE1762" s="35"/>
      <c r="BF1762" s="35"/>
      <c r="BG1762" s="35"/>
    </row>
    <row r="1763" ht="15.75" customHeight="1">
      <c r="A1763" s="35"/>
      <c r="B1763" s="35"/>
      <c r="C1763" s="35"/>
      <c r="D1763" s="35"/>
      <c r="E1763" s="35"/>
      <c r="F1763" s="35"/>
      <c r="G1763" s="35"/>
      <c r="H1763" s="35"/>
      <c r="I1763" s="35"/>
      <c r="J1763" s="35"/>
      <c r="K1763" s="35"/>
      <c r="L1763" s="35"/>
      <c r="M1763" s="35"/>
      <c r="N1763" s="35"/>
      <c r="O1763" s="35"/>
      <c r="P1763" s="35"/>
      <c r="Q1763" s="35"/>
      <c r="R1763" s="35"/>
      <c r="S1763" s="35"/>
      <c r="T1763" s="35"/>
      <c r="U1763" s="35"/>
      <c r="V1763" s="35"/>
      <c r="W1763" s="35"/>
      <c r="X1763" s="35"/>
      <c r="Y1763" s="35"/>
      <c r="Z1763" s="35"/>
      <c r="AA1763" s="35"/>
      <c r="AB1763" s="35"/>
      <c r="AC1763" s="35"/>
      <c r="AD1763" s="35"/>
      <c r="AE1763" s="35"/>
      <c r="AF1763" s="35"/>
      <c r="AG1763" s="35"/>
      <c r="AH1763" s="35"/>
      <c r="AI1763" s="35"/>
      <c r="AJ1763" s="35"/>
      <c r="AK1763" s="35"/>
      <c r="AL1763" s="35"/>
      <c r="AM1763" s="35"/>
      <c r="AN1763" s="35"/>
      <c r="AO1763" s="35"/>
      <c r="AP1763" s="35"/>
      <c r="AQ1763" s="35"/>
      <c r="AR1763" s="35"/>
      <c r="AS1763" s="35"/>
      <c r="AT1763" s="35"/>
      <c r="AU1763" s="35"/>
      <c r="AV1763" s="35"/>
      <c r="AW1763" s="35"/>
      <c r="AX1763" s="35"/>
      <c r="AY1763" s="35"/>
      <c r="AZ1763" s="35"/>
      <c r="BA1763" s="35"/>
      <c r="BB1763" s="35"/>
      <c r="BC1763" s="35"/>
      <c r="BD1763" s="35"/>
      <c r="BE1763" s="35"/>
      <c r="BF1763" s="35"/>
      <c r="BG1763" s="35"/>
    </row>
    <row r="1764" ht="15.75" customHeight="1">
      <c r="A1764" s="35"/>
      <c r="B1764" s="35"/>
      <c r="C1764" s="35"/>
      <c r="D1764" s="35"/>
      <c r="E1764" s="35"/>
      <c r="F1764" s="35"/>
      <c r="G1764" s="35"/>
      <c r="H1764" s="35"/>
      <c r="I1764" s="35"/>
      <c r="J1764" s="35"/>
      <c r="K1764" s="35"/>
      <c r="L1764" s="35"/>
      <c r="M1764" s="35"/>
      <c r="N1764" s="35"/>
      <c r="O1764" s="35"/>
      <c r="P1764" s="35"/>
      <c r="Q1764" s="35"/>
      <c r="R1764" s="35"/>
      <c r="S1764" s="35"/>
      <c r="T1764" s="35"/>
      <c r="U1764" s="35"/>
      <c r="V1764" s="35"/>
      <c r="W1764" s="35"/>
      <c r="X1764" s="35"/>
      <c r="Y1764" s="35"/>
      <c r="Z1764" s="35"/>
      <c r="AA1764" s="35"/>
      <c r="AB1764" s="35"/>
      <c r="AC1764" s="35"/>
      <c r="AD1764" s="35"/>
      <c r="AE1764" s="35"/>
      <c r="AF1764" s="35"/>
      <c r="AG1764" s="35"/>
      <c r="AH1764" s="35"/>
      <c r="AI1764" s="35"/>
      <c r="AJ1764" s="35"/>
      <c r="AK1764" s="35"/>
      <c r="AL1764" s="35"/>
      <c r="AM1764" s="35"/>
      <c r="AN1764" s="35"/>
      <c r="AO1764" s="35"/>
      <c r="AP1764" s="35"/>
      <c r="AQ1764" s="35"/>
      <c r="AR1764" s="35"/>
      <c r="AS1764" s="35"/>
      <c r="AT1764" s="35"/>
      <c r="AU1764" s="35"/>
      <c r="AV1764" s="35"/>
      <c r="AW1764" s="35"/>
      <c r="AX1764" s="35"/>
      <c r="AY1764" s="35"/>
      <c r="AZ1764" s="35"/>
      <c r="BA1764" s="35"/>
      <c r="BB1764" s="35"/>
      <c r="BC1764" s="35"/>
      <c r="BD1764" s="35"/>
      <c r="BE1764" s="35"/>
      <c r="BF1764" s="35"/>
      <c r="BG1764" s="35"/>
    </row>
    <row r="1765" ht="15.75" customHeight="1">
      <c r="A1765" s="35"/>
      <c r="B1765" s="35"/>
      <c r="C1765" s="35"/>
      <c r="D1765" s="35"/>
      <c r="E1765" s="35"/>
      <c r="F1765" s="35"/>
      <c r="G1765" s="35"/>
      <c r="H1765" s="35"/>
      <c r="I1765" s="35"/>
      <c r="J1765" s="35"/>
      <c r="K1765" s="35"/>
      <c r="L1765" s="35"/>
      <c r="M1765" s="35"/>
      <c r="N1765" s="35"/>
      <c r="O1765" s="35"/>
      <c r="P1765" s="35"/>
      <c r="Q1765" s="35"/>
      <c r="R1765" s="35"/>
      <c r="S1765" s="35"/>
      <c r="T1765" s="35"/>
      <c r="U1765" s="35"/>
      <c r="V1765" s="35"/>
      <c r="W1765" s="35"/>
      <c r="X1765" s="35"/>
      <c r="Y1765" s="35"/>
      <c r="Z1765" s="35"/>
      <c r="AA1765" s="35"/>
      <c r="AB1765" s="35"/>
      <c r="AC1765" s="35"/>
      <c r="AD1765" s="35"/>
      <c r="AE1765" s="35"/>
      <c r="AF1765" s="35"/>
      <c r="AG1765" s="35"/>
      <c r="AH1765" s="35"/>
      <c r="AI1765" s="35"/>
      <c r="AJ1765" s="35"/>
      <c r="AK1765" s="35"/>
      <c r="AL1765" s="35"/>
      <c r="AM1765" s="35"/>
      <c r="AN1765" s="35"/>
      <c r="AO1765" s="35"/>
      <c r="AP1765" s="35"/>
      <c r="AQ1765" s="35"/>
      <c r="AR1765" s="35"/>
      <c r="AS1765" s="35"/>
      <c r="AT1765" s="35"/>
      <c r="AU1765" s="35"/>
      <c r="AV1765" s="35"/>
      <c r="AW1765" s="35"/>
      <c r="AX1765" s="35"/>
      <c r="AY1765" s="35"/>
      <c r="AZ1765" s="35"/>
      <c r="BA1765" s="35"/>
      <c r="BB1765" s="35"/>
      <c r="BC1765" s="35"/>
      <c r="BD1765" s="35"/>
      <c r="BE1765" s="35"/>
      <c r="BF1765" s="35"/>
      <c r="BG1765" s="35"/>
    </row>
    <row r="1766" ht="15.75" customHeight="1">
      <c r="A1766" s="35"/>
      <c r="B1766" s="35"/>
      <c r="C1766" s="35"/>
      <c r="D1766" s="35"/>
      <c r="E1766" s="35"/>
      <c r="F1766" s="35"/>
      <c r="G1766" s="35"/>
      <c r="H1766" s="35"/>
      <c r="I1766" s="35"/>
      <c r="J1766" s="35"/>
      <c r="K1766" s="35"/>
      <c r="L1766" s="35"/>
      <c r="M1766" s="35"/>
      <c r="N1766" s="35"/>
      <c r="O1766" s="35"/>
      <c r="P1766" s="35"/>
      <c r="Q1766" s="35"/>
      <c r="R1766" s="35"/>
      <c r="S1766" s="35"/>
      <c r="T1766" s="35"/>
      <c r="U1766" s="35"/>
      <c r="V1766" s="35"/>
      <c r="W1766" s="35"/>
      <c r="X1766" s="35"/>
      <c r="Y1766" s="35"/>
      <c r="Z1766" s="35"/>
      <c r="AA1766" s="35"/>
      <c r="AB1766" s="35"/>
      <c r="AC1766" s="35"/>
      <c r="AD1766" s="35"/>
      <c r="AE1766" s="35"/>
      <c r="AF1766" s="35"/>
      <c r="AG1766" s="35"/>
      <c r="AH1766" s="35"/>
      <c r="AI1766" s="35"/>
      <c r="AJ1766" s="35"/>
      <c r="AK1766" s="35"/>
      <c r="AL1766" s="35"/>
      <c r="AM1766" s="35"/>
      <c r="AN1766" s="35"/>
      <c r="AO1766" s="35"/>
      <c r="AP1766" s="35"/>
      <c r="AQ1766" s="35"/>
      <c r="AR1766" s="35"/>
      <c r="AS1766" s="35"/>
      <c r="AT1766" s="35"/>
      <c r="AU1766" s="35"/>
      <c r="AV1766" s="35"/>
      <c r="AW1766" s="35"/>
      <c r="AX1766" s="35"/>
      <c r="AY1766" s="35"/>
      <c r="AZ1766" s="35"/>
      <c r="BA1766" s="35"/>
      <c r="BB1766" s="35"/>
      <c r="BC1766" s="35"/>
      <c r="BD1766" s="35"/>
      <c r="BE1766" s="35"/>
      <c r="BF1766" s="35"/>
      <c r="BG1766" s="35"/>
    </row>
    <row r="1767" ht="15.75" customHeight="1">
      <c r="A1767" s="35"/>
      <c r="B1767" s="35"/>
      <c r="C1767" s="35"/>
      <c r="D1767" s="35"/>
      <c r="E1767" s="35"/>
      <c r="F1767" s="35"/>
      <c r="G1767" s="35"/>
      <c r="H1767" s="35"/>
      <c r="I1767" s="35"/>
      <c r="J1767" s="35"/>
      <c r="K1767" s="35"/>
      <c r="L1767" s="35"/>
      <c r="M1767" s="35"/>
      <c r="N1767" s="35"/>
      <c r="O1767" s="35"/>
      <c r="P1767" s="35"/>
      <c r="Q1767" s="35"/>
      <c r="R1767" s="35"/>
      <c r="S1767" s="35"/>
      <c r="T1767" s="35"/>
      <c r="U1767" s="35"/>
      <c r="V1767" s="35"/>
      <c r="W1767" s="35"/>
      <c r="X1767" s="35"/>
      <c r="Y1767" s="35"/>
      <c r="Z1767" s="35"/>
      <c r="AA1767" s="35"/>
      <c r="AB1767" s="35"/>
      <c r="AC1767" s="35"/>
      <c r="AD1767" s="35"/>
      <c r="AE1767" s="35"/>
      <c r="AF1767" s="35"/>
      <c r="AG1767" s="35"/>
      <c r="AH1767" s="35"/>
      <c r="AI1767" s="35"/>
      <c r="AJ1767" s="35"/>
      <c r="AK1767" s="35"/>
      <c r="AL1767" s="35"/>
      <c r="AM1767" s="35"/>
      <c r="AN1767" s="35"/>
      <c r="AO1767" s="35"/>
      <c r="AP1767" s="35"/>
      <c r="AQ1767" s="35"/>
      <c r="AR1767" s="35"/>
      <c r="AS1767" s="35"/>
      <c r="AT1767" s="35"/>
      <c r="AU1767" s="35"/>
      <c r="AV1767" s="35"/>
      <c r="AW1767" s="35"/>
      <c r="AX1767" s="35"/>
      <c r="AY1767" s="35"/>
      <c r="AZ1767" s="35"/>
      <c r="BA1767" s="35"/>
      <c r="BB1767" s="35"/>
      <c r="BC1767" s="35"/>
      <c r="BD1767" s="35"/>
      <c r="BE1767" s="35"/>
      <c r="BF1767" s="35"/>
      <c r="BG1767" s="35"/>
    </row>
    <row r="1768" ht="15.75" customHeight="1">
      <c r="A1768" s="35"/>
      <c r="B1768" s="35"/>
      <c r="C1768" s="35"/>
      <c r="D1768" s="35"/>
      <c r="E1768" s="35"/>
      <c r="F1768" s="35"/>
      <c r="G1768" s="35"/>
      <c r="H1768" s="35"/>
      <c r="I1768" s="35"/>
      <c r="J1768" s="35"/>
      <c r="K1768" s="35"/>
      <c r="L1768" s="35"/>
      <c r="M1768" s="35"/>
      <c r="N1768" s="35"/>
      <c r="O1768" s="35"/>
      <c r="P1768" s="35"/>
      <c r="Q1768" s="35"/>
      <c r="R1768" s="35"/>
      <c r="S1768" s="35"/>
      <c r="T1768" s="35"/>
      <c r="U1768" s="35"/>
      <c r="V1768" s="35"/>
      <c r="W1768" s="35"/>
      <c r="X1768" s="35"/>
      <c r="Y1768" s="35"/>
      <c r="Z1768" s="35"/>
      <c r="AA1768" s="35"/>
      <c r="AB1768" s="35"/>
      <c r="AC1768" s="35"/>
      <c r="AD1768" s="35"/>
      <c r="AE1768" s="35"/>
      <c r="AF1768" s="35"/>
      <c r="AG1768" s="35"/>
      <c r="AH1768" s="35"/>
      <c r="AI1768" s="35"/>
      <c r="AJ1768" s="35"/>
      <c r="AK1768" s="35"/>
      <c r="AL1768" s="35"/>
      <c r="AM1768" s="35"/>
      <c r="AN1768" s="35"/>
      <c r="AO1768" s="35"/>
      <c r="AP1768" s="35"/>
      <c r="AQ1768" s="35"/>
      <c r="AR1768" s="35"/>
      <c r="AS1768" s="35"/>
      <c r="AT1768" s="35"/>
      <c r="AU1768" s="35"/>
      <c r="AV1768" s="35"/>
      <c r="AW1768" s="35"/>
      <c r="AX1768" s="35"/>
      <c r="AY1768" s="35"/>
      <c r="AZ1768" s="35"/>
      <c r="BA1768" s="35"/>
      <c r="BB1768" s="35"/>
      <c r="BC1768" s="35"/>
      <c r="BD1768" s="35"/>
      <c r="BE1768" s="35"/>
      <c r="BF1768" s="35"/>
      <c r="BG1768" s="35"/>
    </row>
    <row r="1769" ht="15.75" customHeight="1">
      <c r="A1769" s="35"/>
      <c r="B1769" s="35"/>
      <c r="C1769" s="35"/>
      <c r="D1769" s="35"/>
      <c r="E1769" s="35"/>
      <c r="F1769" s="35"/>
      <c r="G1769" s="35"/>
      <c r="H1769" s="35"/>
      <c r="I1769" s="35"/>
      <c r="J1769" s="35"/>
      <c r="K1769" s="35"/>
      <c r="L1769" s="35"/>
      <c r="M1769" s="35"/>
      <c r="N1769" s="35"/>
      <c r="O1769" s="35"/>
      <c r="P1769" s="35"/>
      <c r="Q1769" s="35"/>
      <c r="R1769" s="35"/>
      <c r="S1769" s="35"/>
      <c r="T1769" s="35"/>
      <c r="U1769" s="35"/>
      <c r="V1769" s="35"/>
      <c r="W1769" s="35"/>
      <c r="X1769" s="35"/>
      <c r="Y1769" s="35"/>
      <c r="Z1769" s="35"/>
      <c r="AA1769" s="35"/>
      <c r="AB1769" s="35"/>
      <c r="AC1769" s="35"/>
      <c r="AD1769" s="35"/>
      <c r="AE1769" s="35"/>
      <c r="AF1769" s="35"/>
      <c r="AG1769" s="35"/>
      <c r="AH1769" s="35"/>
      <c r="AI1769" s="35"/>
      <c r="AJ1769" s="35"/>
      <c r="AK1769" s="35"/>
      <c r="AL1769" s="35"/>
      <c r="AM1769" s="35"/>
      <c r="AN1769" s="35"/>
      <c r="AO1769" s="35"/>
      <c r="AP1769" s="35"/>
      <c r="AQ1769" s="35"/>
      <c r="AR1769" s="35"/>
      <c r="AS1769" s="35"/>
      <c r="AT1769" s="35"/>
      <c r="AU1769" s="35"/>
      <c r="AV1769" s="35"/>
      <c r="AW1769" s="35"/>
      <c r="AX1769" s="35"/>
      <c r="AY1769" s="35"/>
      <c r="AZ1769" s="35"/>
      <c r="BA1769" s="35"/>
      <c r="BB1769" s="35"/>
      <c r="BC1769" s="35"/>
      <c r="BD1769" s="35"/>
      <c r="BE1769" s="35"/>
      <c r="BF1769" s="35"/>
      <c r="BG1769" s="35"/>
    </row>
    <row r="1770" ht="15.75" customHeight="1">
      <c r="A1770" s="35"/>
      <c r="B1770" s="35"/>
      <c r="C1770" s="35"/>
      <c r="D1770" s="35"/>
      <c r="E1770" s="35"/>
      <c r="F1770" s="35"/>
      <c r="G1770" s="35"/>
      <c r="H1770" s="35"/>
      <c r="I1770" s="35"/>
      <c r="J1770" s="35"/>
      <c r="K1770" s="35"/>
      <c r="L1770" s="35"/>
      <c r="M1770" s="35"/>
      <c r="N1770" s="35"/>
      <c r="O1770" s="35"/>
      <c r="P1770" s="35"/>
      <c r="Q1770" s="35"/>
      <c r="R1770" s="35"/>
      <c r="S1770" s="35"/>
      <c r="T1770" s="35"/>
      <c r="U1770" s="35"/>
      <c r="V1770" s="35"/>
      <c r="W1770" s="35"/>
      <c r="X1770" s="35"/>
      <c r="Y1770" s="35"/>
      <c r="Z1770" s="35"/>
      <c r="AA1770" s="35"/>
      <c r="AB1770" s="35"/>
      <c r="AC1770" s="35"/>
      <c r="AD1770" s="35"/>
      <c r="AE1770" s="35"/>
      <c r="AF1770" s="35"/>
      <c r="AG1770" s="35"/>
      <c r="AH1770" s="35"/>
      <c r="AI1770" s="35"/>
      <c r="AJ1770" s="35"/>
      <c r="AK1770" s="35"/>
      <c r="AL1770" s="35"/>
      <c r="AM1770" s="35"/>
      <c r="AN1770" s="35"/>
      <c r="AO1770" s="35"/>
      <c r="AP1770" s="35"/>
      <c r="AQ1770" s="35"/>
      <c r="AR1770" s="35"/>
      <c r="AS1770" s="35"/>
      <c r="AT1770" s="35"/>
      <c r="AU1770" s="35"/>
      <c r="AV1770" s="35"/>
      <c r="AW1770" s="35"/>
      <c r="AX1770" s="35"/>
      <c r="AY1770" s="35"/>
      <c r="AZ1770" s="35"/>
      <c r="BA1770" s="35"/>
      <c r="BB1770" s="35"/>
      <c r="BC1770" s="35"/>
      <c r="BD1770" s="35"/>
      <c r="BE1770" s="35"/>
      <c r="BF1770" s="35"/>
      <c r="BG1770" s="35"/>
    </row>
    <row r="1771" ht="15.75" customHeight="1">
      <c r="A1771" s="35"/>
      <c r="B1771" s="35"/>
      <c r="C1771" s="35"/>
      <c r="D1771" s="35"/>
      <c r="E1771" s="35"/>
      <c r="F1771" s="35"/>
      <c r="G1771" s="35"/>
      <c r="H1771" s="35"/>
      <c r="I1771" s="35"/>
      <c r="J1771" s="35"/>
      <c r="K1771" s="35"/>
      <c r="L1771" s="35"/>
      <c r="M1771" s="35"/>
      <c r="N1771" s="35"/>
      <c r="O1771" s="35"/>
      <c r="P1771" s="35"/>
      <c r="Q1771" s="35"/>
      <c r="R1771" s="35"/>
      <c r="S1771" s="35"/>
      <c r="T1771" s="35"/>
      <c r="U1771" s="35"/>
      <c r="V1771" s="35"/>
      <c r="W1771" s="35"/>
      <c r="X1771" s="35"/>
      <c r="Y1771" s="35"/>
      <c r="Z1771" s="35"/>
      <c r="AA1771" s="35"/>
      <c r="AB1771" s="35"/>
      <c r="AC1771" s="35"/>
      <c r="AD1771" s="35"/>
      <c r="AE1771" s="35"/>
      <c r="AF1771" s="35"/>
      <c r="AG1771" s="35"/>
      <c r="AH1771" s="35"/>
      <c r="AI1771" s="35"/>
      <c r="AJ1771" s="35"/>
      <c r="AK1771" s="35"/>
      <c r="AL1771" s="35"/>
      <c r="AM1771" s="35"/>
      <c r="AN1771" s="35"/>
      <c r="AO1771" s="35"/>
      <c r="AP1771" s="35"/>
      <c r="AQ1771" s="35"/>
      <c r="AR1771" s="35"/>
      <c r="AS1771" s="35"/>
      <c r="AT1771" s="35"/>
      <c r="AU1771" s="35"/>
      <c r="AV1771" s="35"/>
      <c r="AW1771" s="35"/>
      <c r="AX1771" s="35"/>
      <c r="AY1771" s="35"/>
      <c r="AZ1771" s="35"/>
      <c r="BA1771" s="35"/>
      <c r="BB1771" s="35"/>
      <c r="BC1771" s="35"/>
      <c r="BD1771" s="35"/>
      <c r="BE1771" s="35"/>
      <c r="BF1771" s="35"/>
      <c r="BG1771" s="35"/>
    </row>
    <row r="1772" ht="15.75" customHeight="1">
      <c r="A1772" s="35"/>
      <c r="B1772" s="35"/>
      <c r="C1772" s="35"/>
      <c r="D1772" s="35"/>
      <c r="E1772" s="35"/>
      <c r="F1772" s="35"/>
      <c r="G1772" s="35"/>
      <c r="H1772" s="35"/>
      <c r="I1772" s="35"/>
      <c r="J1772" s="35"/>
      <c r="K1772" s="35"/>
      <c r="L1772" s="35"/>
      <c r="M1772" s="35"/>
      <c r="N1772" s="35"/>
      <c r="O1772" s="35"/>
      <c r="P1772" s="35"/>
      <c r="Q1772" s="35"/>
      <c r="R1772" s="35"/>
      <c r="S1772" s="35"/>
      <c r="T1772" s="35"/>
      <c r="U1772" s="35"/>
      <c r="V1772" s="35"/>
      <c r="W1772" s="35"/>
      <c r="X1772" s="35"/>
      <c r="Y1772" s="35"/>
      <c r="Z1772" s="35"/>
      <c r="AA1772" s="35"/>
      <c r="AB1772" s="35"/>
      <c r="AC1772" s="35"/>
      <c r="AD1772" s="35"/>
      <c r="AE1772" s="35"/>
      <c r="AF1772" s="35"/>
      <c r="AG1772" s="35"/>
      <c r="AH1772" s="35"/>
      <c r="AI1772" s="35"/>
      <c r="AJ1772" s="35"/>
      <c r="AK1772" s="35"/>
      <c r="AL1772" s="35"/>
      <c r="AM1772" s="35"/>
      <c r="AN1772" s="35"/>
      <c r="AO1772" s="35"/>
      <c r="AP1772" s="35"/>
      <c r="AQ1772" s="35"/>
      <c r="AR1772" s="35"/>
      <c r="AS1772" s="35"/>
      <c r="AT1772" s="35"/>
      <c r="AU1772" s="35"/>
      <c r="AV1772" s="35"/>
      <c r="AW1772" s="35"/>
      <c r="AX1772" s="35"/>
      <c r="AY1772" s="35"/>
      <c r="AZ1772" s="35"/>
      <c r="BA1772" s="35"/>
      <c r="BB1772" s="35"/>
      <c r="BC1772" s="35"/>
      <c r="BD1772" s="35"/>
      <c r="BE1772" s="35"/>
      <c r="BF1772" s="35"/>
      <c r="BG1772" s="35"/>
    </row>
    <row r="1773" ht="15.75" customHeight="1">
      <c r="A1773" s="35"/>
      <c r="B1773" s="35"/>
      <c r="C1773" s="35"/>
      <c r="D1773" s="35"/>
      <c r="E1773" s="35"/>
      <c r="F1773" s="35"/>
      <c r="G1773" s="35"/>
      <c r="H1773" s="35"/>
      <c r="I1773" s="35"/>
      <c r="J1773" s="35"/>
      <c r="K1773" s="35"/>
      <c r="L1773" s="35"/>
      <c r="M1773" s="35"/>
      <c r="N1773" s="35"/>
      <c r="O1773" s="35"/>
      <c r="P1773" s="35"/>
      <c r="Q1773" s="35"/>
      <c r="R1773" s="35"/>
      <c r="S1773" s="35"/>
      <c r="T1773" s="35"/>
      <c r="U1773" s="35"/>
      <c r="V1773" s="35"/>
      <c r="W1773" s="35"/>
      <c r="X1773" s="35"/>
      <c r="Y1773" s="35"/>
      <c r="Z1773" s="35"/>
      <c r="AA1773" s="35"/>
      <c r="AB1773" s="35"/>
      <c r="AC1773" s="35"/>
      <c r="AD1773" s="35"/>
      <c r="AE1773" s="35"/>
      <c r="AF1773" s="35"/>
      <c r="AG1773" s="35"/>
      <c r="AH1773" s="35"/>
      <c r="AI1773" s="35"/>
      <c r="AJ1773" s="35"/>
      <c r="AK1773" s="35"/>
      <c r="AL1773" s="35"/>
      <c r="AM1773" s="35"/>
      <c r="AN1773" s="35"/>
      <c r="AO1773" s="35"/>
      <c r="AP1773" s="35"/>
      <c r="AQ1773" s="35"/>
      <c r="AR1773" s="35"/>
      <c r="AS1773" s="35"/>
      <c r="AT1773" s="35"/>
      <c r="AU1773" s="35"/>
      <c r="AV1773" s="35"/>
      <c r="AW1773" s="35"/>
      <c r="AX1773" s="35"/>
      <c r="AY1773" s="35"/>
      <c r="AZ1773" s="35"/>
      <c r="BA1773" s="35"/>
      <c r="BB1773" s="35"/>
      <c r="BC1773" s="35"/>
      <c r="BD1773" s="35"/>
      <c r="BE1773" s="35"/>
      <c r="BF1773" s="35"/>
      <c r="BG1773" s="35"/>
    </row>
    <row r="1774" ht="15.75" customHeight="1">
      <c r="A1774" s="35"/>
      <c r="B1774" s="35"/>
      <c r="C1774" s="35"/>
      <c r="D1774" s="35"/>
      <c r="E1774" s="35"/>
      <c r="F1774" s="35"/>
      <c r="G1774" s="35"/>
      <c r="H1774" s="35"/>
      <c r="I1774" s="35"/>
      <c r="J1774" s="35"/>
      <c r="K1774" s="35"/>
      <c r="L1774" s="35"/>
      <c r="M1774" s="35"/>
      <c r="N1774" s="35"/>
      <c r="O1774" s="35"/>
      <c r="P1774" s="35"/>
      <c r="Q1774" s="35"/>
      <c r="R1774" s="35"/>
      <c r="S1774" s="35"/>
      <c r="T1774" s="35"/>
      <c r="U1774" s="35"/>
      <c r="V1774" s="35"/>
      <c r="W1774" s="35"/>
      <c r="X1774" s="35"/>
      <c r="Y1774" s="35"/>
      <c r="Z1774" s="35"/>
      <c r="AA1774" s="35"/>
      <c r="AB1774" s="35"/>
      <c r="AC1774" s="35"/>
      <c r="AD1774" s="35"/>
      <c r="AE1774" s="35"/>
      <c r="AF1774" s="35"/>
      <c r="AG1774" s="35"/>
      <c r="AH1774" s="35"/>
      <c r="AI1774" s="35"/>
      <c r="AJ1774" s="35"/>
      <c r="AK1774" s="35"/>
      <c r="AL1774" s="35"/>
      <c r="AM1774" s="35"/>
      <c r="AN1774" s="35"/>
      <c r="AO1774" s="35"/>
      <c r="AP1774" s="35"/>
      <c r="AQ1774" s="35"/>
      <c r="AR1774" s="35"/>
      <c r="AS1774" s="35"/>
      <c r="AT1774" s="35"/>
      <c r="AU1774" s="35"/>
      <c r="AV1774" s="35"/>
      <c r="AW1774" s="35"/>
      <c r="AX1774" s="35"/>
      <c r="AY1774" s="35"/>
      <c r="AZ1774" s="35"/>
      <c r="BA1774" s="35"/>
      <c r="BB1774" s="35"/>
      <c r="BC1774" s="35"/>
      <c r="BD1774" s="35"/>
      <c r="BE1774" s="35"/>
      <c r="BF1774" s="35"/>
      <c r="BG1774" s="35"/>
    </row>
    <row r="1775" ht="15.75" customHeight="1">
      <c r="A1775" s="35"/>
      <c r="B1775" s="35"/>
      <c r="C1775" s="35"/>
      <c r="D1775" s="35"/>
      <c r="E1775" s="35"/>
      <c r="F1775" s="35"/>
      <c r="G1775" s="35"/>
      <c r="H1775" s="35"/>
      <c r="I1775" s="35"/>
      <c r="J1775" s="35"/>
      <c r="K1775" s="35"/>
      <c r="L1775" s="35"/>
      <c r="M1775" s="35"/>
      <c r="N1775" s="35"/>
      <c r="O1775" s="35"/>
      <c r="P1775" s="35"/>
      <c r="Q1775" s="35"/>
      <c r="R1775" s="35"/>
      <c r="S1775" s="35"/>
      <c r="T1775" s="35"/>
      <c r="U1775" s="35"/>
      <c r="V1775" s="35"/>
      <c r="W1775" s="35"/>
      <c r="X1775" s="35"/>
      <c r="Y1775" s="35"/>
      <c r="Z1775" s="35"/>
      <c r="AA1775" s="35"/>
      <c r="AB1775" s="35"/>
      <c r="AC1775" s="35"/>
      <c r="AD1775" s="35"/>
      <c r="AE1775" s="35"/>
      <c r="AF1775" s="35"/>
      <c r="AG1775" s="35"/>
      <c r="AH1775" s="35"/>
      <c r="AI1775" s="35"/>
      <c r="AJ1775" s="35"/>
      <c r="AK1775" s="35"/>
      <c r="AL1775" s="35"/>
      <c r="AM1775" s="35"/>
      <c r="AN1775" s="35"/>
      <c r="AO1775" s="35"/>
      <c r="AP1775" s="35"/>
      <c r="AQ1775" s="35"/>
      <c r="AR1775" s="35"/>
      <c r="AS1775" s="35"/>
      <c r="AT1775" s="35"/>
      <c r="AU1775" s="35"/>
      <c r="AV1775" s="35"/>
      <c r="AW1775" s="35"/>
      <c r="AX1775" s="35"/>
      <c r="AY1775" s="35"/>
      <c r="AZ1775" s="35"/>
      <c r="BA1775" s="35"/>
      <c r="BB1775" s="35"/>
      <c r="BC1775" s="35"/>
      <c r="BD1775" s="35"/>
      <c r="BE1775" s="35"/>
      <c r="BF1775" s="35"/>
      <c r="BG1775" s="35"/>
    </row>
    <row r="1776" ht="15.75" customHeight="1">
      <c r="A1776" s="35"/>
      <c r="B1776" s="35"/>
      <c r="C1776" s="35"/>
      <c r="D1776" s="35"/>
      <c r="E1776" s="35"/>
      <c r="F1776" s="35"/>
      <c r="G1776" s="35"/>
      <c r="H1776" s="35"/>
      <c r="I1776" s="35"/>
      <c r="J1776" s="35"/>
      <c r="K1776" s="35"/>
      <c r="L1776" s="35"/>
      <c r="M1776" s="35"/>
      <c r="N1776" s="35"/>
      <c r="O1776" s="35"/>
      <c r="P1776" s="35"/>
      <c r="Q1776" s="35"/>
      <c r="R1776" s="35"/>
      <c r="S1776" s="35"/>
      <c r="T1776" s="35"/>
      <c r="U1776" s="35"/>
      <c r="V1776" s="35"/>
      <c r="W1776" s="35"/>
      <c r="X1776" s="35"/>
      <c r="Y1776" s="35"/>
      <c r="Z1776" s="35"/>
      <c r="AA1776" s="35"/>
      <c r="AB1776" s="35"/>
      <c r="AC1776" s="35"/>
      <c r="AD1776" s="35"/>
      <c r="AE1776" s="35"/>
      <c r="AF1776" s="35"/>
      <c r="AG1776" s="35"/>
      <c r="AH1776" s="35"/>
      <c r="AI1776" s="35"/>
      <c r="AJ1776" s="35"/>
      <c r="AK1776" s="35"/>
      <c r="AL1776" s="35"/>
      <c r="AM1776" s="35"/>
      <c r="AN1776" s="35"/>
      <c r="AO1776" s="35"/>
      <c r="AP1776" s="35"/>
      <c r="AQ1776" s="35"/>
      <c r="AR1776" s="35"/>
      <c r="AS1776" s="35"/>
      <c r="AT1776" s="35"/>
      <c r="AU1776" s="35"/>
      <c r="AV1776" s="35"/>
      <c r="AW1776" s="35"/>
      <c r="AX1776" s="35"/>
      <c r="AY1776" s="35"/>
      <c r="AZ1776" s="35"/>
      <c r="BA1776" s="35"/>
      <c r="BB1776" s="35"/>
      <c r="BC1776" s="35"/>
      <c r="BD1776" s="35"/>
      <c r="BE1776" s="35"/>
      <c r="BF1776" s="35"/>
      <c r="BG1776" s="35"/>
    </row>
    <row r="1777" ht="15.75" customHeight="1">
      <c r="A1777" s="35"/>
      <c r="B1777" s="35"/>
      <c r="C1777" s="35"/>
      <c r="D1777" s="35"/>
      <c r="E1777" s="35"/>
      <c r="F1777" s="35"/>
      <c r="G1777" s="35"/>
      <c r="H1777" s="35"/>
      <c r="I1777" s="35"/>
      <c r="J1777" s="35"/>
      <c r="K1777" s="35"/>
      <c r="L1777" s="35"/>
      <c r="M1777" s="35"/>
      <c r="N1777" s="35"/>
      <c r="O1777" s="35"/>
      <c r="P1777" s="35"/>
      <c r="Q1777" s="35"/>
      <c r="R1777" s="35"/>
      <c r="S1777" s="35"/>
      <c r="T1777" s="35"/>
      <c r="U1777" s="35"/>
      <c r="V1777" s="35"/>
      <c r="W1777" s="35"/>
      <c r="X1777" s="35"/>
      <c r="Y1777" s="35"/>
      <c r="Z1777" s="35"/>
      <c r="AA1777" s="35"/>
      <c r="AB1777" s="35"/>
      <c r="AC1777" s="35"/>
      <c r="AD1777" s="35"/>
      <c r="AE1777" s="35"/>
      <c r="AF1777" s="35"/>
      <c r="AG1777" s="35"/>
      <c r="AH1777" s="35"/>
      <c r="AI1777" s="35"/>
      <c r="AJ1777" s="35"/>
      <c r="AK1777" s="35"/>
      <c r="AL1777" s="35"/>
      <c r="AM1777" s="35"/>
      <c r="AN1777" s="35"/>
      <c r="AO1777" s="35"/>
      <c r="AP1777" s="35"/>
      <c r="AQ1777" s="35"/>
      <c r="AR1777" s="35"/>
      <c r="AS1777" s="35"/>
      <c r="AT1777" s="35"/>
      <c r="AU1777" s="35"/>
      <c r="AV1777" s="35"/>
      <c r="AW1777" s="35"/>
      <c r="AX1777" s="35"/>
      <c r="AY1777" s="35"/>
      <c r="AZ1777" s="35"/>
      <c r="BA1777" s="35"/>
      <c r="BB1777" s="35"/>
      <c r="BC1777" s="35"/>
      <c r="BD1777" s="35"/>
      <c r="BE1777" s="35"/>
      <c r="BF1777" s="35"/>
      <c r="BG1777" s="35"/>
    </row>
    <row r="1778" ht="15.75" customHeight="1">
      <c r="A1778" s="35"/>
      <c r="B1778" s="35"/>
      <c r="C1778" s="35"/>
      <c r="D1778" s="35"/>
      <c r="E1778" s="35"/>
      <c r="F1778" s="35"/>
      <c r="G1778" s="35"/>
      <c r="H1778" s="35"/>
      <c r="I1778" s="35"/>
      <c r="J1778" s="35"/>
      <c r="K1778" s="35"/>
      <c r="L1778" s="35"/>
      <c r="M1778" s="35"/>
      <c r="N1778" s="35"/>
      <c r="O1778" s="35"/>
      <c r="P1778" s="35"/>
      <c r="Q1778" s="35"/>
      <c r="R1778" s="35"/>
      <c r="S1778" s="35"/>
      <c r="T1778" s="35"/>
      <c r="U1778" s="35"/>
      <c r="V1778" s="35"/>
      <c r="W1778" s="35"/>
      <c r="X1778" s="35"/>
      <c r="Y1778" s="35"/>
      <c r="Z1778" s="35"/>
      <c r="AA1778" s="35"/>
      <c r="AB1778" s="35"/>
      <c r="AC1778" s="35"/>
      <c r="AD1778" s="35"/>
      <c r="AE1778" s="35"/>
      <c r="AF1778" s="35"/>
      <c r="AG1778" s="35"/>
      <c r="AH1778" s="35"/>
      <c r="AI1778" s="35"/>
      <c r="AJ1778" s="35"/>
      <c r="AK1778" s="35"/>
      <c r="AL1778" s="35"/>
      <c r="AM1778" s="35"/>
      <c r="AN1778" s="35"/>
      <c r="AO1778" s="35"/>
      <c r="AP1778" s="35"/>
      <c r="AQ1778" s="35"/>
      <c r="AR1778" s="35"/>
      <c r="AS1778" s="35"/>
      <c r="AT1778" s="35"/>
      <c r="AU1778" s="35"/>
      <c r="AV1778" s="35"/>
      <c r="AW1778" s="35"/>
      <c r="AX1778" s="35"/>
      <c r="AY1778" s="35"/>
      <c r="AZ1778" s="35"/>
      <c r="BA1778" s="35"/>
      <c r="BB1778" s="35"/>
      <c r="BC1778" s="35"/>
      <c r="BD1778" s="35"/>
      <c r="BE1778" s="35"/>
      <c r="BF1778" s="35"/>
      <c r="BG1778" s="35"/>
    </row>
    <row r="1779" ht="15.75" customHeight="1">
      <c r="A1779" s="35"/>
      <c r="B1779" s="35"/>
      <c r="C1779" s="35"/>
      <c r="D1779" s="35"/>
      <c r="E1779" s="35"/>
      <c r="F1779" s="35"/>
      <c r="G1779" s="35"/>
      <c r="H1779" s="35"/>
      <c r="I1779" s="35"/>
      <c r="J1779" s="35"/>
      <c r="K1779" s="35"/>
      <c r="L1779" s="35"/>
      <c r="M1779" s="35"/>
      <c r="N1779" s="35"/>
      <c r="O1779" s="35"/>
      <c r="P1779" s="35"/>
      <c r="Q1779" s="35"/>
      <c r="R1779" s="35"/>
      <c r="S1779" s="35"/>
      <c r="T1779" s="35"/>
      <c r="U1779" s="35"/>
      <c r="V1779" s="35"/>
      <c r="W1779" s="35"/>
      <c r="X1779" s="35"/>
      <c r="Y1779" s="35"/>
      <c r="Z1779" s="35"/>
      <c r="AA1779" s="35"/>
      <c r="AB1779" s="35"/>
      <c r="AC1779" s="35"/>
      <c r="AD1779" s="35"/>
      <c r="AE1779" s="35"/>
      <c r="AF1779" s="35"/>
      <c r="AG1779" s="35"/>
      <c r="AH1779" s="35"/>
      <c r="AI1779" s="35"/>
      <c r="AJ1779" s="35"/>
      <c r="AK1779" s="35"/>
      <c r="AL1779" s="35"/>
      <c r="AM1779" s="35"/>
      <c r="AN1779" s="35"/>
      <c r="AO1779" s="35"/>
      <c r="AP1779" s="35"/>
      <c r="AQ1779" s="35"/>
      <c r="AR1779" s="35"/>
      <c r="AS1779" s="35"/>
      <c r="AT1779" s="35"/>
      <c r="AU1779" s="35"/>
      <c r="AV1779" s="35"/>
      <c r="AW1779" s="35"/>
      <c r="AX1779" s="35"/>
      <c r="AY1779" s="35"/>
      <c r="AZ1779" s="35"/>
      <c r="BA1779" s="35"/>
      <c r="BB1779" s="35"/>
      <c r="BC1779" s="35"/>
      <c r="BD1779" s="35"/>
      <c r="BE1779" s="35"/>
      <c r="BF1779" s="35"/>
      <c r="BG1779" s="35"/>
    </row>
    <row r="1780" ht="15.75" customHeight="1">
      <c r="A1780" s="35"/>
      <c r="B1780" s="35"/>
      <c r="C1780" s="35"/>
      <c r="D1780" s="35"/>
      <c r="E1780" s="35"/>
      <c r="F1780" s="35"/>
      <c r="G1780" s="35"/>
      <c r="H1780" s="35"/>
      <c r="I1780" s="35"/>
      <c r="J1780" s="35"/>
      <c r="K1780" s="35"/>
      <c r="L1780" s="35"/>
      <c r="M1780" s="35"/>
      <c r="N1780" s="35"/>
      <c r="O1780" s="35"/>
      <c r="P1780" s="35"/>
      <c r="Q1780" s="35"/>
      <c r="R1780" s="35"/>
      <c r="S1780" s="35"/>
      <c r="T1780" s="35"/>
      <c r="U1780" s="35"/>
      <c r="V1780" s="35"/>
      <c r="W1780" s="35"/>
      <c r="X1780" s="35"/>
      <c r="Y1780" s="35"/>
      <c r="Z1780" s="35"/>
      <c r="AA1780" s="35"/>
      <c r="AB1780" s="35"/>
      <c r="AC1780" s="35"/>
      <c r="AD1780" s="35"/>
      <c r="AE1780" s="35"/>
      <c r="AF1780" s="35"/>
      <c r="AG1780" s="35"/>
      <c r="AH1780" s="35"/>
      <c r="AI1780" s="35"/>
      <c r="AJ1780" s="35"/>
      <c r="AK1780" s="35"/>
      <c r="AL1780" s="35"/>
      <c r="AM1780" s="35"/>
      <c r="AN1780" s="35"/>
      <c r="AO1780" s="35"/>
      <c r="AP1780" s="35"/>
      <c r="AQ1780" s="35"/>
      <c r="AR1780" s="35"/>
      <c r="AS1780" s="35"/>
      <c r="AT1780" s="35"/>
      <c r="AU1780" s="35"/>
      <c r="AV1780" s="35"/>
      <c r="AW1780" s="35"/>
      <c r="AX1780" s="35"/>
      <c r="AY1780" s="35"/>
      <c r="AZ1780" s="35"/>
      <c r="BA1780" s="35"/>
      <c r="BB1780" s="35"/>
      <c r="BC1780" s="35"/>
      <c r="BD1780" s="35"/>
      <c r="BE1780" s="35"/>
      <c r="BF1780" s="35"/>
      <c r="BG1780" s="35"/>
    </row>
    <row r="1781" ht="15.75" customHeight="1">
      <c r="A1781" s="35"/>
      <c r="B1781" s="35"/>
      <c r="C1781" s="35"/>
      <c r="D1781" s="35"/>
      <c r="E1781" s="35"/>
      <c r="F1781" s="35"/>
      <c r="G1781" s="35"/>
      <c r="H1781" s="35"/>
      <c r="I1781" s="35"/>
      <c r="J1781" s="35"/>
      <c r="K1781" s="35"/>
      <c r="L1781" s="35"/>
      <c r="M1781" s="35"/>
      <c r="N1781" s="35"/>
      <c r="O1781" s="35"/>
      <c r="P1781" s="35"/>
      <c r="Q1781" s="35"/>
      <c r="R1781" s="35"/>
      <c r="S1781" s="35"/>
      <c r="T1781" s="35"/>
      <c r="U1781" s="35"/>
      <c r="V1781" s="35"/>
      <c r="W1781" s="35"/>
      <c r="X1781" s="35"/>
      <c r="Y1781" s="35"/>
      <c r="Z1781" s="35"/>
      <c r="AA1781" s="35"/>
      <c r="AB1781" s="35"/>
      <c r="AC1781" s="35"/>
      <c r="AD1781" s="35"/>
      <c r="AE1781" s="35"/>
      <c r="AF1781" s="35"/>
      <c r="AG1781" s="35"/>
      <c r="AH1781" s="35"/>
      <c r="AI1781" s="35"/>
      <c r="AJ1781" s="35"/>
      <c r="AK1781" s="35"/>
      <c r="AL1781" s="35"/>
      <c r="AM1781" s="35"/>
      <c r="AN1781" s="35"/>
      <c r="AO1781" s="35"/>
      <c r="AP1781" s="35"/>
      <c r="AQ1781" s="35"/>
      <c r="AR1781" s="35"/>
      <c r="AS1781" s="35"/>
      <c r="AT1781" s="35"/>
      <c r="AU1781" s="35"/>
      <c r="AV1781" s="35"/>
      <c r="AW1781" s="35"/>
      <c r="AX1781" s="35"/>
      <c r="AY1781" s="35"/>
      <c r="AZ1781" s="35"/>
      <c r="BA1781" s="35"/>
      <c r="BB1781" s="35"/>
      <c r="BC1781" s="35"/>
      <c r="BD1781" s="35"/>
      <c r="BE1781" s="35"/>
      <c r="BF1781" s="35"/>
      <c r="BG1781" s="35"/>
    </row>
    <row r="1782" ht="15.75" customHeight="1">
      <c r="A1782" s="35"/>
      <c r="B1782" s="35"/>
      <c r="C1782" s="35"/>
      <c r="D1782" s="35"/>
      <c r="E1782" s="35"/>
      <c r="F1782" s="35"/>
      <c r="G1782" s="35"/>
      <c r="H1782" s="35"/>
      <c r="I1782" s="35"/>
      <c r="J1782" s="35"/>
      <c r="K1782" s="35"/>
      <c r="L1782" s="35"/>
      <c r="M1782" s="35"/>
      <c r="N1782" s="35"/>
      <c r="O1782" s="35"/>
      <c r="P1782" s="35"/>
      <c r="Q1782" s="35"/>
      <c r="R1782" s="35"/>
      <c r="S1782" s="35"/>
      <c r="T1782" s="35"/>
      <c r="U1782" s="35"/>
      <c r="V1782" s="35"/>
      <c r="W1782" s="35"/>
      <c r="X1782" s="35"/>
      <c r="Y1782" s="35"/>
      <c r="Z1782" s="35"/>
      <c r="AA1782" s="35"/>
      <c r="AB1782" s="35"/>
      <c r="AC1782" s="35"/>
      <c r="AD1782" s="35"/>
      <c r="AE1782" s="35"/>
      <c r="AF1782" s="35"/>
      <c r="AG1782" s="35"/>
      <c r="AH1782" s="35"/>
      <c r="AI1782" s="35"/>
      <c r="AJ1782" s="35"/>
      <c r="AK1782" s="35"/>
      <c r="AL1782" s="35"/>
      <c r="AM1782" s="35"/>
      <c r="AN1782" s="35"/>
      <c r="AO1782" s="35"/>
      <c r="AP1782" s="35"/>
      <c r="AQ1782" s="35"/>
      <c r="AR1782" s="35"/>
      <c r="AS1782" s="35"/>
      <c r="AT1782" s="35"/>
      <c r="AU1782" s="35"/>
      <c r="AV1782" s="35"/>
      <c r="AW1782" s="35"/>
      <c r="AX1782" s="35"/>
      <c r="AY1782" s="35"/>
      <c r="AZ1782" s="35"/>
      <c r="BA1782" s="35"/>
      <c r="BB1782" s="35"/>
      <c r="BC1782" s="35"/>
      <c r="BD1782" s="35"/>
      <c r="BE1782" s="35"/>
      <c r="BF1782" s="35"/>
      <c r="BG1782" s="35"/>
    </row>
    <row r="1783" ht="15.75" customHeight="1">
      <c r="A1783" s="35"/>
      <c r="B1783" s="35"/>
      <c r="C1783" s="35"/>
      <c r="D1783" s="35"/>
      <c r="E1783" s="35"/>
      <c r="F1783" s="35"/>
      <c r="G1783" s="35"/>
      <c r="H1783" s="35"/>
      <c r="I1783" s="35"/>
      <c r="J1783" s="35"/>
      <c r="K1783" s="35"/>
      <c r="L1783" s="35"/>
      <c r="M1783" s="35"/>
      <c r="N1783" s="35"/>
      <c r="O1783" s="35"/>
      <c r="P1783" s="35"/>
      <c r="Q1783" s="35"/>
      <c r="R1783" s="35"/>
      <c r="S1783" s="35"/>
      <c r="T1783" s="35"/>
      <c r="U1783" s="35"/>
      <c r="V1783" s="35"/>
      <c r="W1783" s="35"/>
      <c r="X1783" s="35"/>
      <c r="Y1783" s="35"/>
      <c r="Z1783" s="35"/>
      <c r="AA1783" s="35"/>
      <c r="AB1783" s="35"/>
      <c r="AC1783" s="35"/>
      <c r="AD1783" s="35"/>
      <c r="AE1783" s="35"/>
      <c r="AF1783" s="35"/>
      <c r="AG1783" s="35"/>
      <c r="AH1783" s="35"/>
      <c r="AI1783" s="35"/>
      <c r="AJ1783" s="35"/>
      <c r="AK1783" s="35"/>
      <c r="AL1783" s="35"/>
      <c r="AM1783" s="35"/>
      <c r="AN1783" s="35"/>
      <c r="AO1783" s="35"/>
      <c r="AP1783" s="35"/>
      <c r="AQ1783" s="35"/>
      <c r="AR1783" s="35"/>
      <c r="AS1783" s="35"/>
      <c r="AT1783" s="35"/>
      <c r="AU1783" s="35"/>
      <c r="AV1783" s="35"/>
      <c r="AW1783" s="35"/>
      <c r="AX1783" s="35"/>
      <c r="AY1783" s="35"/>
      <c r="AZ1783" s="35"/>
      <c r="BA1783" s="35"/>
      <c r="BB1783" s="35"/>
      <c r="BC1783" s="35"/>
      <c r="BD1783" s="35"/>
      <c r="BE1783" s="35"/>
      <c r="BF1783" s="35"/>
      <c r="BG1783" s="35"/>
    </row>
    <row r="1784" ht="15.75" customHeight="1">
      <c r="A1784" s="35"/>
      <c r="B1784" s="35"/>
      <c r="C1784" s="35"/>
      <c r="D1784" s="35"/>
      <c r="E1784" s="35"/>
      <c r="F1784" s="35"/>
      <c r="G1784" s="35"/>
      <c r="H1784" s="35"/>
      <c r="I1784" s="35"/>
      <c r="J1784" s="35"/>
      <c r="K1784" s="35"/>
      <c r="L1784" s="35"/>
      <c r="M1784" s="35"/>
      <c r="N1784" s="35"/>
      <c r="O1784" s="35"/>
      <c r="P1784" s="35"/>
      <c r="Q1784" s="35"/>
      <c r="R1784" s="35"/>
      <c r="S1784" s="35"/>
      <c r="T1784" s="35"/>
      <c r="U1784" s="35"/>
      <c r="V1784" s="35"/>
      <c r="W1784" s="35"/>
      <c r="X1784" s="35"/>
      <c r="Y1784" s="35"/>
      <c r="Z1784" s="35"/>
      <c r="AA1784" s="35"/>
      <c r="AB1784" s="35"/>
      <c r="AC1784" s="35"/>
      <c r="AD1784" s="35"/>
      <c r="AE1784" s="35"/>
      <c r="AF1784" s="35"/>
      <c r="AG1784" s="35"/>
      <c r="AH1784" s="35"/>
      <c r="AI1784" s="35"/>
      <c r="AJ1784" s="35"/>
      <c r="AK1784" s="35"/>
      <c r="AL1784" s="35"/>
      <c r="AM1784" s="35"/>
      <c r="AN1784" s="35"/>
      <c r="AO1784" s="35"/>
      <c r="AP1784" s="35"/>
      <c r="AQ1784" s="35"/>
      <c r="AR1784" s="35"/>
      <c r="AS1784" s="35"/>
      <c r="AT1784" s="35"/>
      <c r="AU1784" s="35"/>
      <c r="AV1784" s="35"/>
      <c r="AW1784" s="35"/>
      <c r="AX1784" s="35"/>
      <c r="AY1784" s="35"/>
      <c r="AZ1784" s="35"/>
      <c r="BA1784" s="35"/>
      <c r="BB1784" s="35"/>
      <c r="BC1784" s="35"/>
      <c r="BD1784" s="35"/>
      <c r="BE1784" s="35"/>
      <c r="BF1784" s="35"/>
      <c r="BG1784" s="35"/>
    </row>
    <row r="1785" ht="15.75" customHeight="1">
      <c r="A1785" s="35"/>
      <c r="B1785" s="35"/>
      <c r="C1785" s="35"/>
      <c r="D1785" s="35"/>
      <c r="E1785" s="35"/>
      <c r="F1785" s="35"/>
      <c r="G1785" s="35"/>
      <c r="H1785" s="35"/>
      <c r="I1785" s="35"/>
      <c r="J1785" s="35"/>
      <c r="K1785" s="35"/>
      <c r="L1785" s="35"/>
      <c r="M1785" s="35"/>
      <c r="N1785" s="35"/>
      <c r="O1785" s="35"/>
      <c r="P1785" s="35"/>
      <c r="Q1785" s="35"/>
      <c r="R1785" s="35"/>
      <c r="S1785" s="35"/>
      <c r="T1785" s="35"/>
      <c r="U1785" s="35"/>
      <c r="V1785" s="35"/>
      <c r="W1785" s="35"/>
      <c r="X1785" s="35"/>
      <c r="Y1785" s="35"/>
      <c r="Z1785" s="35"/>
      <c r="AA1785" s="35"/>
      <c r="AB1785" s="35"/>
      <c r="AC1785" s="35"/>
      <c r="AD1785" s="35"/>
      <c r="AE1785" s="35"/>
      <c r="AF1785" s="35"/>
      <c r="AG1785" s="35"/>
      <c r="AH1785" s="35"/>
      <c r="AI1785" s="35"/>
      <c r="AJ1785" s="35"/>
      <c r="AK1785" s="35"/>
      <c r="AL1785" s="35"/>
      <c r="AM1785" s="35"/>
      <c r="AN1785" s="35"/>
      <c r="AO1785" s="35"/>
      <c r="AP1785" s="35"/>
      <c r="AQ1785" s="35"/>
      <c r="AR1785" s="35"/>
      <c r="AS1785" s="35"/>
      <c r="AT1785" s="35"/>
      <c r="AU1785" s="35"/>
      <c r="AV1785" s="35"/>
      <c r="AW1785" s="35"/>
      <c r="AX1785" s="35"/>
      <c r="AY1785" s="35"/>
      <c r="AZ1785" s="35"/>
      <c r="BA1785" s="35"/>
      <c r="BB1785" s="35"/>
      <c r="BC1785" s="35"/>
      <c r="BD1785" s="35"/>
      <c r="BE1785" s="35"/>
      <c r="BF1785" s="35"/>
      <c r="BG1785" s="35"/>
    </row>
    <row r="1786" ht="15.75" customHeight="1">
      <c r="A1786" s="35"/>
      <c r="B1786" s="35"/>
      <c r="C1786" s="35"/>
      <c r="D1786" s="35"/>
      <c r="E1786" s="35"/>
      <c r="F1786" s="35"/>
      <c r="G1786" s="35"/>
      <c r="H1786" s="35"/>
      <c r="I1786" s="35"/>
      <c r="J1786" s="35"/>
      <c r="K1786" s="35"/>
      <c r="L1786" s="35"/>
      <c r="M1786" s="35"/>
      <c r="N1786" s="35"/>
      <c r="O1786" s="35"/>
      <c r="P1786" s="35"/>
      <c r="Q1786" s="35"/>
      <c r="R1786" s="35"/>
      <c r="S1786" s="35"/>
      <c r="T1786" s="35"/>
      <c r="U1786" s="35"/>
      <c r="V1786" s="35"/>
      <c r="W1786" s="35"/>
      <c r="X1786" s="35"/>
      <c r="Y1786" s="35"/>
      <c r="Z1786" s="35"/>
      <c r="AA1786" s="35"/>
      <c r="AB1786" s="35"/>
      <c r="AC1786" s="35"/>
      <c r="AD1786" s="35"/>
      <c r="AE1786" s="35"/>
      <c r="AF1786" s="35"/>
      <c r="AG1786" s="35"/>
      <c r="AH1786" s="35"/>
      <c r="AI1786" s="35"/>
      <c r="AJ1786" s="35"/>
      <c r="AK1786" s="35"/>
      <c r="AL1786" s="35"/>
      <c r="AM1786" s="35"/>
      <c r="AN1786" s="35"/>
      <c r="AO1786" s="35"/>
      <c r="AP1786" s="35"/>
      <c r="AQ1786" s="35"/>
      <c r="AR1786" s="35"/>
      <c r="AS1786" s="35"/>
      <c r="AT1786" s="35"/>
      <c r="AU1786" s="35"/>
      <c r="AV1786" s="35"/>
      <c r="AW1786" s="35"/>
      <c r="AX1786" s="35"/>
      <c r="AY1786" s="35"/>
      <c r="AZ1786" s="35"/>
      <c r="BA1786" s="35"/>
      <c r="BB1786" s="35"/>
      <c r="BC1786" s="35"/>
      <c r="BD1786" s="35"/>
      <c r="BE1786" s="35"/>
      <c r="BF1786" s="35"/>
      <c r="BG1786" s="35"/>
    </row>
    <row r="1787" ht="15.75" customHeight="1">
      <c r="A1787" s="35"/>
      <c r="B1787" s="35"/>
      <c r="C1787" s="35"/>
      <c r="D1787" s="35"/>
      <c r="E1787" s="35"/>
      <c r="F1787" s="35"/>
      <c r="G1787" s="35"/>
      <c r="H1787" s="35"/>
      <c r="I1787" s="35"/>
      <c r="J1787" s="35"/>
      <c r="K1787" s="35"/>
      <c r="L1787" s="35"/>
      <c r="M1787" s="35"/>
      <c r="N1787" s="35"/>
      <c r="O1787" s="35"/>
      <c r="P1787" s="35"/>
      <c r="Q1787" s="35"/>
      <c r="R1787" s="35"/>
      <c r="S1787" s="35"/>
      <c r="T1787" s="35"/>
      <c r="U1787" s="35"/>
      <c r="V1787" s="35"/>
      <c r="W1787" s="35"/>
      <c r="X1787" s="35"/>
      <c r="Y1787" s="35"/>
      <c r="Z1787" s="35"/>
      <c r="AA1787" s="35"/>
      <c r="AB1787" s="35"/>
      <c r="AC1787" s="35"/>
      <c r="AD1787" s="35"/>
      <c r="AE1787" s="35"/>
      <c r="AF1787" s="35"/>
      <c r="AG1787" s="35"/>
      <c r="AH1787" s="35"/>
      <c r="AI1787" s="35"/>
      <c r="AJ1787" s="35"/>
      <c r="AK1787" s="35"/>
      <c r="AL1787" s="35"/>
      <c r="AM1787" s="35"/>
      <c r="AN1787" s="35"/>
      <c r="AO1787" s="35"/>
      <c r="AP1787" s="35"/>
      <c r="AQ1787" s="35"/>
      <c r="AR1787" s="35"/>
      <c r="AS1787" s="35"/>
      <c r="AT1787" s="35"/>
      <c r="AU1787" s="35"/>
      <c r="AV1787" s="35"/>
      <c r="AW1787" s="35"/>
      <c r="AX1787" s="35"/>
      <c r="AY1787" s="35"/>
      <c r="AZ1787" s="35"/>
      <c r="BA1787" s="35"/>
      <c r="BB1787" s="35"/>
      <c r="BC1787" s="35"/>
      <c r="BD1787" s="35"/>
      <c r="BE1787" s="35"/>
      <c r="BF1787" s="35"/>
      <c r="BG1787" s="35"/>
    </row>
    <row r="1788" ht="15.75" customHeight="1">
      <c r="A1788" s="35"/>
      <c r="B1788" s="35"/>
      <c r="C1788" s="35"/>
      <c r="D1788" s="35"/>
      <c r="E1788" s="35"/>
      <c r="F1788" s="35"/>
      <c r="G1788" s="35"/>
      <c r="H1788" s="35"/>
      <c r="I1788" s="35"/>
      <c r="J1788" s="35"/>
      <c r="K1788" s="35"/>
      <c r="L1788" s="35"/>
      <c r="M1788" s="35"/>
      <c r="N1788" s="35"/>
      <c r="O1788" s="35"/>
      <c r="P1788" s="35"/>
      <c r="Q1788" s="35"/>
      <c r="R1788" s="35"/>
      <c r="S1788" s="35"/>
      <c r="T1788" s="35"/>
      <c r="U1788" s="35"/>
      <c r="V1788" s="35"/>
      <c r="W1788" s="35"/>
      <c r="X1788" s="35"/>
      <c r="Y1788" s="35"/>
      <c r="Z1788" s="35"/>
      <c r="AA1788" s="35"/>
      <c r="AB1788" s="35"/>
      <c r="AC1788" s="35"/>
      <c r="AD1788" s="35"/>
      <c r="AE1788" s="35"/>
      <c r="AF1788" s="35"/>
      <c r="AG1788" s="35"/>
      <c r="AH1788" s="35"/>
      <c r="AI1788" s="35"/>
      <c r="AJ1788" s="35"/>
      <c r="AK1788" s="35"/>
      <c r="AL1788" s="35"/>
      <c r="AM1788" s="35"/>
      <c r="AN1788" s="35"/>
      <c r="AO1788" s="35"/>
      <c r="AP1788" s="35"/>
      <c r="AQ1788" s="35"/>
      <c r="AR1788" s="35"/>
      <c r="AS1788" s="35"/>
      <c r="AT1788" s="35"/>
      <c r="AU1788" s="35"/>
      <c r="AV1788" s="35"/>
      <c r="AW1788" s="35"/>
      <c r="AX1788" s="35"/>
      <c r="AY1788" s="35"/>
      <c r="AZ1788" s="35"/>
      <c r="BA1788" s="35"/>
      <c r="BB1788" s="35"/>
      <c r="BC1788" s="35"/>
      <c r="BD1788" s="35"/>
      <c r="BE1788" s="35"/>
      <c r="BF1788" s="35"/>
      <c r="BG1788" s="35"/>
    </row>
    <row r="1789" ht="15.75" customHeight="1">
      <c r="A1789" s="35"/>
      <c r="B1789" s="35"/>
      <c r="C1789" s="35"/>
      <c r="D1789" s="35"/>
      <c r="E1789" s="35"/>
      <c r="F1789" s="35"/>
      <c r="G1789" s="35"/>
      <c r="H1789" s="35"/>
      <c r="I1789" s="35"/>
      <c r="J1789" s="35"/>
      <c r="K1789" s="35"/>
      <c r="L1789" s="35"/>
      <c r="M1789" s="35"/>
      <c r="N1789" s="35"/>
      <c r="O1789" s="35"/>
      <c r="P1789" s="35"/>
      <c r="Q1789" s="35"/>
      <c r="R1789" s="35"/>
      <c r="S1789" s="35"/>
      <c r="T1789" s="35"/>
      <c r="U1789" s="35"/>
      <c r="V1789" s="35"/>
      <c r="W1789" s="35"/>
      <c r="X1789" s="35"/>
      <c r="Y1789" s="35"/>
      <c r="Z1789" s="35"/>
      <c r="AA1789" s="35"/>
      <c r="AB1789" s="35"/>
      <c r="AC1789" s="35"/>
      <c r="AD1789" s="35"/>
      <c r="AE1789" s="35"/>
      <c r="AF1789" s="35"/>
      <c r="AG1789" s="35"/>
      <c r="AH1789" s="35"/>
      <c r="AI1789" s="35"/>
      <c r="AJ1789" s="35"/>
      <c r="AK1789" s="35"/>
      <c r="AL1789" s="35"/>
      <c r="AM1789" s="35"/>
      <c r="AN1789" s="35"/>
      <c r="AO1789" s="35"/>
      <c r="AP1789" s="35"/>
      <c r="AQ1789" s="35"/>
      <c r="AR1789" s="35"/>
      <c r="AS1789" s="35"/>
      <c r="AT1789" s="35"/>
      <c r="AU1789" s="35"/>
      <c r="AV1789" s="35"/>
      <c r="AW1789" s="35"/>
      <c r="AX1789" s="35"/>
      <c r="AY1789" s="35"/>
      <c r="AZ1789" s="35"/>
      <c r="BA1789" s="35"/>
      <c r="BB1789" s="35"/>
      <c r="BC1789" s="35"/>
      <c r="BD1789" s="35"/>
      <c r="BE1789" s="35"/>
      <c r="BF1789" s="35"/>
      <c r="BG1789" s="35"/>
    </row>
    <row r="1790" ht="15.75" customHeight="1">
      <c r="A1790" s="35"/>
      <c r="B1790" s="35"/>
      <c r="C1790" s="35"/>
      <c r="D1790" s="35"/>
      <c r="E1790" s="35"/>
      <c r="F1790" s="35"/>
      <c r="G1790" s="35"/>
      <c r="H1790" s="35"/>
      <c r="I1790" s="35"/>
      <c r="J1790" s="35"/>
      <c r="K1790" s="35"/>
      <c r="L1790" s="35"/>
      <c r="M1790" s="35"/>
      <c r="N1790" s="35"/>
      <c r="O1790" s="35"/>
      <c r="P1790" s="35"/>
      <c r="Q1790" s="35"/>
      <c r="R1790" s="35"/>
      <c r="S1790" s="35"/>
      <c r="T1790" s="35"/>
      <c r="U1790" s="35"/>
      <c r="V1790" s="35"/>
      <c r="W1790" s="35"/>
      <c r="X1790" s="35"/>
      <c r="Y1790" s="35"/>
      <c r="Z1790" s="35"/>
      <c r="AA1790" s="35"/>
      <c r="AB1790" s="35"/>
      <c r="AC1790" s="35"/>
      <c r="AD1790" s="35"/>
      <c r="AE1790" s="35"/>
      <c r="AF1790" s="35"/>
      <c r="AG1790" s="35"/>
      <c r="AH1790" s="35"/>
      <c r="AI1790" s="35"/>
      <c r="AJ1790" s="35"/>
      <c r="AK1790" s="35"/>
      <c r="AL1790" s="35"/>
      <c r="AM1790" s="35"/>
      <c r="AN1790" s="35"/>
      <c r="AO1790" s="35"/>
      <c r="AP1790" s="35"/>
      <c r="AQ1790" s="35"/>
      <c r="AR1790" s="35"/>
      <c r="AS1790" s="35"/>
      <c r="AT1790" s="35"/>
      <c r="AU1790" s="35"/>
      <c r="AV1790" s="35"/>
      <c r="AW1790" s="35"/>
      <c r="AX1790" s="35"/>
      <c r="AY1790" s="35"/>
      <c r="AZ1790" s="35"/>
      <c r="BA1790" s="35"/>
      <c r="BB1790" s="35"/>
      <c r="BC1790" s="35"/>
      <c r="BD1790" s="35"/>
      <c r="BE1790" s="35"/>
      <c r="BF1790" s="35"/>
      <c r="BG1790" s="35"/>
    </row>
    <row r="1791" ht="15.75" customHeight="1">
      <c r="A1791" s="35"/>
      <c r="B1791" s="35"/>
      <c r="C1791" s="35"/>
      <c r="D1791" s="35"/>
      <c r="E1791" s="35"/>
      <c r="F1791" s="35"/>
      <c r="G1791" s="35"/>
      <c r="H1791" s="35"/>
      <c r="I1791" s="35"/>
      <c r="J1791" s="35"/>
      <c r="K1791" s="35"/>
      <c r="L1791" s="35"/>
      <c r="M1791" s="35"/>
      <c r="N1791" s="35"/>
      <c r="O1791" s="35"/>
      <c r="P1791" s="35"/>
      <c r="Q1791" s="35"/>
      <c r="R1791" s="35"/>
      <c r="S1791" s="35"/>
      <c r="T1791" s="35"/>
      <c r="U1791" s="35"/>
      <c r="V1791" s="35"/>
      <c r="W1791" s="35"/>
      <c r="X1791" s="35"/>
      <c r="Y1791" s="35"/>
      <c r="Z1791" s="35"/>
      <c r="AA1791" s="35"/>
      <c r="AB1791" s="35"/>
      <c r="AC1791" s="35"/>
      <c r="AD1791" s="35"/>
      <c r="AE1791" s="35"/>
      <c r="AF1791" s="35"/>
      <c r="AG1791" s="35"/>
      <c r="AH1791" s="35"/>
      <c r="AI1791" s="35"/>
      <c r="AJ1791" s="35"/>
      <c r="AK1791" s="35"/>
      <c r="AL1791" s="35"/>
      <c r="AM1791" s="35"/>
      <c r="AN1791" s="35"/>
      <c r="AO1791" s="35"/>
      <c r="AP1791" s="35"/>
      <c r="AQ1791" s="35"/>
      <c r="AR1791" s="35"/>
      <c r="AS1791" s="35"/>
      <c r="AT1791" s="35"/>
      <c r="AU1791" s="35"/>
      <c r="AV1791" s="35"/>
      <c r="AW1791" s="35"/>
      <c r="AX1791" s="35"/>
      <c r="AY1791" s="35"/>
      <c r="AZ1791" s="35"/>
      <c r="BA1791" s="35"/>
      <c r="BB1791" s="35"/>
      <c r="BC1791" s="35"/>
      <c r="BD1791" s="35"/>
      <c r="BE1791" s="35"/>
      <c r="BF1791" s="35"/>
      <c r="BG1791" s="35"/>
    </row>
    <row r="1792" ht="15.75" customHeight="1">
      <c r="A1792" s="35"/>
      <c r="B1792" s="35"/>
      <c r="C1792" s="35"/>
      <c r="D1792" s="35"/>
      <c r="E1792" s="35"/>
      <c r="F1792" s="35"/>
      <c r="G1792" s="35"/>
      <c r="H1792" s="35"/>
      <c r="I1792" s="35"/>
      <c r="J1792" s="35"/>
      <c r="K1792" s="35"/>
      <c r="L1792" s="35"/>
      <c r="M1792" s="35"/>
      <c r="N1792" s="35"/>
      <c r="O1792" s="35"/>
      <c r="P1792" s="35"/>
      <c r="Q1792" s="35"/>
      <c r="R1792" s="35"/>
      <c r="S1792" s="35"/>
      <c r="T1792" s="35"/>
      <c r="U1792" s="35"/>
      <c r="V1792" s="35"/>
      <c r="W1792" s="35"/>
      <c r="X1792" s="35"/>
      <c r="Y1792" s="35"/>
      <c r="Z1792" s="35"/>
      <c r="AA1792" s="35"/>
      <c r="AB1792" s="35"/>
      <c r="AC1792" s="35"/>
      <c r="AD1792" s="35"/>
      <c r="AE1792" s="35"/>
      <c r="AF1792" s="35"/>
      <c r="AG1792" s="35"/>
      <c r="AH1792" s="35"/>
      <c r="AI1792" s="35"/>
      <c r="AJ1792" s="35"/>
      <c r="AK1792" s="35"/>
      <c r="AL1792" s="35"/>
      <c r="AM1792" s="35"/>
      <c r="AN1792" s="35"/>
      <c r="AO1792" s="35"/>
      <c r="AP1792" s="35"/>
      <c r="AQ1792" s="35"/>
      <c r="AR1792" s="35"/>
      <c r="AS1792" s="35"/>
      <c r="AT1792" s="35"/>
      <c r="AU1792" s="35"/>
      <c r="AV1792" s="35"/>
      <c r="AW1792" s="35"/>
      <c r="AX1792" s="35"/>
      <c r="AY1792" s="35"/>
      <c r="AZ1792" s="35"/>
      <c r="BA1792" s="35"/>
      <c r="BB1792" s="35"/>
      <c r="BC1792" s="35"/>
      <c r="BD1792" s="35"/>
      <c r="BE1792" s="35"/>
      <c r="BF1792" s="35"/>
      <c r="BG1792" s="35"/>
    </row>
    <row r="1793" ht="15.75" customHeight="1">
      <c r="A1793" s="35"/>
      <c r="B1793" s="35"/>
      <c r="C1793" s="35"/>
      <c r="D1793" s="35"/>
      <c r="E1793" s="35"/>
      <c r="F1793" s="35"/>
      <c r="G1793" s="35"/>
      <c r="H1793" s="35"/>
      <c r="I1793" s="35"/>
      <c r="J1793" s="35"/>
      <c r="K1793" s="35"/>
      <c r="L1793" s="35"/>
      <c r="M1793" s="35"/>
      <c r="N1793" s="35"/>
      <c r="O1793" s="35"/>
      <c r="P1793" s="35"/>
      <c r="Q1793" s="35"/>
      <c r="R1793" s="35"/>
      <c r="S1793" s="35"/>
      <c r="T1793" s="35"/>
      <c r="U1793" s="35"/>
      <c r="V1793" s="35"/>
      <c r="W1793" s="35"/>
      <c r="X1793" s="35"/>
      <c r="Y1793" s="35"/>
      <c r="Z1793" s="35"/>
      <c r="AA1793" s="35"/>
      <c r="AB1793" s="35"/>
      <c r="AC1793" s="35"/>
      <c r="AD1793" s="35"/>
      <c r="AE1793" s="35"/>
      <c r="AF1793" s="35"/>
      <c r="AG1793" s="35"/>
      <c r="AH1793" s="35"/>
      <c r="AI1793" s="35"/>
      <c r="AJ1793" s="35"/>
      <c r="AK1793" s="35"/>
      <c r="AL1793" s="35"/>
      <c r="AM1793" s="35"/>
      <c r="AN1793" s="35"/>
      <c r="AO1793" s="35"/>
      <c r="AP1793" s="35"/>
      <c r="AQ1793" s="35"/>
      <c r="AR1793" s="35"/>
      <c r="AS1793" s="35"/>
      <c r="AT1793" s="35"/>
      <c r="AU1793" s="35"/>
      <c r="AV1793" s="35"/>
      <c r="AW1793" s="35"/>
      <c r="AX1793" s="35"/>
      <c r="AY1793" s="35"/>
      <c r="AZ1793" s="35"/>
      <c r="BA1793" s="35"/>
      <c r="BB1793" s="35"/>
      <c r="BC1793" s="35"/>
      <c r="BD1793" s="35"/>
      <c r="BE1793" s="35"/>
      <c r="BF1793" s="35"/>
      <c r="BG1793" s="35"/>
    </row>
    <row r="1794" ht="15.75" customHeight="1">
      <c r="A1794" s="35"/>
      <c r="B1794" s="35"/>
      <c r="C1794" s="35"/>
      <c r="D1794" s="35"/>
      <c r="E1794" s="35"/>
      <c r="F1794" s="35"/>
      <c r="G1794" s="35"/>
      <c r="H1794" s="35"/>
      <c r="I1794" s="35"/>
      <c r="J1794" s="35"/>
      <c r="K1794" s="35"/>
      <c r="L1794" s="35"/>
      <c r="M1794" s="35"/>
      <c r="N1794" s="35"/>
      <c r="O1794" s="35"/>
      <c r="P1794" s="35"/>
      <c r="Q1794" s="35"/>
      <c r="R1794" s="35"/>
      <c r="S1794" s="35"/>
      <c r="T1794" s="35"/>
      <c r="U1794" s="35"/>
      <c r="V1794" s="35"/>
      <c r="W1794" s="35"/>
      <c r="X1794" s="35"/>
      <c r="Y1794" s="35"/>
      <c r="Z1794" s="35"/>
      <c r="AA1794" s="35"/>
      <c r="AB1794" s="35"/>
      <c r="AC1794" s="35"/>
      <c r="AD1794" s="35"/>
      <c r="AE1794" s="35"/>
      <c r="AF1794" s="35"/>
      <c r="AG1794" s="35"/>
      <c r="AH1794" s="35"/>
      <c r="AI1794" s="35"/>
      <c r="AJ1794" s="35"/>
      <c r="AK1794" s="35"/>
      <c r="AL1794" s="35"/>
      <c r="AM1794" s="35"/>
      <c r="AN1794" s="35"/>
      <c r="AO1794" s="35"/>
      <c r="AP1794" s="35"/>
      <c r="AQ1794" s="35"/>
      <c r="AR1794" s="35"/>
      <c r="AS1794" s="35"/>
      <c r="AT1794" s="35"/>
      <c r="AU1794" s="35"/>
      <c r="AV1794" s="35"/>
      <c r="AW1794" s="35"/>
      <c r="AX1794" s="35"/>
      <c r="AY1794" s="35"/>
      <c r="AZ1794" s="35"/>
      <c r="BA1794" s="35"/>
      <c r="BB1794" s="35"/>
      <c r="BC1794" s="35"/>
      <c r="BD1794" s="35"/>
      <c r="BE1794" s="35"/>
      <c r="BF1794" s="35"/>
      <c r="BG1794" s="35"/>
    </row>
    <row r="1795" ht="15.75" customHeight="1">
      <c r="A1795" s="35"/>
      <c r="B1795" s="35"/>
      <c r="C1795" s="35"/>
      <c r="D1795" s="35"/>
      <c r="E1795" s="35"/>
      <c r="F1795" s="35"/>
      <c r="G1795" s="35"/>
      <c r="H1795" s="35"/>
      <c r="I1795" s="35"/>
      <c r="J1795" s="35"/>
      <c r="K1795" s="35"/>
      <c r="L1795" s="35"/>
      <c r="M1795" s="35"/>
      <c r="N1795" s="35"/>
      <c r="O1795" s="35"/>
      <c r="P1795" s="35"/>
      <c r="Q1795" s="35"/>
      <c r="R1795" s="35"/>
      <c r="S1795" s="35"/>
      <c r="T1795" s="35"/>
      <c r="U1795" s="35"/>
      <c r="V1795" s="35"/>
      <c r="W1795" s="35"/>
      <c r="X1795" s="35"/>
      <c r="Y1795" s="35"/>
      <c r="Z1795" s="35"/>
      <c r="AA1795" s="35"/>
      <c r="AB1795" s="35"/>
      <c r="AC1795" s="35"/>
      <c r="AD1795" s="35"/>
      <c r="AE1795" s="35"/>
      <c r="AF1795" s="35"/>
      <c r="AG1795" s="35"/>
      <c r="AH1795" s="35"/>
      <c r="AI1795" s="35"/>
      <c r="AJ1795" s="35"/>
      <c r="AK1795" s="35"/>
      <c r="AL1795" s="35"/>
      <c r="AM1795" s="35"/>
      <c r="AN1795" s="35"/>
      <c r="AO1795" s="35"/>
      <c r="AP1795" s="35"/>
      <c r="AQ1795" s="35"/>
      <c r="AR1795" s="35"/>
      <c r="AS1795" s="35"/>
      <c r="AT1795" s="35"/>
      <c r="AU1795" s="35"/>
      <c r="AV1795" s="35"/>
      <c r="AW1795" s="35"/>
      <c r="AX1795" s="35"/>
      <c r="AY1795" s="35"/>
      <c r="AZ1795" s="35"/>
      <c r="BA1795" s="35"/>
      <c r="BB1795" s="35"/>
      <c r="BC1795" s="35"/>
      <c r="BD1795" s="35"/>
      <c r="BE1795" s="35"/>
      <c r="BF1795" s="35"/>
      <c r="BG1795" s="35"/>
    </row>
    <row r="1796" ht="15.75" customHeight="1">
      <c r="A1796" s="35"/>
      <c r="B1796" s="35"/>
      <c r="C1796" s="35"/>
      <c r="D1796" s="35"/>
      <c r="E1796" s="35"/>
      <c r="F1796" s="35"/>
      <c r="G1796" s="35"/>
      <c r="H1796" s="35"/>
      <c r="I1796" s="35"/>
      <c r="J1796" s="35"/>
      <c r="K1796" s="35"/>
      <c r="L1796" s="35"/>
      <c r="M1796" s="35"/>
      <c r="N1796" s="35"/>
      <c r="O1796" s="35"/>
      <c r="P1796" s="35"/>
      <c r="Q1796" s="35"/>
      <c r="R1796" s="35"/>
      <c r="S1796" s="35"/>
      <c r="T1796" s="35"/>
      <c r="U1796" s="35"/>
      <c r="V1796" s="35"/>
      <c r="W1796" s="35"/>
      <c r="X1796" s="35"/>
      <c r="Y1796" s="35"/>
      <c r="Z1796" s="35"/>
      <c r="AA1796" s="35"/>
      <c r="AB1796" s="35"/>
      <c r="AC1796" s="35"/>
      <c r="AD1796" s="35"/>
      <c r="AE1796" s="35"/>
      <c r="AF1796" s="35"/>
      <c r="AG1796" s="35"/>
      <c r="AH1796" s="35"/>
      <c r="AI1796" s="35"/>
      <c r="AJ1796" s="35"/>
      <c r="AK1796" s="35"/>
      <c r="AL1796" s="35"/>
      <c r="AM1796" s="35"/>
      <c r="AN1796" s="35"/>
      <c r="AO1796" s="35"/>
      <c r="AP1796" s="35"/>
      <c r="AQ1796" s="35"/>
      <c r="AR1796" s="35"/>
      <c r="AS1796" s="35"/>
      <c r="AT1796" s="35"/>
      <c r="AU1796" s="35"/>
      <c r="AV1796" s="35"/>
      <c r="AW1796" s="35"/>
      <c r="AX1796" s="35"/>
      <c r="AY1796" s="35"/>
      <c r="AZ1796" s="35"/>
      <c r="BA1796" s="35"/>
      <c r="BB1796" s="35"/>
      <c r="BC1796" s="35"/>
      <c r="BD1796" s="35"/>
      <c r="BE1796" s="35"/>
      <c r="BF1796" s="35"/>
      <c r="BG1796" s="35"/>
    </row>
    <row r="1797" ht="15.75" customHeight="1">
      <c r="A1797" s="35"/>
      <c r="B1797" s="35"/>
      <c r="C1797" s="35"/>
      <c r="D1797" s="35"/>
      <c r="E1797" s="35"/>
      <c r="F1797" s="35"/>
      <c r="G1797" s="35"/>
      <c r="H1797" s="35"/>
      <c r="I1797" s="35"/>
      <c r="J1797" s="35"/>
      <c r="K1797" s="35"/>
      <c r="L1797" s="35"/>
      <c r="M1797" s="35"/>
      <c r="N1797" s="35"/>
      <c r="O1797" s="35"/>
      <c r="P1797" s="35"/>
      <c r="Q1797" s="35"/>
      <c r="R1797" s="35"/>
      <c r="S1797" s="35"/>
      <c r="T1797" s="35"/>
      <c r="U1797" s="35"/>
      <c r="V1797" s="35"/>
      <c r="W1797" s="35"/>
      <c r="X1797" s="35"/>
      <c r="Y1797" s="35"/>
      <c r="Z1797" s="35"/>
      <c r="AA1797" s="35"/>
      <c r="AB1797" s="35"/>
      <c r="AC1797" s="35"/>
      <c r="AD1797" s="35"/>
      <c r="AE1797" s="35"/>
      <c r="AF1797" s="35"/>
      <c r="AG1797" s="35"/>
      <c r="AH1797" s="35"/>
      <c r="AI1797" s="35"/>
      <c r="AJ1797" s="35"/>
      <c r="AK1797" s="35"/>
      <c r="AL1797" s="35"/>
      <c r="AM1797" s="35"/>
      <c r="AN1797" s="35"/>
      <c r="AO1797" s="35"/>
      <c r="AP1797" s="35"/>
      <c r="AQ1797" s="35"/>
      <c r="AR1797" s="35"/>
      <c r="AS1797" s="35"/>
      <c r="AT1797" s="35"/>
      <c r="AU1797" s="35"/>
      <c r="AV1797" s="35"/>
      <c r="AW1797" s="35"/>
      <c r="AX1797" s="35"/>
      <c r="AY1797" s="35"/>
      <c r="AZ1797" s="35"/>
      <c r="BA1797" s="35"/>
      <c r="BB1797" s="35"/>
      <c r="BC1797" s="35"/>
      <c r="BD1797" s="35"/>
      <c r="BE1797" s="35"/>
      <c r="BF1797" s="35"/>
      <c r="BG1797" s="35"/>
    </row>
    <row r="1798" ht="15.75" customHeight="1">
      <c r="A1798" s="35"/>
      <c r="B1798" s="35"/>
      <c r="C1798" s="35"/>
      <c r="D1798" s="35"/>
      <c r="E1798" s="35"/>
      <c r="F1798" s="35"/>
      <c r="G1798" s="35"/>
      <c r="H1798" s="35"/>
      <c r="I1798" s="35"/>
      <c r="J1798" s="35"/>
      <c r="K1798" s="35"/>
      <c r="L1798" s="35"/>
      <c r="M1798" s="35"/>
      <c r="N1798" s="35"/>
      <c r="O1798" s="35"/>
      <c r="P1798" s="35"/>
      <c r="Q1798" s="35"/>
      <c r="R1798" s="35"/>
      <c r="S1798" s="35"/>
      <c r="T1798" s="35"/>
      <c r="U1798" s="35"/>
      <c r="V1798" s="35"/>
      <c r="W1798" s="35"/>
      <c r="X1798" s="35"/>
      <c r="Y1798" s="35"/>
      <c r="Z1798" s="35"/>
      <c r="AA1798" s="35"/>
      <c r="AB1798" s="35"/>
      <c r="AC1798" s="35"/>
      <c r="AD1798" s="35"/>
      <c r="AE1798" s="35"/>
      <c r="AF1798" s="35"/>
      <c r="AG1798" s="35"/>
      <c r="AH1798" s="35"/>
      <c r="AI1798" s="35"/>
      <c r="AJ1798" s="35"/>
      <c r="AK1798" s="35"/>
      <c r="AL1798" s="35"/>
      <c r="AM1798" s="35"/>
      <c r="AN1798" s="35"/>
      <c r="AO1798" s="35"/>
      <c r="AP1798" s="35"/>
      <c r="AQ1798" s="35"/>
      <c r="AR1798" s="35"/>
      <c r="AS1798" s="35"/>
      <c r="AT1798" s="35"/>
      <c r="AU1798" s="35"/>
      <c r="AV1798" s="35"/>
      <c r="AW1798" s="35"/>
      <c r="AX1798" s="35"/>
      <c r="AY1798" s="35"/>
      <c r="AZ1798" s="35"/>
      <c r="BA1798" s="35"/>
      <c r="BB1798" s="35"/>
      <c r="BC1798" s="35"/>
      <c r="BD1798" s="35"/>
      <c r="BE1798" s="35"/>
      <c r="BF1798" s="35"/>
      <c r="BG1798" s="35"/>
    </row>
    <row r="1799" ht="15.75" customHeight="1">
      <c r="A1799" s="35"/>
      <c r="B1799" s="35"/>
      <c r="C1799" s="35"/>
      <c r="D1799" s="35"/>
      <c r="E1799" s="35"/>
      <c r="F1799" s="35"/>
      <c r="G1799" s="35"/>
      <c r="H1799" s="35"/>
      <c r="I1799" s="35"/>
      <c r="J1799" s="35"/>
      <c r="K1799" s="35"/>
      <c r="L1799" s="35"/>
      <c r="M1799" s="35"/>
      <c r="N1799" s="35"/>
      <c r="O1799" s="35"/>
      <c r="P1799" s="35"/>
      <c r="Q1799" s="35"/>
      <c r="R1799" s="35"/>
      <c r="S1799" s="35"/>
      <c r="T1799" s="35"/>
      <c r="U1799" s="35"/>
      <c r="V1799" s="35"/>
      <c r="W1799" s="35"/>
      <c r="X1799" s="35"/>
      <c r="Y1799" s="35"/>
      <c r="Z1799" s="35"/>
      <c r="AA1799" s="35"/>
      <c r="AB1799" s="35"/>
      <c r="AC1799" s="35"/>
      <c r="AD1799" s="35"/>
      <c r="AE1799" s="35"/>
      <c r="AF1799" s="35"/>
      <c r="AG1799" s="35"/>
      <c r="AH1799" s="35"/>
      <c r="AI1799" s="35"/>
      <c r="AJ1799" s="35"/>
      <c r="AK1799" s="35"/>
      <c r="AL1799" s="35"/>
      <c r="AM1799" s="35"/>
      <c r="AN1799" s="35"/>
      <c r="AO1799" s="35"/>
      <c r="AP1799" s="35"/>
      <c r="AQ1799" s="35"/>
      <c r="AR1799" s="35"/>
      <c r="AS1799" s="35"/>
      <c r="AT1799" s="35"/>
      <c r="AU1799" s="35"/>
      <c r="AV1799" s="35"/>
      <c r="AW1799" s="35"/>
      <c r="AX1799" s="35"/>
      <c r="AY1799" s="35"/>
      <c r="AZ1799" s="35"/>
      <c r="BA1799" s="35"/>
      <c r="BB1799" s="35"/>
      <c r="BC1799" s="35"/>
      <c r="BD1799" s="35"/>
      <c r="BE1799" s="35"/>
      <c r="BF1799" s="35"/>
      <c r="BG1799" s="35"/>
    </row>
    <row r="1800" ht="15.75" customHeight="1">
      <c r="A1800" s="35"/>
      <c r="B1800" s="35"/>
      <c r="C1800" s="35"/>
      <c r="D1800" s="35"/>
      <c r="E1800" s="35"/>
      <c r="F1800" s="35"/>
      <c r="G1800" s="35"/>
      <c r="H1800" s="35"/>
      <c r="I1800" s="35"/>
      <c r="J1800" s="35"/>
      <c r="K1800" s="35"/>
      <c r="L1800" s="35"/>
      <c r="M1800" s="35"/>
      <c r="N1800" s="35"/>
      <c r="O1800" s="35"/>
      <c r="P1800" s="35"/>
      <c r="Q1800" s="35"/>
      <c r="R1800" s="35"/>
      <c r="S1800" s="35"/>
      <c r="T1800" s="35"/>
      <c r="U1800" s="35"/>
      <c r="V1800" s="35"/>
      <c r="W1800" s="35"/>
      <c r="X1800" s="35"/>
      <c r="Y1800" s="35"/>
      <c r="Z1800" s="35"/>
      <c r="AA1800" s="35"/>
      <c r="AB1800" s="35"/>
      <c r="AC1800" s="35"/>
      <c r="AD1800" s="35"/>
      <c r="AE1800" s="35"/>
      <c r="AF1800" s="35"/>
      <c r="AG1800" s="35"/>
      <c r="AH1800" s="35"/>
      <c r="AI1800" s="35"/>
      <c r="AJ1800" s="35"/>
      <c r="AK1800" s="35"/>
      <c r="AL1800" s="35"/>
      <c r="AM1800" s="35"/>
      <c r="AN1800" s="35"/>
      <c r="AO1800" s="35"/>
      <c r="AP1800" s="35"/>
      <c r="AQ1800" s="35"/>
      <c r="AR1800" s="35"/>
      <c r="AS1800" s="35"/>
      <c r="AT1800" s="35"/>
      <c r="AU1800" s="35"/>
      <c r="AV1800" s="35"/>
      <c r="AW1800" s="35"/>
      <c r="AX1800" s="35"/>
      <c r="AY1800" s="35"/>
      <c r="AZ1800" s="35"/>
      <c r="BA1800" s="35"/>
      <c r="BB1800" s="35"/>
      <c r="BC1800" s="35"/>
      <c r="BD1800" s="35"/>
      <c r="BE1800" s="35"/>
      <c r="BF1800" s="35"/>
      <c r="BG1800" s="35"/>
    </row>
    <row r="1801" ht="15.75" customHeight="1">
      <c r="A1801" s="35"/>
      <c r="B1801" s="35"/>
      <c r="C1801" s="35"/>
      <c r="D1801" s="35"/>
      <c r="E1801" s="35"/>
      <c r="F1801" s="35"/>
      <c r="G1801" s="35"/>
      <c r="H1801" s="35"/>
      <c r="I1801" s="35"/>
      <c r="J1801" s="35"/>
      <c r="K1801" s="35"/>
      <c r="L1801" s="35"/>
      <c r="M1801" s="35"/>
      <c r="N1801" s="35"/>
      <c r="O1801" s="35"/>
      <c r="P1801" s="35"/>
      <c r="Q1801" s="35"/>
      <c r="R1801" s="35"/>
      <c r="S1801" s="35"/>
      <c r="T1801" s="35"/>
      <c r="U1801" s="35"/>
      <c r="V1801" s="35"/>
      <c r="W1801" s="35"/>
      <c r="X1801" s="35"/>
      <c r="Y1801" s="35"/>
      <c r="Z1801" s="35"/>
      <c r="AA1801" s="35"/>
      <c r="AB1801" s="35"/>
      <c r="AC1801" s="35"/>
      <c r="AD1801" s="35"/>
      <c r="AE1801" s="35"/>
      <c r="AF1801" s="35"/>
      <c r="AG1801" s="35"/>
      <c r="AH1801" s="35"/>
      <c r="AI1801" s="35"/>
      <c r="AJ1801" s="35"/>
      <c r="AK1801" s="35"/>
      <c r="AL1801" s="35"/>
      <c r="AM1801" s="35"/>
      <c r="AN1801" s="35"/>
      <c r="AO1801" s="35"/>
      <c r="AP1801" s="35"/>
      <c r="AQ1801" s="35"/>
      <c r="AR1801" s="35"/>
      <c r="AS1801" s="35"/>
      <c r="AT1801" s="35"/>
      <c r="AU1801" s="35"/>
      <c r="AV1801" s="35"/>
      <c r="AW1801" s="35"/>
      <c r="AX1801" s="35"/>
      <c r="AY1801" s="35"/>
      <c r="AZ1801" s="35"/>
      <c r="BA1801" s="35"/>
      <c r="BB1801" s="35"/>
      <c r="BC1801" s="35"/>
      <c r="BD1801" s="35"/>
      <c r="BE1801" s="35"/>
      <c r="BF1801" s="35"/>
      <c r="BG1801" s="35"/>
    </row>
    <row r="1802" ht="15.75" customHeight="1">
      <c r="A1802" s="35"/>
      <c r="B1802" s="35"/>
      <c r="C1802" s="35"/>
      <c r="D1802" s="35"/>
      <c r="E1802" s="35"/>
      <c r="F1802" s="35"/>
      <c r="G1802" s="35"/>
      <c r="H1802" s="35"/>
      <c r="I1802" s="35"/>
      <c r="J1802" s="35"/>
      <c r="K1802" s="35"/>
      <c r="L1802" s="35"/>
      <c r="M1802" s="35"/>
      <c r="N1802" s="35"/>
      <c r="O1802" s="35"/>
      <c r="P1802" s="35"/>
      <c r="Q1802" s="35"/>
      <c r="R1802" s="35"/>
      <c r="S1802" s="35"/>
      <c r="T1802" s="35"/>
      <c r="U1802" s="35"/>
      <c r="V1802" s="35"/>
      <c r="W1802" s="35"/>
      <c r="X1802" s="35"/>
      <c r="Y1802" s="35"/>
      <c r="Z1802" s="35"/>
      <c r="AA1802" s="35"/>
      <c r="AB1802" s="35"/>
      <c r="AC1802" s="35"/>
      <c r="AD1802" s="35"/>
      <c r="AE1802" s="35"/>
      <c r="AF1802" s="35"/>
      <c r="AG1802" s="35"/>
      <c r="AH1802" s="35"/>
      <c r="AI1802" s="35"/>
      <c r="AJ1802" s="35"/>
      <c r="AK1802" s="35"/>
      <c r="AL1802" s="35"/>
      <c r="AM1802" s="35"/>
      <c r="AN1802" s="35"/>
      <c r="AO1802" s="35"/>
      <c r="AP1802" s="35"/>
      <c r="AQ1802" s="35"/>
      <c r="AR1802" s="35"/>
      <c r="AS1802" s="35"/>
      <c r="AT1802" s="35"/>
      <c r="AU1802" s="35"/>
      <c r="AV1802" s="35"/>
      <c r="AW1802" s="35"/>
      <c r="AX1802" s="35"/>
      <c r="AY1802" s="35"/>
      <c r="AZ1802" s="35"/>
      <c r="BA1802" s="35"/>
      <c r="BB1802" s="35"/>
      <c r="BC1802" s="35"/>
      <c r="BD1802" s="35"/>
      <c r="BE1802" s="35"/>
      <c r="BF1802" s="35"/>
      <c r="BG1802" s="35"/>
    </row>
    <row r="1803" ht="15.75" customHeight="1">
      <c r="A1803" s="35"/>
      <c r="B1803" s="35"/>
      <c r="C1803" s="35"/>
      <c r="D1803" s="35"/>
      <c r="E1803" s="35"/>
      <c r="F1803" s="35"/>
      <c r="G1803" s="35"/>
      <c r="H1803" s="35"/>
      <c r="I1803" s="35"/>
      <c r="J1803" s="35"/>
      <c r="K1803" s="35"/>
      <c r="L1803" s="35"/>
      <c r="M1803" s="35"/>
      <c r="N1803" s="35"/>
      <c r="O1803" s="35"/>
      <c r="P1803" s="35"/>
      <c r="Q1803" s="35"/>
      <c r="R1803" s="35"/>
      <c r="S1803" s="35"/>
      <c r="T1803" s="35"/>
      <c r="U1803" s="35"/>
      <c r="V1803" s="35"/>
      <c r="W1803" s="35"/>
      <c r="X1803" s="35"/>
      <c r="Y1803" s="35"/>
      <c r="Z1803" s="35"/>
      <c r="AA1803" s="35"/>
      <c r="AB1803" s="35"/>
      <c r="AC1803" s="35"/>
      <c r="AD1803" s="35"/>
      <c r="AE1803" s="35"/>
      <c r="AF1803" s="35"/>
      <c r="AG1803" s="35"/>
      <c r="AH1803" s="35"/>
      <c r="AI1803" s="35"/>
      <c r="AJ1803" s="35"/>
      <c r="AK1803" s="35"/>
      <c r="AL1803" s="35"/>
      <c r="AM1803" s="35"/>
      <c r="AN1803" s="35"/>
      <c r="AO1803" s="35"/>
      <c r="AP1803" s="35"/>
      <c r="AQ1803" s="35"/>
      <c r="AR1803" s="35"/>
      <c r="AS1803" s="35"/>
      <c r="AT1803" s="35"/>
      <c r="AU1803" s="35"/>
      <c r="AV1803" s="35"/>
      <c r="AW1803" s="35"/>
      <c r="AX1803" s="35"/>
      <c r="AY1803" s="35"/>
      <c r="AZ1803" s="35"/>
      <c r="BA1803" s="35"/>
      <c r="BB1803" s="35"/>
      <c r="BC1803" s="35"/>
      <c r="BD1803" s="35"/>
      <c r="BE1803" s="35"/>
      <c r="BF1803" s="35"/>
      <c r="BG1803" s="35"/>
    </row>
    <row r="1804" ht="15.75" customHeight="1">
      <c r="A1804" s="35"/>
      <c r="B1804" s="35"/>
      <c r="C1804" s="35"/>
      <c r="D1804" s="35"/>
      <c r="E1804" s="35"/>
      <c r="F1804" s="35"/>
      <c r="G1804" s="35"/>
      <c r="H1804" s="35"/>
      <c r="I1804" s="35"/>
      <c r="J1804" s="35"/>
      <c r="K1804" s="35"/>
      <c r="L1804" s="35"/>
      <c r="M1804" s="35"/>
      <c r="N1804" s="35"/>
      <c r="O1804" s="35"/>
      <c r="P1804" s="35"/>
      <c r="Q1804" s="35"/>
      <c r="R1804" s="35"/>
      <c r="S1804" s="35"/>
      <c r="T1804" s="35"/>
      <c r="U1804" s="35"/>
      <c r="V1804" s="35"/>
      <c r="W1804" s="35"/>
      <c r="X1804" s="35"/>
      <c r="Y1804" s="35"/>
      <c r="Z1804" s="35"/>
      <c r="AA1804" s="35"/>
      <c r="AB1804" s="35"/>
      <c r="AC1804" s="35"/>
      <c r="AD1804" s="35"/>
      <c r="AE1804" s="35"/>
      <c r="AF1804" s="35"/>
      <c r="AG1804" s="35"/>
      <c r="AH1804" s="35"/>
      <c r="AI1804" s="35"/>
      <c r="AJ1804" s="35"/>
      <c r="AK1804" s="35"/>
      <c r="AL1804" s="35"/>
      <c r="AM1804" s="35"/>
      <c r="AN1804" s="35"/>
      <c r="AO1804" s="35"/>
      <c r="AP1804" s="35"/>
      <c r="AQ1804" s="35"/>
      <c r="AR1804" s="35"/>
      <c r="AS1804" s="35"/>
      <c r="AT1804" s="35"/>
      <c r="AU1804" s="35"/>
      <c r="AV1804" s="35"/>
      <c r="AW1804" s="35"/>
      <c r="AX1804" s="35"/>
      <c r="AY1804" s="35"/>
      <c r="AZ1804" s="35"/>
      <c r="BA1804" s="35"/>
      <c r="BB1804" s="35"/>
      <c r="BC1804" s="35"/>
      <c r="BD1804" s="35"/>
      <c r="BE1804" s="35"/>
      <c r="BF1804" s="35"/>
      <c r="BG1804" s="35"/>
    </row>
    <row r="1805" ht="15.75" customHeight="1">
      <c r="A1805" s="35"/>
      <c r="B1805" s="35"/>
      <c r="C1805" s="35"/>
      <c r="D1805" s="35"/>
      <c r="E1805" s="35"/>
      <c r="F1805" s="35"/>
      <c r="G1805" s="35"/>
      <c r="H1805" s="35"/>
      <c r="I1805" s="35"/>
      <c r="J1805" s="35"/>
      <c r="K1805" s="35"/>
      <c r="L1805" s="35"/>
      <c r="M1805" s="35"/>
      <c r="N1805" s="35"/>
      <c r="O1805" s="35"/>
      <c r="P1805" s="35"/>
      <c r="Q1805" s="35"/>
      <c r="R1805" s="35"/>
      <c r="S1805" s="35"/>
      <c r="T1805" s="35"/>
      <c r="U1805" s="35"/>
      <c r="V1805" s="35"/>
      <c r="W1805" s="35"/>
      <c r="X1805" s="35"/>
      <c r="Y1805" s="35"/>
      <c r="Z1805" s="35"/>
      <c r="AA1805" s="35"/>
      <c r="AB1805" s="35"/>
      <c r="AC1805" s="35"/>
      <c r="AD1805" s="35"/>
      <c r="AE1805" s="35"/>
      <c r="AF1805" s="35"/>
      <c r="AG1805" s="35"/>
      <c r="AH1805" s="35"/>
      <c r="AI1805" s="35"/>
      <c r="AJ1805" s="35"/>
      <c r="AK1805" s="35"/>
      <c r="AL1805" s="35"/>
      <c r="AM1805" s="35"/>
      <c r="AN1805" s="35"/>
      <c r="AO1805" s="35"/>
      <c r="AP1805" s="35"/>
      <c r="AQ1805" s="35"/>
      <c r="AR1805" s="35"/>
      <c r="AS1805" s="35"/>
      <c r="AT1805" s="35"/>
      <c r="AU1805" s="35"/>
      <c r="AV1805" s="35"/>
      <c r="AW1805" s="35"/>
      <c r="AX1805" s="35"/>
      <c r="AY1805" s="35"/>
      <c r="AZ1805" s="35"/>
      <c r="BA1805" s="35"/>
      <c r="BB1805" s="35"/>
      <c r="BC1805" s="35"/>
      <c r="BD1805" s="35"/>
      <c r="BE1805" s="35"/>
      <c r="BF1805" s="35"/>
      <c r="BG1805" s="35"/>
    </row>
    <row r="1806" ht="15.75" customHeight="1">
      <c r="A1806" s="35"/>
      <c r="B1806" s="35"/>
      <c r="C1806" s="35"/>
      <c r="D1806" s="35"/>
      <c r="E1806" s="35"/>
      <c r="F1806" s="35"/>
      <c r="G1806" s="35"/>
      <c r="H1806" s="35"/>
      <c r="I1806" s="35"/>
      <c r="J1806" s="35"/>
      <c r="K1806" s="35"/>
      <c r="L1806" s="35"/>
      <c r="M1806" s="35"/>
      <c r="N1806" s="35"/>
      <c r="O1806" s="35"/>
      <c r="P1806" s="35"/>
      <c r="Q1806" s="35"/>
      <c r="R1806" s="35"/>
      <c r="S1806" s="35"/>
      <c r="T1806" s="35"/>
      <c r="U1806" s="35"/>
      <c r="V1806" s="35"/>
      <c r="W1806" s="35"/>
      <c r="X1806" s="35"/>
      <c r="Y1806" s="35"/>
      <c r="Z1806" s="35"/>
      <c r="AA1806" s="35"/>
      <c r="AB1806" s="35"/>
      <c r="AC1806" s="35"/>
      <c r="AD1806" s="35"/>
      <c r="AE1806" s="35"/>
      <c r="AF1806" s="35"/>
      <c r="AG1806" s="35"/>
      <c r="AH1806" s="35"/>
      <c r="AI1806" s="35"/>
      <c r="AJ1806" s="35"/>
      <c r="AK1806" s="35"/>
      <c r="AL1806" s="35"/>
      <c r="AM1806" s="35"/>
      <c r="AN1806" s="35"/>
      <c r="AO1806" s="35"/>
      <c r="AP1806" s="35"/>
      <c r="AQ1806" s="35"/>
      <c r="AR1806" s="35"/>
      <c r="AS1806" s="35"/>
      <c r="AT1806" s="35"/>
      <c r="AU1806" s="35"/>
      <c r="AV1806" s="35"/>
      <c r="AW1806" s="35"/>
      <c r="AX1806" s="35"/>
      <c r="AY1806" s="35"/>
      <c r="AZ1806" s="35"/>
      <c r="BA1806" s="35"/>
      <c r="BB1806" s="35"/>
      <c r="BC1806" s="35"/>
      <c r="BD1806" s="35"/>
      <c r="BE1806" s="35"/>
      <c r="BF1806" s="35"/>
      <c r="BG1806" s="35"/>
    </row>
    <row r="1807" ht="15.75" customHeight="1">
      <c r="A1807" s="35"/>
      <c r="B1807" s="35"/>
      <c r="C1807" s="35"/>
      <c r="D1807" s="35"/>
      <c r="E1807" s="35"/>
      <c r="F1807" s="35"/>
      <c r="G1807" s="35"/>
      <c r="H1807" s="35"/>
      <c r="I1807" s="35"/>
      <c r="J1807" s="35"/>
      <c r="K1807" s="35"/>
      <c r="L1807" s="35"/>
      <c r="M1807" s="35"/>
      <c r="N1807" s="35"/>
      <c r="O1807" s="35"/>
      <c r="P1807" s="35"/>
      <c r="Q1807" s="35"/>
      <c r="R1807" s="35"/>
      <c r="S1807" s="35"/>
      <c r="T1807" s="35"/>
      <c r="U1807" s="35"/>
      <c r="V1807" s="35"/>
      <c r="W1807" s="35"/>
      <c r="X1807" s="35"/>
      <c r="Y1807" s="35"/>
      <c r="Z1807" s="35"/>
      <c r="AA1807" s="35"/>
      <c r="AB1807" s="35"/>
      <c r="AC1807" s="35"/>
      <c r="AD1807" s="35"/>
      <c r="AE1807" s="35"/>
      <c r="AF1807" s="35"/>
      <c r="AG1807" s="35"/>
      <c r="AH1807" s="35"/>
      <c r="AI1807" s="35"/>
      <c r="AJ1807" s="35"/>
      <c r="AK1807" s="35"/>
      <c r="AL1807" s="35"/>
      <c r="AM1807" s="35"/>
      <c r="AN1807" s="35"/>
      <c r="AO1807" s="35"/>
      <c r="AP1807" s="35"/>
      <c r="AQ1807" s="35"/>
      <c r="AR1807" s="35"/>
      <c r="AS1807" s="35"/>
      <c r="AT1807" s="35"/>
      <c r="AU1807" s="35"/>
      <c r="AV1807" s="35"/>
      <c r="AW1807" s="35"/>
      <c r="AX1807" s="35"/>
      <c r="AY1807" s="35"/>
      <c r="AZ1807" s="35"/>
      <c r="BA1807" s="35"/>
      <c r="BB1807" s="35"/>
      <c r="BC1807" s="35"/>
      <c r="BD1807" s="35"/>
      <c r="BE1807" s="35"/>
      <c r="BF1807" s="35"/>
      <c r="BG1807" s="35"/>
    </row>
    <row r="1808" ht="15.75" customHeight="1">
      <c r="A1808" s="35"/>
      <c r="B1808" s="35"/>
      <c r="C1808" s="35"/>
      <c r="D1808" s="35"/>
      <c r="E1808" s="35"/>
      <c r="F1808" s="35"/>
      <c r="G1808" s="35"/>
      <c r="H1808" s="35"/>
      <c r="I1808" s="35"/>
      <c r="J1808" s="35"/>
      <c r="K1808" s="35"/>
      <c r="L1808" s="35"/>
      <c r="M1808" s="35"/>
      <c r="N1808" s="35"/>
      <c r="O1808" s="35"/>
      <c r="P1808" s="35"/>
      <c r="Q1808" s="35"/>
      <c r="R1808" s="35"/>
      <c r="S1808" s="35"/>
      <c r="T1808" s="35"/>
      <c r="U1808" s="35"/>
      <c r="V1808" s="35"/>
      <c r="W1808" s="35"/>
      <c r="X1808" s="35"/>
      <c r="Y1808" s="35"/>
      <c r="Z1808" s="35"/>
      <c r="AA1808" s="35"/>
      <c r="AB1808" s="35"/>
      <c r="AC1808" s="35"/>
      <c r="AD1808" s="35"/>
      <c r="AE1808" s="35"/>
      <c r="AF1808" s="35"/>
      <c r="AG1808" s="35"/>
      <c r="AH1808" s="35"/>
      <c r="AI1808" s="35"/>
      <c r="AJ1808" s="35"/>
      <c r="AK1808" s="35"/>
      <c r="AL1808" s="35"/>
      <c r="AM1808" s="35"/>
      <c r="AN1808" s="35"/>
      <c r="AO1808" s="35"/>
      <c r="AP1808" s="35"/>
      <c r="AQ1808" s="35"/>
      <c r="AR1808" s="35"/>
      <c r="AS1808" s="35"/>
      <c r="AT1808" s="35"/>
      <c r="AU1808" s="35"/>
      <c r="AV1808" s="35"/>
      <c r="AW1808" s="35"/>
      <c r="AX1808" s="35"/>
      <c r="AY1808" s="35"/>
      <c r="AZ1808" s="35"/>
      <c r="BA1808" s="35"/>
      <c r="BB1808" s="35"/>
      <c r="BC1808" s="35"/>
      <c r="BD1808" s="35"/>
      <c r="BE1808" s="35"/>
      <c r="BF1808" s="35"/>
      <c r="BG1808" s="35"/>
    </row>
    <row r="1809" ht="15.75" customHeight="1">
      <c r="A1809" s="35"/>
      <c r="B1809" s="35"/>
      <c r="C1809" s="35"/>
      <c r="D1809" s="35"/>
      <c r="E1809" s="35"/>
      <c r="F1809" s="35"/>
      <c r="G1809" s="35"/>
      <c r="H1809" s="35"/>
      <c r="I1809" s="35"/>
      <c r="J1809" s="35"/>
      <c r="K1809" s="35"/>
      <c r="L1809" s="35"/>
      <c r="M1809" s="35"/>
      <c r="N1809" s="35"/>
      <c r="O1809" s="35"/>
      <c r="P1809" s="35"/>
      <c r="Q1809" s="35"/>
      <c r="R1809" s="35"/>
      <c r="S1809" s="35"/>
      <c r="T1809" s="35"/>
      <c r="U1809" s="35"/>
      <c r="V1809" s="35"/>
      <c r="W1809" s="35"/>
      <c r="X1809" s="35"/>
      <c r="Y1809" s="35"/>
      <c r="Z1809" s="35"/>
      <c r="AA1809" s="35"/>
      <c r="AB1809" s="35"/>
      <c r="AC1809" s="35"/>
      <c r="AD1809" s="35"/>
      <c r="AE1809" s="35"/>
      <c r="AF1809" s="35"/>
      <c r="AG1809" s="35"/>
      <c r="AH1809" s="35"/>
      <c r="AI1809" s="35"/>
      <c r="AJ1809" s="35"/>
      <c r="AK1809" s="35"/>
      <c r="AL1809" s="35"/>
      <c r="AM1809" s="35"/>
      <c r="AN1809" s="35"/>
      <c r="AO1809" s="35"/>
      <c r="AP1809" s="35"/>
      <c r="AQ1809" s="35"/>
      <c r="AR1809" s="35"/>
      <c r="AS1809" s="35"/>
      <c r="AT1809" s="35"/>
      <c r="AU1809" s="35"/>
      <c r="AV1809" s="35"/>
      <c r="AW1809" s="35"/>
      <c r="AX1809" s="35"/>
      <c r="AY1809" s="35"/>
      <c r="AZ1809" s="35"/>
      <c r="BA1809" s="35"/>
      <c r="BB1809" s="35"/>
      <c r="BC1809" s="35"/>
      <c r="BD1809" s="35"/>
      <c r="BE1809" s="35"/>
      <c r="BF1809" s="35"/>
      <c r="BG1809" s="35"/>
    </row>
    <row r="1810" ht="15.75" customHeight="1">
      <c r="A1810" s="35"/>
      <c r="B1810" s="35"/>
      <c r="C1810" s="35"/>
      <c r="D1810" s="35"/>
      <c r="E1810" s="35"/>
      <c r="F1810" s="35"/>
      <c r="G1810" s="35"/>
      <c r="H1810" s="35"/>
      <c r="I1810" s="35"/>
      <c r="J1810" s="35"/>
      <c r="K1810" s="35"/>
      <c r="L1810" s="35"/>
      <c r="M1810" s="35"/>
      <c r="N1810" s="35"/>
      <c r="O1810" s="35"/>
      <c r="P1810" s="35"/>
      <c r="Q1810" s="35"/>
      <c r="R1810" s="35"/>
      <c r="S1810" s="35"/>
      <c r="T1810" s="35"/>
      <c r="U1810" s="35"/>
      <c r="V1810" s="35"/>
      <c r="W1810" s="35"/>
      <c r="X1810" s="35"/>
      <c r="Y1810" s="35"/>
      <c r="Z1810" s="35"/>
      <c r="AA1810" s="35"/>
      <c r="AB1810" s="35"/>
      <c r="AC1810" s="35"/>
      <c r="AD1810" s="35"/>
      <c r="AE1810" s="35"/>
      <c r="AF1810" s="35"/>
      <c r="AG1810" s="35"/>
      <c r="AH1810" s="35"/>
      <c r="AI1810" s="35"/>
      <c r="AJ1810" s="35"/>
      <c r="AK1810" s="35"/>
      <c r="AL1810" s="35"/>
      <c r="AM1810" s="35"/>
      <c r="AN1810" s="35"/>
      <c r="AO1810" s="35"/>
      <c r="AP1810" s="35"/>
      <c r="AQ1810" s="35"/>
      <c r="AR1810" s="35"/>
      <c r="AS1810" s="35"/>
      <c r="AT1810" s="35"/>
      <c r="AU1810" s="35"/>
      <c r="AV1810" s="35"/>
      <c r="AW1810" s="35"/>
      <c r="AX1810" s="35"/>
      <c r="AY1810" s="35"/>
      <c r="AZ1810" s="35"/>
      <c r="BA1810" s="35"/>
      <c r="BB1810" s="35"/>
      <c r="BC1810" s="35"/>
      <c r="BD1810" s="35"/>
      <c r="BE1810" s="35"/>
      <c r="BF1810" s="35"/>
      <c r="BG1810" s="35"/>
    </row>
    <row r="1811" ht="15.75" customHeight="1">
      <c r="A1811" s="35"/>
      <c r="B1811" s="35"/>
      <c r="C1811" s="35"/>
      <c r="D1811" s="35"/>
      <c r="E1811" s="35"/>
      <c r="F1811" s="35"/>
      <c r="G1811" s="35"/>
      <c r="H1811" s="35"/>
      <c r="I1811" s="35"/>
      <c r="J1811" s="35"/>
      <c r="K1811" s="35"/>
      <c r="L1811" s="35"/>
      <c r="M1811" s="35"/>
      <c r="N1811" s="35"/>
      <c r="O1811" s="35"/>
      <c r="P1811" s="35"/>
      <c r="Q1811" s="35"/>
      <c r="R1811" s="35"/>
      <c r="S1811" s="35"/>
      <c r="T1811" s="35"/>
      <c r="U1811" s="35"/>
      <c r="V1811" s="35"/>
      <c r="W1811" s="35"/>
      <c r="X1811" s="35"/>
      <c r="Y1811" s="35"/>
      <c r="Z1811" s="35"/>
      <c r="AA1811" s="35"/>
      <c r="AB1811" s="35"/>
      <c r="AC1811" s="35"/>
      <c r="AD1811" s="35"/>
      <c r="AE1811" s="35"/>
      <c r="AF1811" s="35"/>
      <c r="AG1811" s="35"/>
      <c r="AH1811" s="35"/>
      <c r="AI1811" s="35"/>
      <c r="AJ1811" s="35"/>
      <c r="AK1811" s="35"/>
      <c r="AL1811" s="35"/>
      <c r="AM1811" s="35"/>
      <c r="AN1811" s="35"/>
      <c r="AO1811" s="35"/>
      <c r="AP1811" s="35"/>
      <c r="AQ1811" s="35"/>
      <c r="AR1811" s="35"/>
      <c r="AS1811" s="35"/>
      <c r="AT1811" s="35"/>
      <c r="AU1811" s="35"/>
      <c r="AV1811" s="35"/>
      <c r="AW1811" s="35"/>
      <c r="AX1811" s="35"/>
      <c r="AY1811" s="35"/>
      <c r="AZ1811" s="35"/>
      <c r="BA1811" s="35"/>
      <c r="BB1811" s="35"/>
      <c r="BC1811" s="35"/>
      <c r="BD1811" s="35"/>
      <c r="BE1811" s="35"/>
      <c r="BF1811" s="35"/>
      <c r="BG1811" s="35"/>
    </row>
    <row r="1812" ht="15.75" customHeight="1">
      <c r="A1812" s="35"/>
      <c r="B1812" s="35"/>
      <c r="C1812" s="35"/>
      <c r="D1812" s="35"/>
      <c r="E1812" s="35"/>
      <c r="F1812" s="35"/>
      <c r="G1812" s="35"/>
      <c r="H1812" s="35"/>
      <c r="I1812" s="35"/>
      <c r="J1812" s="35"/>
      <c r="K1812" s="35"/>
      <c r="L1812" s="35"/>
      <c r="M1812" s="35"/>
      <c r="N1812" s="35"/>
      <c r="O1812" s="35"/>
      <c r="P1812" s="35"/>
      <c r="Q1812" s="35"/>
      <c r="R1812" s="35"/>
      <c r="S1812" s="35"/>
      <c r="T1812" s="35"/>
      <c r="U1812" s="35"/>
      <c r="V1812" s="35"/>
      <c r="W1812" s="35"/>
      <c r="X1812" s="35"/>
      <c r="Y1812" s="35"/>
      <c r="Z1812" s="35"/>
      <c r="AA1812" s="35"/>
      <c r="AB1812" s="35"/>
      <c r="AC1812" s="35"/>
      <c r="AD1812" s="35"/>
      <c r="AE1812" s="35"/>
      <c r="AF1812" s="35"/>
      <c r="AG1812" s="35"/>
      <c r="AH1812" s="35"/>
      <c r="AI1812" s="35"/>
      <c r="AJ1812" s="35"/>
      <c r="AK1812" s="35"/>
      <c r="AL1812" s="35"/>
      <c r="AM1812" s="35"/>
      <c r="AN1812" s="35"/>
      <c r="AO1812" s="35"/>
      <c r="AP1812" s="35"/>
      <c r="AQ1812" s="35"/>
      <c r="AR1812" s="35"/>
      <c r="AS1812" s="35"/>
      <c r="AT1812" s="35"/>
      <c r="AU1812" s="35"/>
      <c r="AV1812" s="35"/>
      <c r="AW1812" s="35"/>
      <c r="AX1812" s="35"/>
      <c r="AY1812" s="35"/>
      <c r="AZ1812" s="35"/>
      <c r="BA1812" s="35"/>
      <c r="BB1812" s="35"/>
      <c r="BC1812" s="35"/>
      <c r="BD1812" s="35"/>
      <c r="BE1812" s="35"/>
      <c r="BF1812" s="35"/>
      <c r="BG1812" s="35"/>
    </row>
    <row r="1813" ht="15.75" customHeight="1">
      <c r="A1813" s="35"/>
      <c r="B1813" s="35"/>
      <c r="C1813" s="35"/>
      <c r="D1813" s="35"/>
      <c r="E1813" s="35"/>
      <c r="F1813" s="35"/>
      <c r="G1813" s="35"/>
      <c r="H1813" s="35"/>
      <c r="I1813" s="35"/>
      <c r="J1813" s="35"/>
      <c r="K1813" s="35"/>
      <c r="L1813" s="35"/>
      <c r="M1813" s="35"/>
      <c r="N1813" s="35"/>
      <c r="O1813" s="35"/>
      <c r="P1813" s="35"/>
      <c r="Q1813" s="35"/>
      <c r="R1813" s="35"/>
      <c r="S1813" s="35"/>
      <c r="T1813" s="35"/>
      <c r="U1813" s="35"/>
      <c r="V1813" s="35"/>
      <c r="W1813" s="35"/>
      <c r="X1813" s="35"/>
      <c r="Y1813" s="35"/>
      <c r="Z1813" s="35"/>
      <c r="AA1813" s="35"/>
      <c r="AB1813" s="35"/>
      <c r="AC1813" s="35"/>
      <c r="AD1813" s="35"/>
      <c r="AE1813" s="35"/>
      <c r="AF1813" s="35"/>
      <c r="AG1813" s="35"/>
      <c r="AH1813" s="35"/>
      <c r="AI1813" s="35"/>
      <c r="AJ1813" s="35"/>
      <c r="AK1813" s="35"/>
      <c r="AL1813" s="35"/>
      <c r="AM1813" s="35"/>
      <c r="AN1813" s="35"/>
      <c r="AO1813" s="35"/>
      <c r="AP1813" s="35"/>
      <c r="AQ1813" s="35"/>
      <c r="AR1813" s="35"/>
      <c r="AS1813" s="35"/>
      <c r="AT1813" s="35"/>
      <c r="AU1813" s="35"/>
      <c r="AV1813" s="35"/>
      <c r="AW1813" s="35"/>
      <c r="AX1813" s="35"/>
      <c r="AY1813" s="35"/>
      <c r="AZ1813" s="35"/>
      <c r="BA1813" s="35"/>
      <c r="BB1813" s="35"/>
      <c r="BC1813" s="35"/>
      <c r="BD1813" s="35"/>
      <c r="BE1813" s="35"/>
      <c r="BF1813" s="35"/>
      <c r="BG1813" s="35"/>
    </row>
    <row r="1814" ht="15.75" customHeight="1">
      <c r="A1814" s="35"/>
      <c r="B1814" s="35"/>
      <c r="C1814" s="35"/>
      <c r="D1814" s="35"/>
      <c r="E1814" s="35"/>
      <c r="F1814" s="35"/>
      <c r="G1814" s="35"/>
      <c r="H1814" s="35"/>
      <c r="I1814" s="35"/>
      <c r="J1814" s="35"/>
      <c r="K1814" s="35"/>
      <c r="L1814" s="35"/>
      <c r="M1814" s="35"/>
      <c r="N1814" s="35"/>
      <c r="O1814" s="35"/>
      <c r="P1814" s="35"/>
      <c r="Q1814" s="35"/>
      <c r="R1814" s="35"/>
      <c r="S1814" s="35"/>
      <c r="T1814" s="35"/>
      <c r="U1814" s="35"/>
      <c r="V1814" s="35"/>
      <c r="W1814" s="35"/>
      <c r="X1814" s="35"/>
      <c r="Y1814" s="35"/>
      <c r="Z1814" s="35"/>
      <c r="AA1814" s="35"/>
      <c r="AB1814" s="35"/>
      <c r="AC1814" s="35"/>
      <c r="AD1814" s="35"/>
      <c r="AE1814" s="35"/>
      <c r="AF1814" s="35"/>
      <c r="AG1814" s="35"/>
      <c r="AH1814" s="35"/>
      <c r="AI1814" s="35"/>
      <c r="AJ1814" s="35"/>
      <c r="AK1814" s="35"/>
      <c r="AL1814" s="35"/>
      <c r="AM1814" s="35"/>
      <c r="AN1814" s="35"/>
      <c r="AO1814" s="35"/>
      <c r="AP1814" s="35"/>
      <c r="AQ1814" s="35"/>
      <c r="AR1814" s="35"/>
      <c r="AS1814" s="35"/>
      <c r="AT1814" s="35"/>
      <c r="AU1814" s="35"/>
      <c r="AV1814" s="35"/>
      <c r="AW1814" s="35"/>
      <c r="AX1814" s="35"/>
      <c r="AY1814" s="35"/>
      <c r="AZ1814" s="35"/>
      <c r="BA1814" s="35"/>
      <c r="BB1814" s="35"/>
      <c r="BC1814" s="35"/>
      <c r="BD1814" s="35"/>
      <c r="BE1814" s="35"/>
      <c r="BF1814" s="35"/>
      <c r="BG1814" s="35"/>
    </row>
    <row r="1815" ht="15.75" customHeight="1">
      <c r="A1815" s="35"/>
      <c r="B1815" s="35"/>
      <c r="C1815" s="35"/>
      <c r="D1815" s="35"/>
      <c r="E1815" s="35"/>
      <c r="F1815" s="35"/>
      <c r="G1815" s="35"/>
      <c r="H1815" s="35"/>
      <c r="I1815" s="35"/>
      <c r="J1815" s="35"/>
      <c r="K1815" s="35"/>
      <c r="L1815" s="35"/>
      <c r="M1815" s="35"/>
      <c r="N1815" s="35"/>
      <c r="O1815" s="35"/>
      <c r="P1815" s="35"/>
      <c r="Q1815" s="35"/>
      <c r="R1815" s="35"/>
      <c r="S1815" s="35"/>
      <c r="T1815" s="35"/>
      <c r="U1815" s="35"/>
      <c r="V1815" s="35"/>
      <c r="W1815" s="35"/>
      <c r="X1815" s="35"/>
      <c r="Y1815" s="35"/>
      <c r="Z1815" s="35"/>
      <c r="AA1815" s="35"/>
      <c r="AB1815" s="35"/>
      <c r="AC1815" s="35"/>
      <c r="AD1815" s="35"/>
      <c r="AE1815" s="35"/>
      <c r="AF1815" s="35"/>
      <c r="AG1815" s="35"/>
      <c r="AH1815" s="35"/>
      <c r="AI1815" s="35"/>
      <c r="AJ1815" s="35"/>
      <c r="AK1815" s="35"/>
      <c r="AL1815" s="35"/>
      <c r="AM1815" s="35"/>
      <c r="AN1815" s="35"/>
      <c r="AO1815" s="35"/>
      <c r="AP1815" s="35"/>
      <c r="AQ1815" s="35"/>
      <c r="AR1815" s="35"/>
      <c r="AS1815" s="35"/>
      <c r="AT1815" s="35"/>
      <c r="AU1815" s="35"/>
      <c r="AV1815" s="35"/>
      <c r="AW1815" s="35"/>
      <c r="AX1815" s="35"/>
      <c r="AY1815" s="35"/>
      <c r="AZ1815" s="35"/>
      <c r="BA1815" s="35"/>
      <c r="BB1815" s="35"/>
      <c r="BC1815" s="35"/>
      <c r="BD1815" s="35"/>
      <c r="BE1815" s="35"/>
      <c r="BF1815" s="35"/>
      <c r="BG1815" s="35"/>
    </row>
    <row r="1816" ht="15.75" customHeight="1">
      <c r="A1816" s="35"/>
      <c r="B1816" s="35"/>
      <c r="C1816" s="35"/>
      <c r="D1816" s="35"/>
      <c r="E1816" s="35"/>
      <c r="F1816" s="35"/>
      <c r="G1816" s="35"/>
      <c r="H1816" s="35"/>
      <c r="I1816" s="35"/>
      <c r="J1816" s="35"/>
      <c r="K1816" s="35"/>
      <c r="L1816" s="35"/>
      <c r="M1816" s="35"/>
      <c r="N1816" s="35"/>
      <c r="O1816" s="35"/>
      <c r="P1816" s="35"/>
      <c r="Q1816" s="35"/>
      <c r="R1816" s="35"/>
      <c r="S1816" s="35"/>
      <c r="T1816" s="35"/>
      <c r="U1816" s="35"/>
      <c r="V1816" s="35"/>
      <c r="W1816" s="35"/>
      <c r="X1816" s="35"/>
      <c r="Y1816" s="35"/>
      <c r="Z1816" s="35"/>
      <c r="AA1816" s="35"/>
      <c r="AB1816" s="35"/>
      <c r="AC1816" s="35"/>
      <c r="AD1816" s="35"/>
      <c r="AE1816" s="35"/>
      <c r="AF1816" s="35"/>
      <c r="AG1816" s="35"/>
      <c r="AH1816" s="35"/>
      <c r="AI1816" s="35"/>
      <c r="AJ1816" s="35"/>
      <c r="AK1816" s="35"/>
      <c r="AL1816" s="35"/>
      <c r="AM1816" s="35"/>
      <c r="AN1816" s="35"/>
      <c r="AO1816" s="35"/>
      <c r="AP1816" s="35"/>
      <c r="AQ1816" s="35"/>
      <c r="AR1816" s="35"/>
      <c r="AS1816" s="35"/>
      <c r="AT1816" s="35"/>
      <c r="AU1816" s="35"/>
      <c r="AV1816" s="35"/>
      <c r="AW1816" s="35"/>
      <c r="AX1816" s="35"/>
      <c r="AY1816" s="35"/>
      <c r="AZ1816" s="35"/>
      <c r="BA1816" s="35"/>
      <c r="BB1816" s="35"/>
      <c r="BC1816" s="35"/>
      <c r="BD1816" s="35"/>
      <c r="BE1816" s="35"/>
      <c r="BF1816" s="35"/>
      <c r="BG1816" s="35"/>
    </row>
    <row r="1817" ht="15.75" customHeight="1">
      <c r="A1817" s="35"/>
      <c r="B1817" s="35"/>
      <c r="C1817" s="35"/>
      <c r="D1817" s="35"/>
      <c r="E1817" s="35"/>
      <c r="F1817" s="35"/>
      <c r="G1817" s="35"/>
      <c r="H1817" s="35"/>
      <c r="I1817" s="35"/>
      <c r="J1817" s="35"/>
      <c r="K1817" s="35"/>
      <c r="L1817" s="35"/>
      <c r="M1817" s="35"/>
      <c r="N1817" s="35"/>
      <c r="O1817" s="35"/>
      <c r="P1817" s="35"/>
      <c r="Q1817" s="35"/>
      <c r="R1817" s="35"/>
      <c r="S1817" s="35"/>
      <c r="T1817" s="35"/>
      <c r="U1817" s="35"/>
      <c r="V1817" s="35"/>
      <c r="W1817" s="35"/>
      <c r="X1817" s="35"/>
      <c r="Y1817" s="35"/>
      <c r="Z1817" s="35"/>
      <c r="AA1817" s="35"/>
      <c r="AB1817" s="35"/>
      <c r="AC1817" s="35"/>
      <c r="AD1817" s="35"/>
      <c r="AE1817" s="35"/>
      <c r="AF1817" s="35"/>
      <c r="AG1817" s="35"/>
      <c r="AH1817" s="35"/>
      <c r="AI1817" s="35"/>
      <c r="AJ1817" s="35"/>
      <c r="AK1817" s="35"/>
      <c r="AL1817" s="35"/>
      <c r="AM1817" s="35"/>
      <c r="AN1817" s="35"/>
      <c r="AO1817" s="35"/>
      <c r="AP1817" s="35"/>
      <c r="AQ1817" s="35"/>
      <c r="AR1817" s="35"/>
      <c r="AS1817" s="35"/>
      <c r="AT1817" s="35"/>
      <c r="AU1817" s="35"/>
      <c r="AV1817" s="35"/>
      <c r="AW1817" s="35"/>
      <c r="AX1817" s="35"/>
      <c r="AY1817" s="35"/>
      <c r="AZ1817" s="35"/>
      <c r="BA1817" s="35"/>
      <c r="BB1817" s="35"/>
      <c r="BC1817" s="35"/>
      <c r="BD1817" s="35"/>
      <c r="BE1817" s="35"/>
      <c r="BF1817" s="35"/>
      <c r="BG1817" s="35"/>
    </row>
    <row r="1818" ht="15.75" customHeight="1">
      <c r="A1818" s="35"/>
      <c r="B1818" s="35"/>
      <c r="C1818" s="35"/>
      <c r="D1818" s="35"/>
      <c r="E1818" s="35"/>
      <c r="F1818" s="35"/>
      <c r="G1818" s="35"/>
      <c r="H1818" s="35"/>
      <c r="I1818" s="35"/>
      <c r="J1818" s="35"/>
      <c r="K1818" s="35"/>
      <c r="L1818" s="35"/>
      <c r="M1818" s="35"/>
      <c r="N1818" s="35"/>
      <c r="O1818" s="35"/>
      <c r="P1818" s="35"/>
      <c r="Q1818" s="35"/>
      <c r="R1818" s="35"/>
      <c r="S1818" s="35"/>
      <c r="T1818" s="35"/>
      <c r="U1818" s="35"/>
      <c r="V1818" s="35"/>
      <c r="W1818" s="35"/>
      <c r="X1818" s="35"/>
      <c r="Y1818" s="35"/>
      <c r="Z1818" s="35"/>
      <c r="AA1818" s="35"/>
      <c r="AB1818" s="35"/>
      <c r="AC1818" s="35"/>
      <c r="AD1818" s="35"/>
      <c r="AE1818" s="35"/>
      <c r="AF1818" s="35"/>
      <c r="AG1818" s="35"/>
      <c r="AH1818" s="35"/>
      <c r="AI1818" s="35"/>
      <c r="AJ1818" s="35"/>
      <c r="AK1818" s="35"/>
      <c r="AL1818" s="35"/>
      <c r="AM1818" s="35"/>
      <c r="AN1818" s="35"/>
      <c r="AO1818" s="35"/>
      <c r="AP1818" s="35"/>
      <c r="AQ1818" s="35"/>
      <c r="AR1818" s="35"/>
      <c r="AS1818" s="35"/>
      <c r="AT1818" s="35"/>
      <c r="AU1818" s="35"/>
      <c r="AV1818" s="35"/>
      <c r="AW1818" s="35"/>
      <c r="AX1818" s="35"/>
      <c r="AY1818" s="35"/>
      <c r="AZ1818" s="35"/>
      <c r="BA1818" s="35"/>
      <c r="BB1818" s="35"/>
      <c r="BC1818" s="35"/>
      <c r="BD1818" s="35"/>
      <c r="BE1818" s="35"/>
      <c r="BF1818" s="35"/>
      <c r="BG1818" s="35"/>
    </row>
    <row r="1819" ht="15.75" customHeight="1">
      <c r="A1819" s="35"/>
      <c r="B1819" s="35"/>
      <c r="C1819" s="35"/>
      <c r="D1819" s="35"/>
      <c r="E1819" s="35"/>
      <c r="F1819" s="35"/>
      <c r="G1819" s="35"/>
      <c r="H1819" s="35"/>
      <c r="I1819" s="35"/>
      <c r="J1819" s="35"/>
      <c r="K1819" s="35"/>
      <c r="L1819" s="35"/>
      <c r="M1819" s="35"/>
      <c r="N1819" s="35"/>
      <c r="O1819" s="35"/>
      <c r="P1819" s="35"/>
      <c r="Q1819" s="35"/>
      <c r="R1819" s="35"/>
      <c r="S1819" s="35"/>
      <c r="T1819" s="35"/>
      <c r="U1819" s="35"/>
      <c r="V1819" s="35"/>
      <c r="W1819" s="35"/>
      <c r="X1819" s="35"/>
      <c r="Y1819" s="35"/>
      <c r="Z1819" s="35"/>
      <c r="AA1819" s="35"/>
      <c r="AB1819" s="35"/>
      <c r="AC1819" s="35"/>
      <c r="AD1819" s="35"/>
      <c r="AE1819" s="35"/>
      <c r="AF1819" s="35"/>
      <c r="AG1819" s="35"/>
      <c r="AH1819" s="35"/>
      <c r="AI1819" s="35"/>
      <c r="AJ1819" s="35"/>
      <c r="AK1819" s="35"/>
      <c r="AL1819" s="35"/>
      <c r="AM1819" s="35"/>
      <c r="AN1819" s="35"/>
      <c r="AO1819" s="35"/>
      <c r="AP1819" s="35"/>
      <c r="AQ1819" s="35"/>
      <c r="AR1819" s="35"/>
      <c r="AS1819" s="35"/>
      <c r="AT1819" s="35"/>
      <c r="AU1819" s="35"/>
      <c r="AV1819" s="35"/>
      <c r="AW1819" s="35"/>
      <c r="AX1819" s="35"/>
      <c r="AY1819" s="35"/>
      <c r="AZ1819" s="35"/>
      <c r="BA1819" s="35"/>
      <c r="BB1819" s="35"/>
      <c r="BC1819" s="35"/>
      <c r="BD1819" s="35"/>
      <c r="BE1819" s="35"/>
      <c r="BF1819" s="35"/>
      <c r="BG1819" s="35"/>
    </row>
    <row r="1820" ht="15.75" customHeight="1">
      <c r="A1820" s="35"/>
      <c r="B1820" s="35"/>
      <c r="C1820" s="35"/>
      <c r="D1820" s="35"/>
      <c r="E1820" s="35"/>
      <c r="F1820" s="35"/>
      <c r="G1820" s="35"/>
      <c r="H1820" s="35"/>
      <c r="I1820" s="35"/>
      <c r="J1820" s="35"/>
      <c r="K1820" s="35"/>
      <c r="L1820" s="35"/>
      <c r="M1820" s="35"/>
      <c r="N1820" s="35"/>
      <c r="O1820" s="35"/>
      <c r="P1820" s="35"/>
      <c r="Q1820" s="35"/>
      <c r="R1820" s="35"/>
      <c r="S1820" s="35"/>
      <c r="T1820" s="35"/>
      <c r="U1820" s="35"/>
      <c r="V1820" s="35"/>
      <c r="W1820" s="35"/>
      <c r="X1820" s="35"/>
      <c r="Y1820" s="35"/>
      <c r="Z1820" s="35"/>
      <c r="AA1820" s="35"/>
      <c r="AB1820" s="35"/>
      <c r="AC1820" s="35"/>
      <c r="AD1820" s="35"/>
      <c r="AE1820" s="35"/>
      <c r="AF1820" s="35"/>
      <c r="AG1820" s="35"/>
      <c r="AH1820" s="35"/>
      <c r="AI1820" s="35"/>
      <c r="AJ1820" s="35"/>
      <c r="AK1820" s="35"/>
      <c r="AL1820" s="35"/>
      <c r="AM1820" s="35"/>
      <c r="AN1820" s="35"/>
      <c r="AO1820" s="35"/>
      <c r="AP1820" s="35"/>
      <c r="AQ1820" s="35"/>
      <c r="AR1820" s="35"/>
      <c r="AS1820" s="35"/>
      <c r="AT1820" s="35"/>
      <c r="AU1820" s="35"/>
      <c r="AV1820" s="35"/>
      <c r="AW1820" s="35"/>
      <c r="AX1820" s="35"/>
      <c r="AY1820" s="35"/>
      <c r="AZ1820" s="35"/>
      <c r="BA1820" s="35"/>
      <c r="BB1820" s="35"/>
      <c r="BC1820" s="35"/>
      <c r="BD1820" s="35"/>
      <c r="BE1820" s="35"/>
      <c r="BF1820" s="35"/>
      <c r="BG1820" s="35"/>
    </row>
    <row r="1821" ht="15.75" customHeight="1">
      <c r="A1821" s="35"/>
      <c r="B1821" s="35"/>
      <c r="C1821" s="35"/>
      <c r="D1821" s="35"/>
      <c r="E1821" s="35"/>
      <c r="F1821" s="35"/>
      <c r="G1821" s="35"/>
      <c r="H1821" s="35"/>
      <c r="I1821" s="35"/>
      <c r="J1821" s="35"/>
      <c r="K1821" s="35"/>
      <c r="L1821" s="35"/>
      <c r="M1821" s="35"/>
      <c r="N1821" s="35"/>
      <c r="O1821" s="35"/>
      <c r="P1821" s="35"/>
      <c r="Q1821" s="35"/>
      <c r="R1821" s="35"/>
      <c r="S1821" s="35"/>
      <c r="T1821" s="35"/>
      <c r="U1821" s="35"/>
      <c r="V1821" s="35"/>
      <c r="W1821" s="35"/>
      <c r="X1821" s="35"/>
      <c r="Y1821" s="35"/>
      <c r="Z1821" s="35"/>
      <c r="AA1821" s="35"/>
      <c r="AB1821" s="35"/>
      <c r="AC1821" s="35"/>
      <c r="AD1821" s="35"/>
      <c r="AE1821" s="35"/>
      <c r="AF1821" s="35"/>
      <c r="AG1821" s="35"/>
      <c r="AH1821" s="35"/>
      <c r="AI1821" s="35"/>
      <c r="AJ1821" s="35"/>
      <c r="AK1821" s="35"/>
      <c r="AL1821" s="35"/>
      <c r="AM1821" s="35"/>
      <c r="AN1821" s="35"/>
      <c r="AO1821" s="35"/>
      <c r="AP1821" s="35"/>
      <c r="AQ1821" s="35"/>
      <c r="AR1821" s="35"/>
      <c r="AS1821" s="35"/>
      <c r="AT1821" s="35"/>
      <c r="AU1821" s="35"/>
      <c r="AV1821" s="35"/>
      <c r="AW1821" s="35"/>
      <c r="AX1821" s="35"/>
      <c r="AY1821" s="35"/>
      <c r="AZ1821" s="35"/>
      <c r="BA1821" s="35"/>
      <c r="BB1821" s="35"/>
      <c r="BC1821" s="35"/>
      <c r="BD1821" s="35"/>
      <c r="BE1821" s="35"/>
      <c r="BF1821" s="35"/>
      <c r="BG1821" s="35"/>
    </row>
    <row r="1822" ht="15.75" customHeight="1">
      <c r="A1822" s="35"/>
      <c r="B1822" s="35"/>
      <c r="C1822" s="35"/>
      <c r="D1822" s="35"/>
      <c r="E1822" s="35"/>
      <c r="F1822" s="35"/>
      <c r="G1822" s="35"/>
      <c r="H1822" s="35"/>
      <c r="I1822" s="35"/>
      <c r="J1822" s="35"/>
      <c r="K1822" s="35"/>
      <c r="L1822" s="35"/>
      <c r="M1822" s="35"/>
      <c r="N1822" s="35"/>
      <c r="O1822" s="35"/>
      <c r="P1822" s="35"/>
      <c r="Q1822" s="35"/>
      <c r="R1822" s="35"/>
      <c r="S1822" s="35"/>
      <c r="T1822" s="35"/>
      <c r="U1822" s="35"/>
      <c r="V1822" s="35"/>
      <c r="W1822" s="35"/>
      <c r="X1822" s="35"/>
      <c r="Y1822" s="35"/>
      <c r="Z1822" s="35"/>
      <c r="AA1822" s="35"/>
      <c r="AB1822" s="35"/>
      <c r="AC1822" s="35"/>
      <c r="AD1822" s="35"/>
      <c r="AE1822" s="35"/>
      <c r="AF1822" s="35"/>
      <c r="AG1822" s="35"/>
      <c r="AH1822" s="35"/>
      <c r="AI1822" s="35"/>
      <c r="AJ1822" s="35"/>
      <c r="AK1822" s="35"/>
      <c r="AL1822" s="35"/>
      <c r="AM1822" s="35"/>
      <c r="AN1822" s="35"/>
      <c r="AO1822" s="35"/>
      <c r="AP1822" s="35"/>
      <c r="AQ1822" s="35"/>
      <c r="AR1822" s="35"/>
      <c r="AS1822" s="35"/>
      <c r="AT1822" s="35"/>
      <c r="AU1822" s="35"/>
      <c r="AV1822" s="35"/>
      <c r="AW1822" s="35"/>
      <c r="AX1822" s="35"/>
      <c r="AY1822" s="35"/>
      <c r="AZ1822" s="35"/>
      <c r="BA1822" s="35"/>
      <c r="BB1822" s="35"/>
      <c r="BC1822" s="35"/>
      <c r="BD1822" s="35"/>
      <c r="BE1822" s="35"/>
      <c r="BF1822" s="35"/>
      <c r="BG1822" s="35"/>
    </row>
    <row r="1823" ht="15.75" customHeight="1">
      <c r="A1823" s="35"/>
      <c r="B1823" s="35"/>
      <c r="C1823" s="35"/>
      <c r="D1823" s="35"/>
      <c r="E1823" s="35"/>
      <c r="F1823" s="35"/>
      <c r="G1823" s="35"/>
      <c r="H1823" s="35"/>
      <c r="I1823" s="35"/>
      <c r="J1823" s="35"/>
      <c r="K1823" s="35"/>
      <c r="L1823" s="35"/>
      <c r="M1823" s="35"/>
      <c r="N1823" s="35"/>
      <c r="O1823" s="35"/>
      <c r="P1823" s="35"/>
      <c r="Q1823" s="35"/>
      <c r="R1823" s="35"/>
      <c r="S1823" s="35"/>
      <c r="T1823" s="35"/>
      <c r="U1823" s="35"/>
      <c r="V1823" s="35"/>
      <c r="W1823" s="35"/>
      <c r="X1823" s="35"/>
      <c r="Y1823" s="35"/>
      <c r="Z1823" s="35"/>
      <c r="AA1823" s="35"/>
      <c r="AB1823" s="35"/>
      <c r="AC1823" s="35"/>
      <c r="AD1823" s="35"/>
      <c r="AE1823" s="35"/>
      <c r="AF1823" s="35"/>
      <c r="AG1823" s="35"/>
      <c r="AH1823" s="35"/>
      <c r="AI1823" s="35"/>
      <c r="AJ1823" s="35"/>
      <c r="AK1823" s="35"/>
      <c r="AL1823" s="35"/>
      <c r="AM1823" s="35"/>
      <c r="AN1823" s="35"/>
      <c r="AO1823" s="35"/>
      <c r="AP1823" s="35"/>
      <c r="AQ1823" s="35"/>
      <c r="AR1823" s="35"/>
      <c r="AS1823" s="35"/>
      <c r="AT1823" s="35"/>
      <c r="AU1823" s="35"/>
      <c r="AV1823" s="35"/>
      <c r="AW1823" s="35"/>
      <c r="AX1823" s="35"/>
      <c r="AY1823" s="35"/>
      <c r="AZ1823" s="35"/>
      <c r="BA1823" s="35"/>
      <c r="BB1823" s="35"/>
      <c r="BC1823" s="35"/>
      <c r="BD1823" s="35"/>
      <c r="BE1823" s="35"/>
      <c r="BF1823" s="35"/>
      <c r="BG1823" s="35"/>
    </row>
    <row r="1824" ht="15.75" customHeight="1">
      <c r="A1824" s="35"/>
      <c r="B1824" s="35"/>
      <c r="C1824" s="35"/>
      <c r="D1824" s="35"/>
      <c r="E1824" s="35"/>
      <c r="F1824" s="35"/>
      <c r="G1824" s="35"/>
      <c r="H1824" s="35"/>
      <c r="I1824" s="35"/>
      <c r="J1824" s="35"/>
      <c r="K1824" s="35"/>
      <c r="L1824" s="35"/>
      <c r="M1824" s="35"/>
      <c r="N1824" s="35"/>
      <c r="O1824" s="35"/>
      <c r="P1824" s="35"/>
      <c r="Q1824" s="35"/>
      <c r="R1824" s="35"/>
      <c r="S1824" s="35"/>
      <c r="T1824" s="35"/>
      <c r="U1824" s="35"/>
      <c r="V1824" s="35"/>
      <c r="W1824" s="35"/>
      <c r="X1824" s="35"/>
      <c r="Y1824" s="35"/>
      <c r="Z1824" s="35"/>
      <c r="AA1824" s="35"/>
      <c r="AB1824" s="35"/>
      <c r="AC1824" s="35"/>
      <c r="AD1824" s="35"/>
      <c r="AE1824" s="35"/>
      <c r="AF1824" s="35"/>
      <c r="AG1824" s="35"/>
      <c r="AH1824" s="35"/>
      <c r="AI1824" s="35"/>
      <c r="AJ1824" s="35"/>
      <c r="AK1824" s="35"/>
      <c r="AL1824" s="35"/>
      <c r="AM1824" s="35"/>
      <c r="AN1824" s="35"/>
      <c r="AO1824" s="35"/>
      <c r="AP1824" s="35"/>
      <c r="AQ1824" s="35"/>
      <c r="AR1824" s="35"/>
      <c r="AS1824" s="35"/>
      <c r="AT1824" s="35"/>
      <c r="AU1824" s="35"/>
      <c r="AV1824" s="35"/>
      <c r="AW1824" s="35"/>
      <c r="AX1824" s="35"/>
      <c r="AY1824" s="35"/>
      <c r="AZ1824" s="35"/>
      <c r="BA1824" s="35"/>
      <c r="BB1824" s="35"/>
      <c r="BC1824" s="35"/>
      <c r="BD1824" s="35"/>
      <c r="BE1824" s="35"/>
      <c r="BF1824" s="35"/>
      <c r="BG1824" s="35"/>
    </row>
    <row r="1825" ht="15.75" customHeight="1">
      <c r="A1825" s="35"/>
      <c r="B1825" s="35"/>
      <c r="C1825" s="35"/>
      <c r="D1825" s="35"/>
      <c r="E1825" s="35"/>
      <c r="F1825" s="35"/>
      <c r="G1825" s="35"/>
      <c r="H1825" s="35"/>
      <c r="I1825" s="35"/>
      <c r="J1825" s="35"/>
      <c r="K1825" s="35"/>
      <c r="L1825" s="35"/>
      <c r="M1825" s="35"/>
      <c r="N1825" s="35"/>
      <c r="O1825" s="35"/>
      <c r="P1825" s="35"/>
      <c r="Q1825" s="35"/>
      <c r="R1825" s="35"/>
      <c r="S1825" s="35"/>
      <c r="T1825" s="35"/>
      <c r="U1825" s="35"/>
      <c r="V1825" s="35"/>
      <c r="W1825" s="35"/>
      <c r="X1825" s="35"/>
      <c r="Y1825" s="35"/>
      <c r="Z1825" s="35"/>
      <c r="AA1825" s="35"/>
      <c r="AB1825" s="35"/>
      <c r="AC1825" s="35"/>
      <c r="AD1825" s="35"/>
      <c r="AE1825" s="35"/>
      <c r="AF1825" s="35"/>
      <c r="AG1825" s="35"/>
      <c r="AH1825" s="35"/>
      <c r="AI1825" s="35"/>
      <c r="AJ1825" s="35"/>
      <c r="AK1825" s="35"/>
      <c r="AL1825" s="35"/>
      <c r="AM1825" s="35"/>
      <c r="AN1825" s="35"/>
      <c r="AO1825" s="35"/>
      <c r="AP1825" s="35"/>
      <c r="AQ1825" s="35"/>
      <c r="AR1825" s="35"/>
      <c r="AS1825" s="35"/>
      <c r="AT1825" s="35"/>
      <c r="AU1825" s="35"/>
      <c r="AV1825" s="35"/>
      <c r="AW1825" s="35"/>
      <c r="AX1825" s="35"/>
      <c r="AY1825" s="35"/>
      <c r="AZ1825" s="35"/>
      <c r="BA1825" s="35"/>
      <c r="BB1825" s="35"/>
      <c r="BC1825" s="35"/>
      <c r="BD1825" s="35"/>
      <c r="BE1825" s="35"/>
      <c r="BF1825" s="35"/>
      <c r="BG1825" s="35"/>
    </row>
    <row r="1826" ht="15.75" customHeight="1">
      <c r="A1826" s="35"/>
      <c r="B1826" s="35"/>
      <c r="C1826" s="35"/>
      <c r="D1826" s="35"/>
      <c r="E1826" s="35"/>
      <c r="F1826" s="35"/>
      <c r="G1826" s="35"/>
      <c r="H1826" s="35"/>
      <c r="I1826" s="35"/>
      <c r="J1826" s="35"/>
      <c r="K1826" s="35"/>
      <c r="L1826" s="35"/>
      <c r="M1826" s="35"/>
      <c r="N1826" s="35"/>
      <c r="O1826" s="35"/>
      <c r="P1826" s="35"/>
      <c r="Q1826" s="35"/>
      <c r="R1826" s="35"/>
      <c r="S1826" s="35"/>
      <c r="T1826" s="35"/>
      <c r="U1826" s="35"/>
      <c r="V1826" s="35"/>
      <c r="W1826" s="35"/>
      <c r="X1826" s="35"/>
      <c r="Y1826" s="35"/>
      <c r="Z1826" s="35"/>
      <c r="AA1826" s="35"/>
      <c r="AB1826" s="35"/>
      <c r="AC1826" s="35"/>
      <c r="AD1826" s="35"/>
      <c r="AE1826" s="35"/>
      <c r="AF1826" s="35"/>
      <c r="AG1826" s="35"/>
      <c r="AH1826" s="35"/>
      <c r="AI1826" s="35"/>
      <c r="AJ1826" s="35"/>
      <c r="AK1826" s="35"/>
      <c r="AL1826" s="35"/>
      <c r="AM1826" s="35"/>
      <c r="AN1826" s="35"/>
      <c r="AO1826" s="35"/>
      <c r="AP1826" s="35"/>
      <c r="AQ1826" s="35"/>
      <c r="AR1826" s="35"/>
      <c r="AS1826" s="35"/>
      <c r="AT1826" s="35"/>
      <c r="AU1826" s="35"/>
      <c r="AV1826" s="35"/>
      <c r="AW1826" s="35"/>
      <c r="AX1826" s="35"/>
      <c r="AY1826" s="35"/>
      <c r="AZ1826" s="35"/>
      <c r="BA1826" s="35"/>
      <c r="BB1826" s="35"/>
      <c r="BC1826" s="35"/>
      <c r="BD1826" s="35"/>
      <c r="BE1826" s="35"/>
      <c r="BF1826" s="35"/>
      <c r="BG1826" s="35"/>
    </row>
    <row r="1827" ht="15.75" customHeight="1">
      <c r="A1827" s="35"/>
      <c r="B1827" s="35"/>
      <c r="C1827" s="35"/>
      <c r="D1827" s="35"/>
      <c r="E1827" s="35"/>
      <c r="F1827" s="35"/>
      <c r="G1827" s="35"/>
      <c r="H1827" s="35"/>
      <c r="I1827" s="35"/>
      <c r="J1827" s="35"/>
      <c r="K1827" s="35"/>
      <c r="L1827" s="35"/>
      <c r="M1827" s="35"/>
      <c r="N1827" s="35"/>
      <c r="O1827" s="35"/>
      <c r="P1827" s="35"/>
      <c r="Q1827" s="35"/>
      <c r="R1827" s="35"/>
      <c r="S1827" s="35"/>
      <c r="T1827" s="35"/>
      <c r="U1827" s="35"/>
      <c r="V1827" s="35"/>
      <c r="W1827" s="35"/>
      <c r="X1827" s="35"/>
      <c r="Y1827" s="35"/>
      <c r="Z1827" s="35"/>
      <c r="AA1827" s="35"/>
      <c r="AB1827" s="35"/>
      <c r="AC1827" s="35"/>
      <c r="AD1827" s="35"/>
      <c r="AE1827" s="35"/>
      <c r="AF1827" s="35"/>
      <c r="AG1827" s="35"/>
      <c r="AH1827" s="35"/>
      <c r="AI1827" s="35"/>
      <c r="AJ1827" s="35"/>
      <c r="AK1827" s="35"/>
      <c r="AL1827" s="35"/>
      <c r="AM1827" s="35"/>
      <c r="AN1827" s="35"/>
      <c r="AO1827" s="35"/>
      <c r="AP1827" s="35"/>
      <c r="AQ1827" s="35"/>
      <c r="AR1827" s="35"/>
      <c r="AS1827" s="35"/>
      <c r="AT1827" s="35"/>
      <c r="AU1827" s="35"/>
      <c r="AV1827" s="35"/>
      <c r="AW1827" s="35"/>
      <c r="AX1827" s="35"/>
      <c r="AY1827" s="35"/>
      <c r="AZ1827" s="35"/>
      <c r="BA1827" s="35"/>
      <c r="BB1827" s="35"/>
      <c r="BC1827" s="35"/>
      <c r="BD1827" s="35"/>
      <c r="BE1827" s="35"/>
      <c r="BF1827" s="35"/>
      <c r="BG1827" s="35"/>
    </row>
    <row r="1828" ht="15.75" customHeight="1">
      <c r="A1828" s="35"/>
      <c r="B1828" s="35"/>
      <c r="C1828" s="35"/>
      <c r="D1828" s="35"/>
      <c r="E1828" s="35"/>
      <c r="F1828" s="35"/>
      <c r="G1828" s="35"/>
      <c r="H1828" s="35"/>
      <c r="I1828" s="35"/>
      <c r="J1828" s="35"/>
      <c r="K1828" s="35"/>
      <c r="L1828" s="35"/>
      <c r="M1828" s="35"/>
      <c r="N1828" s="35"/>
      <c r="O1828" s="35"/>
      <c r="P1828" s="35"/>
      <c r="Q1828" s="35"/>
      <c r="R1828" s="35"/>
      <c r="S1828" s="35"/>
      <c r="T1828" s="35"/>
      <c r="U1828" s="35"/>
      <c r="V1828" s="35"/>
      <c r="W1828" s="35"/>
      <c r="X1828" s="35"/>
      <c r="Y1828" s="35"/>
      <c r="Z1828" s="35"/>
      <c r="AA1828" s="35"/>
      <c r="AB1828" s="35"/>
      <c r="AC1828" s="35"/>
      <c r="AD1828" s="35"/>
      <c r="AE1828" s="35"/>
      <c r="AF1828" s="35"/>
      <c r="AG1828" s="35"/>
      <c r="AH1828" s="35"/>
      <c r="AI1828" s="35"/>
      <c r="AJ1828" s="35"/>
      <c r="AK1828" s="35"/>
      <c r="AL1828" s="35"/>
      <c r="AM1828" s="35"/>
      <c r="AN1828" s="35"/>
      <c r="AO1828" s="35"/>
      <c r="AP1828" s="35"/>
      <c r="AQ1828" s="35"/>
      <c r="AR1828" s="35"/>
      <c r="AS1828" s="35"/>
      <c r="AT1828" s="35"/>
      <c r="AU1828" s="35"/>
      <c r="AV1828" s="35"/>
      <c r="AW1828" s="35"/>
      <c r="AX1828" s="35"/>
      <c r="AY1828" s="35"/>
      <c r="AZ1828" s="35"/>
      <c r="BA1828" s="35"/>
      <c r="BB1828" s="35"/>
      <c r="BC1828" s="35"/>
      <c r="BD1828" s="35"/>
      <c r="BE1828" s="35"/>
      <c r="BF1828" s="35"/>
      <c r="BG1828" s="35"/>
    </row>
    <row r="1829" ht="15.75" customHeight="1">
      <c r="A1829" s="35"/>
      <c r="B1829" s="35"/>
      <c r="C1829" s="35"/>
      <c r="D1829" s="35"/>
      <c r="E1829" s="35"/>
      <c r="F1829" s="35"/>
      <c r="G1829" s="35"/>
      <c r="H1829" s="35"/>
      <c r="I1829" s="35"/>
      <c r="J1829" s="35"/>
      <c r="K1829" s="35"/>
      <c r="L1829" s="35"/>
      <c r="M1829" s="35"/>
      <c r="N1829" s="35"/>
      <c r="O1829" s="35"/>
      <c r="P1829" s="35"/>
      <c r="Q1829" s="35"/>
      <c r="R1829" s="35"/>
      <c r="S1829" s="35"/>
      <c r="T1829" s="35"/>
      <c r="U1829" s="35"/>
      <c r="V1829" s="35"/>
      <c r="W1829" s="35"/>
      <c r="X1829" s="35"/>
      <c r="Y1829" s="35"/>
      <c r="Z1829" s="35"/>
      <c r="AA1829" s="35"/>
      <c r="AB1829" s="35"/>
      <c r="AC1829" s="35"/>
      <c r="AD1829" s="35"/>
      <c r="AE1829" s="35"/>
      <c r="AF1829" s="35"/>
      <c r="AG1829" s="35"/>
      <c r="AH1829" s="35"/>
      <c r="AI1829" s="35"/>
      <c r="AJ1829" s="35"/>
      <c r="AK1829" s="35"/>
      <c r="AL1829" s="35"/>
      <c r="AM1829" s="35"/>
      <c r="AN1829" s="35"/>
      <c r="AO1829" s="35"/>
      <c r="AP1829" s="35"/>
      <c r="AQ1829" s="35"/>
      <c r="AR1829" s="35"/>
      <c r="AS1829" s="35"/>
      <c r="AT1829" s="35"/>
      <c r="AU1829" s="35"/>
      <c r="AV1829" s="35"/>
      <c r="AW1829" s="35"/>
      <c r="AX1829" s="35"/>
      <c r="AY1829" s="35"/>
      <c r="AZ1829" s="35"/>
      <c r="BA1829" s="35"/>
      <c r="BB1829" s="35"/>
      <c r="BC1829" s="35"/>
      <c r="BD1829" s="35"/>
      <c r="BE1829" s="35"/>
      <c r="BF1829" s="35"/>
      <c r="BG1829" s="35"/>
    </row>
    <row r="1830" ht="15.75" customHeight="1">
      <c r="A1830" s="35"/>
      <c r="B1830" s="35"/>
      <c r="C1830" s="35"/>
      <c r="D1830" s="35"/>
      <c r="E1830" s="35"/>
      <c r="F1830" s="35"/>
      <c r="G1830" s="35"/>
      <c r="H1830" s="35"/>
      <c r="I1830" s="35"/>
      <c r="J1830" s="35"/>
      <c r="K1830" s="35"/>
      <c r="L1830" s="35"/>
      <c r="M1830" s="35"/>
      <c r="N1830" s="35"/>
      <c r="O1830" s="35"/>
      <c r="P1830" s="35"/>
      <c r="Q1830" s="35"/>
      <c r="R1830" s="35"/>
      <c r="S1830" s="35"/>
      <c r="T1830" s="35"/>
      <c r="U1830" s="35"/>
      <c r="V1830" s="35"/>
      <c r="W1830" s="35"/>
      <c r="X1830" s="35"/>
      <c r="Y1830" s="35"/>
      <c r="Z1830" s="35"/>
      <c r="AA1830" s="35"/>
      <c r="AB1830" s="35"/>
      <c r="AC1830" s="35"/>
      <c r="AD1830" s="35"/>
      <c r="AE1830" s="35"/>
      <c r="AF1830" s="35"/>
      <c r="AG1830" s="35"/>
      <c r="AH1830" s="35"/>
      <c r="AI1830" s="35"/>
      <c r="AJ1830" s="35"/>
      <c r="AK1830" s="35"/>
      <c r="AL1830" s="35"/>
      <c r="AM1830" s="35"/>
      <c r="AN1830" s="35"/>
      <c r="AO1830" s="35"/>
      <c r="AP1830" s="35"/>
      <c r="AQ1830" s="35"/>
      <c r="AR1830" s="35"/>
      <c r="AS1830" s="35"/>
      <c r="AT1830" s="35"/>
      <c r="AU1830" s="35"/>
      <c r="AV1830" s="35"/>
      <c r="AW1830" s="35"/>
      <c r="AX1830" s="35"/>
      <c r="AY1830" s="35"/>
      <c r="AZ1830" s="35"/>
      <c r="BA1830" s="35"/>
      <c r="BB1830" s="35"/>
      <c r="BC1830" s="35"/>
      <c r="BD1830" s="35"/>
      <c r="BE1830" s="35"/>
      <c r="BF1830" s="35"/>
      <c r="BG1830" s="35"/>
    </row>
    <row r="1831" ht="15.75" customHeight="1">
      <c r="A1831" s="35"/>
      <c r="B1831" s="35"/>
      <c r="C1831" s="35"/>
      <c r="D1831" s="35"/>
      <c r="E1831" s="35"/>
      <c r="F1831" s="35"/>
      <c r="G1831" s="35"/>
      <c r="H1831" s="35"/>
      <c r="I1831" s="35"/>
      <c r="J1831" s="35"/>
      <c r="K1831" s="35"/>
      <c r="L1831" s="35"/>
      <c r="M1831" s="35"/>
      <c r="N1831" s="35"/>
      <c r="O1831" s="35"/>
      <c r="P1831" s="35"/>
      <c r="Q1831" s="35"/>
      <c r="R1831" s="35"/>
      <c r="S1831" s="35"/>
      <c r="T1831" s="35"/>
      <c r="U1831" s="35"/>
      <c r="V1831" s="35"/>
      <c r="W1831" s="35"/>
      <c r="X1831" s="35"/>
      <c r="Y1831" s="35"/>
      <c r="Z1831" s="35"/>
      <c r="AA1831" s="35"/>
      <c r="AB1831" s="35"/>
      <c r="AC1831" s="35"/>
      <c r="AD1831" s="35"/>
      <c r="AE1831" s="35"/>
      <c r="AF1831" s="35"/>
      <c r="AG1831" s="35"/>
      <c r="AH1831" s="35"/>
      <c r="AI1831" s="35"/>
      <c r="AJ1831" s="35"/>
      <c r="AK1831" s="35"/>
      <c r="AL1831" s="35"/>
      <c r="AM1831" s="35"/>
      <c r="AN1831" s="35"/>
      <c r="AO1831" s="35"/>
      <c r="AP1831" s="35"/>
      <c r="AQ1831" s="35"/>
      <c r="AR1831" s="35"/>
      <c r="AS1831" s="35"/>
      <c r="AT1831" s="35"/>
      <c r="AU1831" s="35"/>
      <c r="AV1831" s="35"/>
      <c r="AW1831" s="35"/>
      <c r="AX1831" s="35"/>
      <c r="AY1831" s="35"/>
      <c r="AZ1831" s="35"/>
      <c r="BA1831" s="35"/>
      <c r="BB1831" s="35"/>
      <c r="BC1831" s="35"/>
      <c r="BD1831" s="35"/>
      <c r="BE1831" s="35"/>
      <c r="BF1831" s="35"/>
      <c r="BG1831" s="35"/>
    </row>
    <row r="1832" ht="15.75" customHeight="1">
      <c r="A1832" s="35"/>
      <c r="B1832" s="35"/>
      <c r="C1832" s="35"/>
      <c r="D1832" s="35"/>
      <c r="E1832" s="35"/>
      <c r="F1832" s="35"/>
      <c r="G1832" s="35"/>
      <c r="H1832" s="35"/>
      <c r="I1832" s="35"/>
      <c r="J1832" s="35"/>
      <c r="K1832" s="35"/>
      <c r="L1832" s="35"/>
      <c r="M1832" s="35"/>
      <c r="N1832" s="35"/>
      <c r="O1832" s="35"/>
      <c r="P1832" s="35"/>
      <c r="Q1832" s="35"/>
      <c r="R1832" s="35"/>
      <c r="S1832" s="35"/>
      <c r="T1832" s="35"/>
      <c r="U1832" s="35"/>
      <c r="V1832" s="35"/>
      <c r="W1832" s="35"/>
      <c r="X1832" s="35"/>
      <c r="Y1832" s="35"/>
      <c r="Z1832" s="35"/>
      <c r="AA1832" s="35"/>
      <c r="AB1832" s="35"/>
      <c r="AC1832" s="35"/>
      <c r="AD1832" s="35"/>
      <c r="AE1832" s="35"/>
      <c r="AF1832" s="35"/>
      <c r="AG1832" s="35"/>
      <c r="AH1832" s="35"/>
      <c r="AI1832" s="35"/>
      <c r="AJ1832" s="35"/>
      <c r="AK1832" s="35"/>
      <c r="AL1832" s="35"/>
      <c r="AM1832" s="35"/>
      <c r="AN1832" s="35"/>
      <c r="AO1832" s="35"/>
      <c r="AP1832" s="35"/>
      <c r="AQ1832" s="35"/>
      <c r="AR1832" s="35"/>
      <c r="AS1832" s="35"/>
      <c r="AT1832" s="35"/>
      <c r="AU1832" s="35"/>
      <c r="AV1832" s="35"/>
      <c r="AW1832" s="35"/>
      <c r="AX1832" s="35"/>
      <c r="AY1832" s="35"/>
      <c r="AZ1832" s="35"/>
      <c r="BA1832" s="35"/>
      <c r="BB1832" s="35"/>
      <c r="BC1832" s="35"/>
      <c r="BD1832" s="35"/>
      <c r="BE1832" s="35"/>
      <c r="BF1832" s="35"/>
      <c r="BG1832" s="35"/>
    </row>
    <row r="1833" ht="15.75" customHeight="1">
      <c r="A1833" s="35"/>
      <c r="B1833" s="35"/>
      <c r="C1833" s="35"/>
      <c r="D1833" s="35"/>
      <c r="E1833" s="35"/>
      <c r="F1833" s="35"/>
      <c r="G1833" s="35"/>
      <c r="H1833" s="35"/>
      <c r="I1833" s="35"/>
      <c r="J1833" s="35"/>
      <c r="K1833" s="35"/>
      <c r="L1833" s="35"/>
      <c r="M1833" s="35"/>
      <c r="N1833" s="35"/>
      <c r="O1833" s="35"/>
      <c r="P1833" s="35"/>
      <c r="Q1833" s="35"/>
      <c r="R1833" s="35"/>
      <c r="S1833" s="35"/>
      <c r="T1833" s="35"/>
      <c r="U1833" s="35"/>
      <c r="V1833" s="35"/>
      <c r="W1833" s="35"/>
      <c r="X1833" s="35"/>
      <c r="Y1833" s="35"/>
      <c r="Z1833" s="35"/>
      <c r="AA1833" s="35"/>
      <c r="AB1833" s="35"/>
      <c r="AC1833" s="35"/>
      <c r="AD1833" s="35"/>
      <c r="AE1833" s="35"/>
      <c r="AF1833" s="35"/>
      <c r="AG1833" s="35"/>
      <c r="AH1833" s="35"/>
      <c r="AI1833" s="35"/>
      <c r="AJ1833" s="35"/>
      <c r="AK1833" s="35"/>
      <c r="AL1833" s="35"/>
      <c r="AM1833" s="35"/>
      <c r="AN1833" s="35"/>
      <c r="AO1833" s="35"/>
      <c r="AP1833" s="35"/>
      <c r="AQ1833" s="35"/>
      <c r="AR1833" s="35"/>
      <c r="AS1833" s="35"/>
      <c r="AT1833" s="35"/>
      <c r="AU1833" s="35"/>
      <c r="AV1833" s="35"/>
      <c r="AW1833" s="35"/>
      <c r="AX1833" s="35"/>
      <c r="AY1833" s="35"/>
      <c r="AZ1833" s="35"/>
      <c r="BA1833" s="35"/>
      <c r="BB1833" s="35"/>
      <c r="BC1833" s="35"/>
      <c r="BD1833" s="35"/>
      <c r="BE1833" s="35"/>
      <c r="BF1833" s="35"/>
      <c r="BG1833" s="35"/>
    </row>
    <row r="1834" ht="15.75" customHeight="1">
      <c r="A1834" s="35"/>
      <c r="B1834" s="35"/>
      <c r="C1834" s="35"/>
      <c r="D1834" s="35"/>
      <c r="E1834" s="35"/>
      <c r="F1834" s="35"/>
      <c r="G1834" s="35"/>
      <c r="H1834" s="35"/>
      <c r="I1834" s="35"/>
      <c r="J1834" s="35"/>
      <c r="K1834" s="35"/>
      <c r="L1834" s="35"/>
      <c r="M1834" s="35"/>
      <c r="N1834" s="35"/>
      <c r="O1834" s="35"/>
      <c r="P1834" s="35"/>
      <c r="Q1834" s="35"/>
      <c r="R1834" s="35"/>
      <c r="S1834" s="35"/>
      <c r="T1834" s="35"/>
      <c r="U1834" s="35"/>
      <c r="V1834" s="35"/>
      <c r="W1834" s="35"/>
      <c r="X1834" s="35"/>
      <c r="Y1834" s="35"/>
      <c r="Z1834" s="35"/>
      <c r="AA1834" s="35"/>
      <c r="AB1834" s="35"/>
      <c r="AC1834" s="35"/>
      <c r="AD1834" s="35"/>
      <c r="AE1834" s="35"/>
      <c r="AF1834" s="35"/>
      <c r="AG1834" s="35"/>
      <c r="AH1834" s="35"/>
      <c r="AI1834" s="35"/>
      <c r="AJ1834" s="35"/>
      <c r="AK1834" s="35"/>
      <c r="AL1834" s="35"/>
      <c r="AM1834" s="35"/>
      <c r="AN1834" s="35"/>
      <c r="AO1834" s="35"/>
      <c r="AP1834" s="35"/>
      <c r="AQ1834" s="35"/>
      <c r="AR1834" s="35"/>
      <c r="AS1834" s="35"/>
      <c r="AT1834" s="35"/>
      <c r="AU1834" s="35"/>
      <c r="AV1834" s="35"/>
      <c r="AW1834" s="35"/>
      <c r="AX1834" s="35"/>
      <c r="AY1834" s="35"/>
      <c r="AZ1834" s="35"/>
      <c r="BA1834" s="35"/>
      <c r="BB1834" s="35"/>
      <c r="BC1834" s="35"/>
      <c r="BD1834" s="35"/>
      <c r="BE1834" s="35"/>
      <c r="BF1834" s="35"/>
      <c r="BG1834" s="35"/>
    </row>
    <row r="1835" ht="15.75" customHeight="1">
      <c r="A1835" s="35"/>
      <c r="B1835" s="35"/>
      <c r="C1835" s="35"/>
      <c r="D1835" s="35"/>
      <c r="E1835" s="35"/>
      <c r="F1835" s="35"/>
      <c r="G1835" s="35"/>
      <c r="H1835" s="35"/>
      <c r="I1835" s="35"/>
      <c r="J1835" s="35"/>
      <c r="K1835" s="35"/>
      <c r="L1835" s="35"/>
      <c r="M1835" s="35"/>
      <c r="N1835" s="35"/>
      <c r="O1835" s="35"/>
      <c r="P1835" s="35"/>
      <c r="Q1835" s="35"/>
      <c r="R1835" s="35"/>
      <c r="S1835" s="35"/>
      <c r="T1835" s="35"/>
      <c r="U1835" s="35"/>
      <c r="V1835" s="35"/>
      <c r="W1835" s="35"/>
      <c r="X1835" s="35"/>
      <c r="Y1835" s="35"/>
      <c r="Z1835" s="35"/>
      <c r="AA1835" s="35"/>
      <c r="AB1835" s="35"/>
      <c r="AC1835" s="35"/>
      <c r="AD1835" s="35"/>
      <c r="AE1835" s="35"/>
      <c r="AF1835" s="35"/>
      <c r="AG1835" s="35"/>
      <c r="AH1835" s="35"/>
      <c r="AI1835" s="35"/>
      <c r="AJ1835" s="35"/>
      <c r="AK1835" s="35"/>
      <c r="AL1835" s="35"/>
      <c r="AM1835" s="35"/>
      <c r="AN1835" s="35"/>
      <c r="AO1835" s="35"/>
      <c r="AP1835" s="35"/>
      <c r="AQ1835" s="35"/>
      <c r="AR1835" s="35"/>
      <c r="AS1835" s="35"/>
      <c r="AT1835" s="35"/>
      <c r="AU1835" s="35"/>
      <c r="AV1835" s="35"/>
      <c r="AW1835" s="35"/>
      <c r="AX1835" s="35"/>
      <c r="AY1835" s="35"/>
      <c r="AZ1835" s="35"/>
      <c r="BA1835" s="35"/>
      <c r="BB1835" s="35"/>
      <c r="BC1835" s="35"/>
      <c r="BD1835" s="35"/>
      <c r="BE1835" s="35"/>
      <c r="BF1835" s="35"/>
      <c r="BG1835" s="35"/>
    </row>
    <row r="1836" ht="15.75" customHeight="1">
      <c r="A1836" s="35"/>
      <c r="B1836" s="35"/>
      <c r="C1836" s="35"/>
      <c r="D1836" s="35"/>
      <c r="E1836" s="35"/>
      <c r="F1836" s="35"/>
      <c r="G1836" s="35"/>
      <c r="H1836" s="35"/>
      <c r="I1836" s="35"/>
      <c r="J1836" s="35"/>
      <c r="K1836" s="35"/>
      <c r="L1836" s="35"/>
      <c r="M1836" s="35"/>
      <c r="N1836" s="35"/>
      <c r="O1836" s="35"/>
      <c r="P1836" s="35"/>
      <c r="Q1836" s="35"/>
      <c r="R1836" s="35"/>
      <c r="S1836" s="35"/>
      <c r="T1836" s="35"/>
      <c r="U1836" s="35"/>
      <c r="V1836" s="35"/>
      <c r="W1836" s="35"/>
      <c r="X1836" s="35"/>
      <c r="Y1836" s="35"/>
      <c r="Z1836" s="35"/>
      <c r="AA1836" s="35"/>
      <c r="AB1836" s="35"/>
      <c r="AC1836" s="35"/>
      <c r="AD1836" s="35"/>
      <c r="AE1836" s="35"/>
      <c r="AF1836" s="35"/>
      <c r="AG1836" s="35"/>
      <c r="AH1836" s="35"/>
      <c r="AI1836" s="35"/>
      <c r="AJ1836" s="35"/>
      <c r="AK1836" s="35"/>
      <c r="AL1836" s="35"/>
      <c r="AM1836" s="35"/>
      <c r="AN1836" s="35"/>
      <c r="AO1836" s="35"/>
      <c r="AP1836" s="35"/>
      <c r="AQ1836" s="35"/>
      <c r="AR1836" s="35"/>
      <c r="AS1836" s="35"/>
      <c r="AT1836" s="35"/>
      <c r="AU1836" s="35"/>
      <c r="AV1836" s="35"/>
      <c r="AW1836" s="35"/>
      <c r="AX1836" s="35"/>
      <c r="AY1836" s="35"/>
      <c r="AZ1836" s="35"/>
      <c r="BA1836" s="35"/>
      <c r="BB1836" s="35"/>
      <c r="BC1836" s="35"/>
      <c r="BD1836" s="35"/>
      <c r="BE1836" s="35"/>
      <c r="BF1836" s="35"/>
      <c r="BG1836" s="35"/>
    </row>
    <row r="1837" ht="15.75" customHeight="1">
      <c r="A1837" s="35"/>
      <c r="B1837" s="35"/>
      <c r="C1837" s="35"/>
      <c r="D1837" s="35"/>
      <c r="E1837" s="35"/>
      <c r="F1837" s="35"/>
      <c r="G1837" s="35"/>
      <c r="H1837" s="35"/>
      <c r="I1837" s="35"/>
      <c r="J1837" s="35"/>
      <c r="K1837" s="35"/>
      <c r="L1837" s="35"/>
      <c r="M1837" s="35"/>
      <c r="N1837" s="35"/>
      <c r="O1837" s="35"/>
      <c r="P1837" s="35"/>
      <c r="Q1837" s="35"/>
      <c r="R1837" s="35"/>
      <c r="S1837" s="35"/>
      <c r="T1837" s="35"/>
      <c r="U1837" s="35"/>
      <c r="V1837" s="35"/>
      <c r="W1837" s="35"/>
      <c r="X1837" s="35"/>
      <c r="Y1837" s="35"/>
      <c r="Z1837" s="35"/>
      <c r="AA1837" s="35"/>
      <c r="AB1837" s="35"/>
      <c r="AC1837" s="35"/>
      <c r="AD1837" s="35"/>
      <c r="AE1837" s="35"/>
      <c r="AF1837" s="35"/>
      <c r="AG1837" s="35"/>
      <c r="AH1837" s="35"/>
      <c r="AI1837" s="35"/>
      <c r="AJ1837" s="35"/>
      <c r="AK1837" s="35"/>
      <c r="AL1837" s="35"/>
      <c r="AM1837" s="35"/>
      <c r="AN1837" s="35"/>
      <c r="AO1837" s="35"/>
      <c r="AP1837" s="35"/>
      <c r="AQ1837" s="35"/>
      <c r="AR1837" s="35"/>
      <c r="AS1837" s="35"/>
      <c r="AT1837" s="35"/>
      <c r="AU1837" s="35"/>
      <c r="AV1837" s="35"/>
      <c r="AW1837" s="35"/>
      <c r="AX1837" s="35"/>
      <c r="AY1837" s="35"/>
      <c r="AZ1837" s="35"/>
      <c r="BA1837" s="35"/>
      <c r="BB1837" s="35"/>
      <c r="BC1837" s="35"/>
      <c r="BD1837" s="35"/>
      <c r="BE1837" s="35"/>
      <c r="BF1837" s="35"/>
      <c r="BG1837" s="35"/>
    </row>
    <row r="1838" ht="15.75" customHeight="1">
      <c r="A1838" s="35"/>
      <c r="B1838" s="35"/>
      <c r="C1838" s="35"/>
      <c r="D1838" s="35"/>
      <c r="E1838" s="35"/>
      <c r="F1838" s="35"/>
      <c r="G1838" s="35"/>
      <c r="H1838" s="35"/>
      <c r="I1838" s="35"/>
      <c r="J1838" s="35"/>
      <c r="K1838" s="35"/>
      <c r="L1838" s="35"/>
      <c r="M1838" s="35"/>
      <c r="N1838" s="35"/>
      <c r="O1838" s="35"/>
      <c r="P1838" s="35"/>
      <c r="Q1838" s="35"/>
      <c r="R1838" s="35"/>
      <c r="S1838" s="35"/>
      <c r="T1838" s="35"/>
      <c r="U1838" s="35"/>
      <c r="V1838" s="35"/>
      <c r="W1838" s="35"/>
      <c r="X1838" s="35"/>
      <c r="Y1838" s="35"/>
      <c r="Z1838" s="35"/>
      <c r="AA1838" s="35"/>
      <c r="AB1838" s="35"/>
      <c r="AC1838" s="35"/>
      <c r="AD1838" s="35"/>
      <c r="AE1838" s="35"/>
      <c r="AF1838" s="35"/>
      <c r="AG1838" s="35"/>
      <c r="AH1838" s="35"/>
      <c r="AI1838" s="35"/>
      <c r="AJ1838" s="35"/>
      <c r="AK1838" s="35"/>
      <c r="AL1838" s="35"/>
      <c r="AM1838" s="35"/>
      <c r="AN1838" s="35"/>
      <c r="AO1838" s="35"/>
      <c r="AP1838" s="35"/>
      <c r="AQ1838" s="35"/>
      <c r="AR1838" s="35"/>
      <c r="AS1838" s="35"/>
      <c r="AT1838" s="35"/>
      <c r="AU1838" s="35"/>
      <c r="AV1838" s="35"/>
      <c r="AW1838" s="35"/>
      <c r="AX1838" s="35"/>
      <c r="AY1838" s="35"/>
      <c r="AZ1838" s="35"/>
      <c r="BA1838" s="35"/>
      <c r="BB1838" s="35"/>
      <c r="BC1838" s="35"/>
      <c r="BD1838" s="35"/>
      <c r="BE1838" s="35"/>
      <c r="BF1838" s="35"/>
      <c r="BG1838" s="35"/>
    </row>
    <row r="1839" ht="15.75" customHeight="1">
      <c r="A1839" s="35"/>
      <c r="B1839" s="35"/>
      <c r="C1839" s="35"/>
      <c r="D1839" s="35"/>
      <c r="E1839" s="35"/>
      <c r="F1839" s="35"/>
      <c r="G1839" s="35"/>
      <c r="H1839" s="35"/>
      <c r="I1839" s="35"/>
      <c r="J1839" s="35"/>
      <c r="K1839" s="35"/>
      <c r="L1839" s="35"/>
      <c r="M1839" s="35"/>
      <c r="N1839" s="35"/>
      <c r="O1839" s="35"/>
      <c r="P1839" s="35"/>
      <c r="Q1839" s="35"/>
      <c r="R1839" s="35"/>
      <c r="S1839" s="35"/>
      <c r="T1839" s="35"/>
      <c r="U1839" s="35"/>
      <c r="V1839" s="35"/>
      <c r="W1839" s="35"/>
      <c r="X1839" s="35"/>
      <c r="Y1839" s="35"/>
      <c r="Z1839" s="35"/>
      <c r="AA1839" s="35"/>
      <c r="AB1839" s="35"/>
      <c r="AC1839" s="35"/>
      <c r="AD1839" s="35"/>
      <c r="AE1839" s="35"/>
      <c r="AF1839" s="35"/>
      <c r="AG1839" s="35"/>
      <c r="AH1839" s="35"/>
      <c r="AI1839" s="35"/>
      <c r="AJ1839" s="35"/>
      <c r="AK1839" s="35"/>
      <c r="AL1839" s="35"/>
      <c r="AM1839" s="35"/>
      <c r="AN1839" s="35"/>
      <c r="AO1839" s="35"/>
      <c r="AP1839" s="35"/>
      <c r="AQ1839" s="35"/>
      <c r="AR1839" s="35"/>
      <c r="AS1839" s="35"/>
      <c r="AT1839" s="35"/>
      <c r="AU1839" s="35"/>
      <c r="AV1839" s="35"/>
      <c r="AW1839" s="35"/>
      <c r="AX1839" s="35"/>
      <c r="AY1839" s="35"/>
      <c r="AZ1839" s="35"/>
      <c r="BA1839" s="35"/>
      <c r="BB1839" s="35"/>
      <c r="BC1839" s="35"/>
      <c r="BD1839" s="35"/>
      <c r="BE1839" s="35"/>
      <c r="BF1839" s="35"/>
      <c r="BG1839" s="35"/>
    </row>
    <row r="1840" ht="15.75" customHeight="1">
      <c r="A1840" s="35"/>
      <c r="B1840" s="35"/>
      <c r="C1840" s="35"/>
      <c r="D1840" s="35"/>
      <c r="E1840" s="35"/>
      <c r="F1840" s="35"/>
      <c r="G1840" s="35"/>
      <c r="H1840" s="35"/>
      <c r="I1840" s="35"/>
      <c r="J1840" s="35"/>
      <c r="K1840" s="35"/>
      <c r="L1840" s="35"/>
      <c r="M1840" s="35"/>
      <c r="N1840" s="35"/>
      <c r="O1840" s="35"/>
      <c r="P1840" s="35"/>
      <c r="Q1840" s="35"/>
      <c r="R1840" s="35"/>
      <c r="S1840" s="35"/>
      <c r="T1840" s="35"/>
      <c r="U1840" s="35"/>
      <c r="V1840" s="35"/>
      <c r="W1840" s="35"/>
      <c r="X1840" s="35"/>
      <c r="Y1840" s="35"/>
      <c r="Z1840" s="35"/>
      <c r="AA1840" s="35"/>
      <c r="AB1840" s="35"/>
      <c r="AC1840" s="35"/>
      <c r="AD1840" s="35"/>
      <c r="AE1840" s="35"/>
      <c r="AF1840" s="35"/>
      <c r="AG1840" s="35"/>
      <c r="AH1840" s="35"/>
      <c r="AI1840" s="35"/>
      <c r="AJ1840" s="35"/>
      <c r="AK1840" s="35"/>
      <c r="AL1840" s="35"/>
      <c r="AM1840" s="35"/>
      <c r="AN1840" s="35"/>
      <c r="AO1840" s="35"/>
      <c r="AP1840" s="35"/>
      <c r="AQ1840" s="35"/>
      <c r="AR1840" s="35"/>
      <c r="AS1840" s="35"/>
      <c r="AT1840" s="35"/>
      <c r="AU1840" s="35"/>
      <c r="AV1840" s="35"/>
      <c r="AW1840" s="35"/>
      <c r="AX1840" s="35"/>
      <c r="AY1840" s="35"/>
      <c r="AZ1840" s="35"/>
      <c r="BA1840" s="35"/>
      <c r="BB1840" s="35"/>
      <c r="BC1840" s="35"/>
      <c r="BD1840" s="35"/>
      <c r="BE1840" s="35"/>
      <c r="BF1840" s="35"/>
      <c r="BG1840" s="35"/>
    </row>
    <row r="1841" ht="15.75" customHeight="1">
      <c r="A1841" s="35"/>
      <c r="B1841" s="35"/>
      <c r="C1841" s="35"/>
      <c r="D1841" s="35"/>
      <c r="E1841" s="35"/>
      <c r="F1841" s="35"/>
      <c r="G1841" s="35"/>
      <c r="H1841" s="35"/>
      <c r="I1841" s="35"/>
      <c r="J1841" s="35"/>
      <c r="K1841" s="35"/>
      <c r="L1841" s="35"/>
      <c r="M1841" s="35"/>
      <c r="N1841" s="35"/>
      <c r="O1841" s="35"/>
      <c r="P1841" s="35"/>
      <c r="Q1841" s="35"/>
      <c r="R1841" s="35"/>
      <c r="S1841" s="35"/>
      <c r="T1841" s="35"/>
      <c r="U1841" s="35"/>
      <c r="V1841" s="35"/>
      <c r="W1841" s="35"/>
      <c r="X1841" s="35"/>
      <c r="Y1841" s="35"/>
      <c r="Z1841" s="35"/>
      <c r="AA1841" s="35"/>
      <c r="AB1841" s="35"/>
      <c r="AC1841" s="35"/>
      <c r="AD1841" s="35"/>
      <c r="AE1841" s="35"/>
      <c r="AF1841" s="35"/>
      <c r="AG1841" s="35"/>
      <c r="AH1841" s="35"/>
      <c r="AI1841" s="35"/>
      <c r="AJ1841" s="35"/>
      <c r="AK1841" s="35"/>
      <c r="AL1841" s="35"/>
      <c r="AM1841" s="35"/>
      <c r="AN1841" s="35"/>
      <c r="AO1841" s="35"/>
      <c r="AP1841" s="35"/>
      <c r="AQ1841" s="35"/>
      <c r="AR1841" s="35"/>
      <c r="AS1841" s="35"/>
      <c r="AT1841" s="35"/>
      <c r="AU1841" s="35"/>
      <c r="AV1841" s="35"/>
      <c r="AW1841" s="35"/>
      <c r="AX1841" s="35"/>
      <c r="AY1841" s="35"/>
      <c r="AZ1841" s="35"/>
      <c r="BA1841" s="35"/>
      <c r="BB1841" s="35"/>
      <c r="BC1841" s="35"/>
      <c r="BD1841" s="35"/>
      <c r="BE1841" s="35"/>
      <c r="BF1841" s="35"/>
      <c r="BG1841" s="35"/>
    </row>
    <row r="1842" ht="15.75" customHeight="1">
      <c r="A1842" s="35"/>
      <c r="B1842" s="35"/>
      <c r="C1842" s="35"/>
      <c r="D1842" s="35"/>
      <c r="E1842" s="35"/>
      <c r="F1842" s="35"/>
      <c r="G1842" s="35"/>
      <c r="H1842" s="35"/>
      <c r="I1842" s="35"/>
      <c r="J1842" s="35"/>
      <c r="K1842" s="35"/>
      <c r="L1842" s="35"/>
      <c r="M1842" s="35"/>
      <c r="N1842" s="35"/>
      <c r="O1842" s="35"/>
      <c r="P1842" s="35"/>
      <c r="Q1842" s="35"/>
      <c r="R1842" s="35"/>
      <c r="S1842" s="35"/>
      <c r="T1842" s="35"/>
      <c r="U1842" s="35"/>
      <c r="V1842" s="35"/>
      <c r="W1842" s="35"/>
      <c r="X1842" s="35"/>
      <c r="Y1842" s="35"/>
      <c r="Z1842" s="35"/>
      <c r="AA1842" s="35"/>
      <c r="AB1842" s="35"/>
      <c r="AC1842" s="35"/>
      <c r="AD1842" s="35"/>
      <c r="AE1842" s="35"/>
      <c r="AF1842" s="35"/>
      <c r="AG1842" s="35"/>
      <c r="AH1842" s="35"/>
      <c r="AI1842" s="35"/>
      <c r="AJ1842" s="35"/>
      <c r="AK1842" s="35"/>
      <c r="AL1842" s="35"/>
      <c r="AM1842" s="35"/>
      <c r="AN1842" s="35"/>
      <c r="AO1842" s="35"/>
      <c r="AP1842" s="35"/>
      <c r="AQ1842" s="35"/>
      <c r="AR1842" s="35"/>
      <c r="AS1842" s="35"/>
      <c r="AT1842" s="35"/>
      <c r="AU1842" s="35"/>
      <c r="AV1842" s="35"/>
      <c r="AW1842" s="35"/>
      <c r="AX1842" s="35"/>
      <c r="AY1842" s="35"/>
      <c r="AZ1842" s="35"/>
      <c r="BA1842" s="35"/>
      <c r="BB1842" s="35"/>
      <c r="BC1842" s="35"/>
      <c r="BD1842" s="35"/>
      <c r="BE1842" s="35"/>
      <c r="BF1842" s="35"/>
      <c r="BG1842" s="35"/>
    </row>
    <row r="1843" ht="15.75" customHeight="1">
      <c r="A1843" s="35"/>
      <c r="B1843" s="35"/>
      <c r="C1843" s="35"/>
      <c r="D1843" s="35"/>
      <c r="E1843" s="35"/>
      <c r="F1843" s="35"/>
      <c r="G1843" s="35"/>
      <c r="H1843" s="35"/>
      <c r="I1843" s="35"/>
      <c r="J1843" s="35"/>
      <c r="K1843" s="35"/>
      <c r="L1843" s="35"/>
      <c r="M1843" s="35"/>
      <c r="N1843" s="35"/>
      <c r="O1843" s="35"/>
      <c r="P1843" s="35"/>
      <c r="Q1843" s="35"/>
      <c r="R1843" s="35"/>
      <c r="S1843" s="35"/>
      <c r="T1843" s="35"/>
      <c r="U1843" s="35"/>
      <c r="V1843" s="35"/>
      <c r="W1843" s="35"/>
      <c r="X1843" s="35"/>
      <c r="Y1843" s="35"/>
      <c r="Z1843" s="35"/>
      <c r="AA1843" s="35"/>
      <c r="AB1843" s="35"/>
      <c r="AC1843" s="35"/>
      <c r="AD1843" s="35"/>
      <c r="AE1843" s="35"/>
      <c r="AF1843" s="35"/>
      <c r="AG1843" s="35"/>
      <c r="AH1843" s="35"/>
      <c r="AI1843" s="35"/>
      <c r="AJ1843" s="35"/>
      <c r="AK1843" s="35"/>
      <c r="AL1843" s="35"/>
      <c r="AM1843" s="35"/>
      <c r="AN1843" s="35"/>
      <c r="AO1843" s="35"/>
      <c r="AP1843" s="35"/>
      <c r="AQ1843" s="35"/>
      <c r="AR1843" s="35"/>
      <c r="AS1843" s="35"/>
      <c r="AT1843" s="35"/>
      <c r="AU1843" s="35"/>
      <c r="AV1843" s="35"/>
      <c r="AW1843" s="35"/>
      <c r="AX1843" s="35"/>
      <c r="AY1843" s="35"/>
      <c r="AZ1843" s="35"/>
      <c r="BA1843" s="35"/>
      <c r="BB1843" s="35"/>
      <c r="BC1843" s="35"/>
      <c r="BD1843" s="35"/>
      <c r="BE1843" s="35"/>
      <c r="BF1843" s="35"/>
      <c r="BG1843" s="35"/>
    </row>
    <row r="1844" ht="15.75" customHeight="1">
      <c r="A1844" s="35"/>
      <c r="B1844" s="35"/>
      <c r="C1844" s="35"/>
      <c r="D1844" s="35"/>
      <c r="E1844" s="35"/>
      <c r="F1844" s="35"/>
      <c r="G1844" s="35"/>
      <c r="H1844" s="35"/>
      <c r="I1844" s="35"/>
      <c r="J1844" s="35"/>
      <c r="K1844" s="35"/>
      <c r="L1844" s="35"/>
      <c r="M1844" s="35"/>
      <c r="N1844" s="35"/>
      <c r="O1844" s="35"/>
      <c r="P1844" s="35"/>
      <c r="Q1844" s="35"/>
      <c r="R1844" s="35"/>
      <c r="S1844" s="35"/>
      <c r="T1844" s="35"/>
      <c r="U1844" s="35"/>
      <c r="V1844" s="35"/>
      <c r="W1844" s="35"/>
      <c r="X1844" s="35"/>
      <c r="Y1844" s="35"/>
      <c r="Z1844" s="35"/>
      <c r="AA1844" s="35"/>
      <c r="AB1844" s="35"/>
      <c r="AC1844" s="35"/>
      <c r="AD1844" s="35"/>
      <c r="AE1844" s="35"/>
      <c r="AF1844" s="35"/>
      <c r="AG1844" s="35"/>
      <c r="AH1844" s="35"/>
      <c r="AI1844" s="35"/>
      <c r="AJ1844" s="35"/>
      <c r="AK1844" s="35"/>
      <c r="AL1844" s="35"/>
      <c r="AM1844" s="35"/>
      <c r="AN1844" s="35"/>
      <c r="AO1844" s="35"/>
      <c r="AP1844" s="35"/>
      <c r="AQ1844" s="35"/>
      <c r="AR1844" s="35"/>
      <c r="AS1844" s="35"/>
      <c r="AT1844" s="35"/>
      <c r="AU1844" s="35"/>
      <c r="AV1844" s="35"/>
      <c r="AW1844" s="35"/>
      <c r="AX1844" s="35"/>
      <c r="AY1844" s="35"/>
      <c r="AZ1844" s="35"/>
      <c r="BA1844" s="35"/>
      <c r="BB1844" s="35"/>
      <c r="BC1844" s="35"/>
      <c r="BD1844" s="35"/>
      <c r="BE1844" s="35"/>
      <c r="BF1844" s="35"/>
      <c r="BG1844" s="35"/>
    </row>
    <row r="1845" ht="15.75" customHeight="1">
      <c r="A1845" s="35"/>
      <c r="B1845" s="35"/>
      <c r="C1845" s="35"/>
      <c r="D1845" s="35"/>
      <c r="E1845" s="35"/>
      <c r="F1845" s="35"/>
      <c r="G1845" s="35"/>
      <c r="H1845" s="35"/>
      <c r="I1845" s="35"/>
      <c r="J1845" s="35"/>
      <c r="K1845" s="35"/>
      <c r="L1845" s="35"/>
      <c r="M1845" s="35"/>
      <c r="N1845" s="35"/>
      <c r="O1845" s="35"/>
      <c r="P1845" s="35"/>
      <c r="Q1845" s="35"/>
      <c r="R1845" s="35"/>
      <c r="S1845" s="35"/>
      <c r="T1845" s="35"/>
      <c r="U1845" s="35"/>
      <c r="V1845" s="35"/>
      <c r="W1845" s="35"/>
      <c r="X1845" s="35"/>
      <c r="Y1845" s="35"/>
      <c r="Z1845" s="35"/>
      <c r="AA1845" s="35"/>
      <c r="AB1845" s="35"/>
      <c r="AC1845" s="35"/>
      <c r="AD1845" s="35"/>
      <c r="AE1845" s="35"/>
      <c r="AF1845" s="35"/>
      <c r="AG1845" s="35"/>
      <c r="AH1845" s="35"/>
      <c r="AI1845" s="35"/>
      <c r="AJ1845" s="35"/>
      <c r="AK1845" s="35"/>
      <c r="AL1845" s="35"/>
      <c r="AM1845" s="35"/>
      <c r="AN1845" s="35"/>
      <c r="AO1845" s="35"/>
      <c r="AP1845" s="35"/>
      <c r="AQ1845" s="35"/>
      <c r="AR1845" s="35"/>
      <c r="AS1845" s="35"/>
      <c r="AT1845" s="35"/>
      <c r="AU1845" s="35"/>
      <c r="AV1845" s="35"/>
      <c r="AW1845" s="35"/>
      <c r="AX1845" s="35"/>
      <c r="AY1845" s="35"/>
      <c r="AZ1845" s="35"/>
      <c r="BA1845" s="35"/>
      <c r="BB1845" s="35"/>
      <c r="BC1845" s="35"/>
      <c r="BD1845" s="35"/>
      <c r="BE1845" s="35"/>
      <c r="BF1845" s="35"/>
      <c r="BG1845" s="35"/>
    </row>
    <row r="1846" ht="15.75" customHeight="1">
      <c r="A1846" s="35"/>
      <c r="B1846" s="35"/>
      <c r="C1846" s="35"/>
      <c r="D1846" s="35"/>
      <c r="E1846" s="35"/>
      <c r="F1846" s="35"/>
      <c r="G1846" s="35"/>
      <c r="H1846" s="35"/>
      <c r="I1846" s="35"/>
      <c r="J1846" s="35"/>
      <c r="K1846" s="35"/>
      <c r="L1846" s="35"/>
      <c r="M1846" s="35"/>
      <c r="N1846" s="35"/>
      <c r="O1846" s="35"/>
      <c r="P1846" s="35"/>
      <c r="Q1846" s="35"/>
      <c r="R1846" s="35"/>
      <c r="S1846" s="35"/>
      <c r="T1846" s="35"/>
      <c r="U1846" s="35"/>
      <c r="V1846" s="35"/>
      <c r="W1846" s="35"/>
      <c r="X1846" s="35"/>
      <c r="Y1846" s="35"/>
      <c r="Z1846" s="35"/>
      <c r="AA1846" s="35"/>
      <c r="AB1846" s="35"/>
      <c r="AC1846" s="35"/>
      <c r="AD1846" s="35"/>
      <c r="AE1846" s="35"/>
      <c r="AF1846" s="35"/>
      <c r="AG1846" s="35"/>
      <c r="AH1846" s="35"/>
      <c r="AI1846" s="35"/>
      <c r="AJ1846" s="35"/>
      <c r="AK1846" s="35"/>
      <c r="AL1846" s="35"/>
      <c r="AM1846" s="35"/>
      <c r="AN1846" s="35"/>
      <c r="AO1846" s="35"/>
      <c r="AP1846" s="35"/>
      <c r="AQ1846" s="35"/>
      <c r="AR1846" s="35"/>
      <c r="AS1846" s="35"/>
      <c r="AT1846" s="35"/>
      <c r="AU1846" s="35"/>
      <c r="AV1846" s="35"/>
      <c r="AW1846" s="35"/>
      <c r="AX1846" s="35"/>
      <c r="AY1846" s="35"/>
      <c r="AZ1846" s="35"/>
      <c r="BA1846" s="35"/>
      <c r="BB1846" s="35"/>
      <c r="BC1846" s="35"/>
      <c r="BD1846" s="35"/>
      <c r="BE1846" s="35"/>
      <c r="BF1846" s="35"/>
      <c r="BG1846" s="35"/>
    </row>
    <row r="1847" ht="15.75" customHeight="1">
      <c r="A1847" s="35"/>
      <c r="B1847" s="35"/>
      <c r="C1847" s="35"/>
      <c r="D1847" s="35"/>
      <c r="E1847" s="35"/>
      <c r="F1847" s="35"/>
      <c r="G1847" s="35"/>
      <c r="H1847" s="35"/>
      <c r="I1847" s="35"/>
      <c r="J1847" s="35"/>
      <c r="K1847" s="35"/>
      <c r="L1847" s="35"/>
      <c r="M1847" s="35"/>
      <c r="N1847" s="35"/>
      <c r="O1847" s="35"/>
      <c r="P1847" s="35"/>
      <c r="Q1847" s="35"/>
      <c r="R1847" s="35"/>
      <c r="S1847" s="35"/>
      <c r="T1847" s="35"/>
      <c r="U1847" s="35"/>
      <c r="V1847" s="35"/>
      <c r="W1847" s="35"/>
      <c r="X1847" s="35"/>
      <c r="Y1847" s="35"/>
      <c r="Z1847" s="35"/>
      <c r="AA1847" s="35"/>
      <c r="AB1847" s="35"/>
      <c r="AC1847" s="35"/>
      <c r="AD1847" s="35"/>
      <c r="AE1847" s="35"/>
      <c r="AF1847" s="35"/>
      <c r="AG1847" s="35"/>
      <c r="AH1847" s="35"/>
      <c r="AI1847" s="35"/>
      <c r="AJ1847" s="35"/>
      <c r="AK1847" s="35"/>
      <c r="AL1847" s="35"/>
      <c r="AM1847" s="35"/>
      <c r="AN1847" s="35"/>
      <c r="AO1847" s="35"/>
      <c r="AP1847" s="35"/>
      <c r="AQ1847" s="35"/>
      <c r="AR1847" s="35"/>
      <c r="AS1847" s="35"/>
      <c r="AT1847" s="35"/>
      <c r="AU1847" s="35"/>
      <c r="AV1847" s="35"/>
      <c r="AW1847" s="35"/>
      <c r="AX1847" s="35"/>
      <c r="AY1847" s="35"/>
      <c r="AZ1847" s="35"/>
      <c r="BA1847" s="35"/>
      <c r="BB1847" s="35"/>
      <c r="BC1847" s="35"/>
      <c r="BD1847" s="35"/>
      <c r="BE1847" s="35"/>
      <c r="BF1847" s="35"/>
      <c r="BG1847" s="35"/>
    </row>
    <row r="1848" ht="15.75" customHeight="1">
      <c r="A1848" s="35"/>
      <c r="B1848" s="35"/>
      <c r="C1848" s="35"/>
      <c r="D1848" s="35"/>
      <c r="E1848" s="35"/>
      <c r="F1848" s="35"/>
      <c r="G1848" s="35"/>
      <c r="H1848" s="35"/>
      <c r="I1848" s="35"/>
      <c r="J1848" s="35"/>
      <c r="K1848" s="35"/>
      <c r="L1848" s="35"/>
      <c r="M1848" s="35"/>
      <c r="N1848" s="35"/>
      <c r="O1848" s="35"/>
      <c r="P1848" s="35"/>
      <c r="Q1848" s="35"/>
      <c r="R1848" s="35"/>
      <c r="S1848" s="35"/>
      <c r="T1848" s="35"/>
      <c r="U1848" s="35"/>
      <c r="V1848" s="35"/>
      <c r="W1848" s="35"/>
      <c r="X1848" s="35"/>
      <c r="Y1848" s="35"/>
      <c r="Z1848" s="35"/>
      <c r="AA1848" s="35"/>
      <c r="AB1848" s="35"/>
      <c r="AC1848" s="35"/>
      <c r="AD1848" s="35"/>
      <c r="AE1848" s="35"/>
      <c r="AF1848" s="35"/>
      <c r="AG1848" s="35"/>
      <c r="AH1848" s="35"/>
      <c r="AI1848" s="35"/>
      <c r="AJ1848" s="35"/>
      <c r="AK1848" s="35"/>
      <c r="AL1848" s="35"/>
      <c r="AM1848" s="35"/>
      <c r="AN1848" s="35"/>
      <c r="AO1848" s="35"/>
      <c r="AP1848" s="35"/>
      <c r="AQ1848" s="35"/>
      <c r="AR1848" s="35"/>
      <c r="AS1848" s="35"/>
      <c r="AT1848" s="35"/>
      <c r="AU1848" s="35"/>
      <c r="AV1848" s="35"/>
      <c r="AW1848" s="35"/>
      <c r="AX1848" s="35"/>
      <c r="AY1848" s="35"/>
      <c r="AZ1848" s="35"/>
      <c r="BA1848" s="35"/>
      <c r="BB1848" s="35"/>
      <c r="BC1848" s="35"/>
      <c r="BD1848" s="35"/>
      <c r="BE1848" s="35"/>
      <c r="BF1848" s="35"/>
      <c r="BG1848" s="35"/>
    </row>
    <row r="1849" ht="15.75" customHeight="1">
      <c r="A1849" s="35"/>
      <c r="B1849" s="35"/>
      <c r="C1849" s="35"/>
      <c r="D1849" s="35"/>
      <c r="E1849" s="35"/>
      <c r="F1849" s="35"/>
      <c r="G1849" s="35"/>
      <c r="H1849" s="35"/>
      <c r="I1849" s="35"/>
      <c r="J1849" s="35"/>
      <c r="K1849" s="35"/>
      <c r="L1849" s="35"/>
      <c r="M1849" s="35"/>
      <c r="N1849" s="35"/>
      <c r="O1849" s="35"/>
      <c r="P1849" s="35"/>
      <c r="Q1849" s="35"/>
      <c r="R1849" s="35"/>
      <c r="S1849" s="35"/>
      <c r="T1849" s="35"/>
      <c r="U1849" s="35"/>
      <c r="V1849" s="35"/>
      <c r="W1849" s="35"/>
      <c r="X1849" s="35"/>
      <c r="Y1849" s="35"/>
      <c r="Z1849" s="35"/>
      <c r="AA1849" s="35"/>
      <c r="AB1849" s="35"/>
      <c r="AC1849" s="35"/>
      <c r="AD1849" s="35"/>
      <c r="AE1849" s="35"/>
      <c r="AF1849" s="35"/>
      <c r="AG1849" s="35"/>
      <c r="AH1849" s="35"/>
      <c r="AI1849" s="35"/>
      <c r="AJ1849" s="35"/>
      <c r="AK1849" s="35"/>
      <c r="AL1849" s="35"/>
      <c r="AM1849" s="35"/>
      <c r="AN1849" s="35"/>
      <c r="AO1849" s="35"/>
      <c r="AP1849" s="35"/>
      <c r="AQ1849" s="35"/>
      <c r="AR1849" s="35"/>
      <c r="AS1849" s="35"/>
      <c r="AT1849" s="35"/>
      <c r="AU1849" s="35"/>
      <c r="AV1849" s="35"/>
      <c r="AW1849" s="35"/>
      <c r="AX1849" s="35"/>
      <c r="AY1849" s="35"/>
      <c r="AZ1849" s="35"/>
      <c r="BA1849" s="35"/>
      <c r="BB1849" s="35"/>
      <c r="BC1849" s="35"/>
      <c r="BD1849" s="35"/>
      <c r="BE1849" s="35"/>
      <c r="BF1849" s="35"/>
      <c r="BG1849" s="35"/>
    </row>
    <row r="1850" ht="15.75" customHeight="1">
      <c r="A1850" s="35"/>
      <c r="B1850" s="35"/>
      <c r="C1850" s="35"/>
      <c r="D1850" s="35"/>
      <c r="E1850" s="35"/>
      <c r="F1850" s="35"/>
      <c r="G1850" s="35"/>
      <c r="H1850" s="35"/>
      <c r="I1850" s="35"/>
      <c r="J1850" s="35"/>
      <c r="K1850" s="35"/>
      <c r="L1850" s="35"/>
      <c r="M1850" s="35"/>
      <c r="N1850" s="35"/>
      <c r="O1850" s="35"/>
      <c r="P1850" s="35"/>
      <c r="Q1850" s="35"/>
      <c r="R1850" s="35"/>
      <c r="S1850" s="35"/>
      <c r="T1850" s="35"/>
      <c r="U1850" s="35"/>
      <c r="V1850" s="35"/>
      <c r="W1850" s="35"/>
      <c r="X1850" s="35"/>
      <c r="Y1850" s="35"/>
      <c r="Z1850" s="35"/>
      <c r="AA1850" s="35"/>
      <c r="AB1850" s="35"/>
      <c r="AC1850" s="35"/>
      <c r="AD1850" s="35"/>
      <c r="AE1850" s="35"/>
      <c r="AF1850" s="35"/>
      <c r="AG1850" s="35"/>
      <c r="AH1850" s="35"/>
      <c r="AI1850" s="35"/>
      <c r="AJ1850" s="35"/>
      <c r="AK1850" s="35"/>
      <c r="AL1850" s="35"/>
      <c r="AM1850" s="35"/>
      <c r="AN1850" s="35"/>
      <c r="AO1850" s="35"/>
      <c r="AP1850" s="35"/>
      <c r="AQ1850" s="35"/>
      <c r="AR1850" s="35"/>
      <c r="AS1850" s="35"/>
      <c r="AT1850" s="35"/>
      <c r="AU1850" s="35"/>
      <c r="AV1850" s="35"/>
      <c r="AW1850" s="35"/>
      <c r="AX1850" s="35"/>
      <c r="AY1850" s="35"/>
      <c r="AZ1850" s="35"/>
      <c r="BA1850" s="35"/>
      <c r="BB1850" s="35"/>
      <c r="BC1850" s="35"/>
      <c r="BD1850" s="35"/>
      <c r="BE1850" s="35"/>
      <c r="BF1850" s="35"/>
      <c r="BG1850" s="35"/>
    </row>
    <row r="1851" ht="15.75" customHeight="1">
      <c r="A1851" s="35"/>
      <c r="B1851" s="35"/>
      <c r="C1851" s="35"/>
      <c r="D1851" s="35"/>
      <c r="E1851" s="35"/>
      <c r="F1851" s="35"/>
      <c r="G1851" s="35"/>
      <c r="H1851" s="35"/>
      <c r="I1851" s="35"/>
      <c r="J1851" s="35"/>
      <c r="K1851" s="35"/>
      <c r="L1851" s="35"/>
      <c r="M1851" s="35"/>
      <c r="N1851" s="35"/>
      <c r="O1851" s="35"/>
      <c r="P1851" s="35"/>
      <c r="Q1851" s="35"/>
      <c r="R1851" s="35"/>
      <c r="S1851" s="35"/>
      <c r="T1851" s="35"/>
      <c r="U1851" s="35"/>
      <c r="V1851" s="35"/>
      <c r="W1851" s="35"/>
      <c r="X1851" s="35"/>
      <c r="Y1851" s="35"/>
      <c r="Z1851" s="35"/>
      <c r="AA1851" s="35"/>
      <c r="AB1851" s="35"/>
      <c r="AC1851" s="35"/>
      <c r="AD1851" s="35"/>
      <c r="AE1851" s="35"/>
      <c r="AF1851" s="35"/>
      <c r="AG1851" s="35"/>
      <c r="AH1851" s="35"/>
      <c r="AI1851" s="35"/>
      <c r="AJ1851" s="35"/>
      <c r="AK1851" s="35"/>
      <c r="AL1851" s="35"/>
      <c r="AM1851" s="35"/>
      <c r="AN1851" s="35"/>
      <c r="AO1851" s="35"/>
      <c r="AP1851" s="35"/>
      <c r="AQ1851" s="35"/>
      <c r="AR1851" s="35"/>
      <c r="AS1851" s="35"/>
      <c r="AT1851" s="35"/>
      <c r="AU1851" s="35"/>
      <c r="AV1851" s="35"/>
      <c r="AW1851" s="35"/>
      <c r="AX1851" s="35"/>
      <c r="AY1851" s="35"/>
      <c r="AZ1851" s="35"/>
      <c r="BA1851" s="35"/>
      <c r="BB1851" s="35"/>
      <c r="BC1851" s="35"/>
      <c r="BD1851" s="35"/>
      <c r="BE1851" s="35"/>
      <c r="BF1851" s="35"/>
      <c r="BG1851" s="35"/>
    </row>
    <row r="1852" ht="15.75" customHeight="1">
      <c r="A1852" s="35"/>
      <c r="B1852" s="35"/>
      <c r="C1852" s="35"/>
      <c r="D1852" s="35"/>
      <c r="E1852" s="35"/>
      <c r="F1852" s="35"/>
      <c r="G1852" s="35"/>
      <c r="H1852" s="35"/>
      <c r="I1852" s="35"/>
      <c r="J1852" s="35"/>
      <c r="K1852" s="35"/>
      <c r="L1852" s="35"/>
      <c r="M1852" s="35"/>
      <c r="N1852" s="35"/>
      <c r="O1852" s="35"/>
      <c r="P1852" s="35"/>
      <c r="Q1852" s="35"/>
      <c r="R1852" s="35"/>
      <c r="S1852" s="35"/>
      <c r="T1852" s="35"/>
      <c r="U1852" s="35"/>
      <c r="V1852" s="35"/>
      <c r="W1852" s="35"/>
      <c r="X1852" s="35"/>
      <c r="Y1852" s="35"/>
      <c r="Z1852" s="35"/>
      <c r="AA1852" s="35"/>
      <c r="AB1852" s="35"/>
      <c r="AC1852" s="35"/>
      <c r="AD1852" s="35"/>
      <c r="AE1852" s="35"/>
      <c r="AF1852" s="35"/>
      <c r="AG1852" s="35"/>
      <c r="AH1852" s="35"/>
      <c r="AI1852" s="35"/>
      <c r="AJ1852" s="35"/>
      <c r="AK1852" s="35"/>
      <c r="AL1852" s="35"/>
      <c r="AM1852" s="35"/>
      <c r="AN1852" s="35"/>
      <c r="AO1852" s="35"/>
      <c r="AP1852" s="35"/>
      <c r="AQ1852" s="35"/>
      <c r="AR1852" s="35"/>
      <c r="AS1852" s="35"/>
      <c r="AT1852" s="35"/>
      <c r="AU1852" s="35"/>
      <c r="AV1852" s="35"/>
      <c r="AW1852" s="35"/>
      <c r="AX1852" s="35"/>
      <c r="AY1852" s="35"/>
      <c r="AZ1852" s="35"/>
      <c r="BA1852" s="35"/>
      <c r="BB1852" s="35"/>
      <c r="BC1852" s="35"/>
      <c r="BD1852" s="35"/>
      <c r="BE1852" s="35"/>
      <c r="BF1852" s="35"/>
      <c r="BG1852" s="35"/>
    </row>
    <row r="1853" ht="15.75" customHeight="1">
      <c r="A1853" s="35"/>
      <c r="B1853" s="35"/>
      <c r="C1853" s="35"/>
      <c r="D1853" s="35"/>
      <c r="E1853" s="35"/>
      <c r="F1853" s="35"/>
      <c r="G1853" s="35"/>
      <c r="H1853" s="35"/>
      <c r="I1853" s="35"/>
      <c r="J1853" s="35"/>
      <c r="K1853" s="35"/>
      <c r="L1853" s="35"/>
      <c r="M1853" s="35"/>
      <c r="N1853" s="35"/>
      <c r="O1853" s="35"/>
      <c r="P1853" s="35"/>
      <c r="Q1853" s="35"/>
      <c r="R1853" s="35"/>
      <c r="S1853" s="35"/>
      <c r="T1853" s="35"/>
      <c r="U1853" s="35"/>
      <c r="V1853" s="35"/>
      <c r="W1853" s="35"/>
      <c r="X1853" s="35"/>
      <c r="Y1853" s="35"/>
      <c r="Z1853" s="35"/>
      <c r="AA1853" s="35"/>
      <c r="AB1853" s="35"/>
      <c r="AC1853" s="35"/>
      <c r="AD1853" s="35"/>
      <c r="AE1853" s="35"/>
      <c r="AF1853" s="35"/>
      <c r="AG1853" s="35"/>
      <c r="AH1853" s="35"/>
      <c r="AI1853" s="35"/>
      <c r="AJ1853" s="35"/>
      <c r="AK1853" s="35"/>
      <c r="AL1853" s="35"/>
      <c r="AM1853" s="35"/>
      <c r="AN1853" s="35"/>
      <c r="AO1853" s="35"/>
      <c r="AP1853" s="35"/>
      <c r="AQ1853" s="35"/>
      <c r="AR1853" s="35"/>
      <c r="AS1853" s="35"/>
      <c r="AT1853" s="35"/>
      <c r="AU1853" s="35"/>
      <c r="AV1853" s="35"/>
      <c r="AW1853" s="35"/>
      <c r="AX1853" s="35"/>
      <c r="AY1853" s="35"/>
      <c r="AZ1853" s="35"/>
      <c r="BA1853" s="35"/>
      <c r="BB1853" s="35"/>
      <c r="BC1853" s="35"/>
      <c r="BD1853" s="35"/>
      <c r="BE1853" s="35"/>
      <c r="BF1853" s="35"/>
      <c r="BG1853" s="35"/>
    </row>
    <row r="1854" ht="15.75" customHeight="1">
      <c r="A1854" s="35"/>
      <c r="B1854" s="35"/>
      <c r="C1854" s="35"/>
      <c r="D1854" s="35"/>
      <c r="E1854" s="35"/>
      <c r="F1854" s="35"/>
      <c r="G1854" s="35"/>
      <c r="H1854" s="35"/>
      <c r="I1854" s="35"/>
      <c r="J1854" s="35"/>
      <c r="K1854" s="35"/>
      <c r="L1854" s="35"/>
      <c r="M1854" s="35"/>
      <c r="N1854" s="35"/>
      <c r="O1854" s="35"/>
      <c r="P1854" s="35"/>
      <c r="Q1854" s="35"/>
      <c r="R1854" s="35"/>
      <c r="S1854" s="35"/>
      <c r="T1854" s="35"/>
      <c r="U1854" s="35"/>
      <c r="V1854" s="35"/>
      <c r="W1854" s="35"/>
      <c r="X1854" s="35"/>
      <c r="Y1854" s="35"/>
      <c r="Z1854" s="35"/>
      <c r="AA1854" s="35"/>
      <c r="AB1854" s="35"/>
      <c r="AC1854" s="35"/>
      <c r="AD1854" s="35"/>
      <c r="AE1854" s="35"/>
      <c r="AF1854" s="35"/>
      <c r="AG1854" s="35"/>
      <c r="AH1854" s="35"/>
      <c r="AI1854" s="35"/>
      <c r="AJ1854" s="35"/>
      <c r="AK1854" s="35"/>
      <c r="AL1854" s="35"/>
      <c r="AM1854" s="35"/>
      <c r="AN1854" s="35"/>
      <c r="AO1854" s="35"/>
      <c r="AP1854" s="35"/>
      <c r="AQ1854" s="35"/>
      <c r="AR1854" s="35"/>
      <c r="AS1854" s="35"/>
      <c r="AT1854" s="35"/>
      <c r="AU1854" s="35"/>
      <c r="AV1854" s="35"/>
      <c r="AW1854" s="35"/>
      <c r="AX1854" s="35"/>
      <c r="AY1854" s="35"/>
      <c r="AZ1854" s="35"/>
      <c r="BA1854" s="35"/>
      <c r="BB1854" s="35"/>
      <c r="BC1854" s="35"/>
      <c r="BD1854" s="35"/>
      <c r="BE1854" s="35"/>
      <c r="BF1854" s="35"/>
      <c r="BG1854" s="35"/>
    </row>
    <row r="1855" ht="15.75" customHeight="1">
      <c r="A1855" s="35"/>
      <c r="B1855" s="35"/>
      <c r="C1855" s="35"/>
      <c r="D1855" s="35"/>
      <c r="E1855" s="35"/>
      <c r="F1855" s="35"/>
      <c r="G1855" s="35"/>
      <c r="H1855" s="35"/>
      <c r="I1855" s="35"/>
      <c r="J1855" s="35"/>
      <c r="K1855" s="35"/>
      <c r="L1855" s="35"/>
      <c r="M1855" s="35"/>
      <c r="N1855" s="35"/>
      <c r="O1855" s="35"/>
      <c r="P1855" s="35"/>
      <c r="Q1855" s="35"/>
      <c r="R1855" s="35"/>
      <c r="S1855" s="35"/>
      <c r="T1855" s="35"/>
      <c r="U1855" s="35"/>
      <c r="V1855" s="35"/>
      <c r="W1855" s="35"/>
      <c r="X1855" s="35"/>
      <c r="Y1855" s="35"/>
      <c r="Z1855" s="35"/>
      <c r="AA1855" s="35"/>
      <c r="AB1855" s="35"/>
      <c r="AC1855" s="35"/>
      <c r="AD1855" s="35"/>
      <c r="AE1855" s="35"/>
      <c r="AF1855" s="35"/>
      <c r="AG1855" s="35"/>
      <c r="AH1855" s="35"/>
      <c r="AI1855" s="35"/>
      <c r="AJ1855" s="35"/>
      <c r="AK1855" s="35"/>
      <c r="AL1855" s="35"/>
      <c r="AM1855" s="35"/>
      <c r="AN1855" s="35"/>
      <c r="AO1855" s="35"/>
      <c r="AP1855" s="35"/>
      <c r="AQ1855" s="35"/>
      <c r="AR1855" s="35"/>
      <c r="AS1855" s="35"/>
      <c r="AT1855" s="35"/>
      <c r="AU1855" s="35"/>
      <c r="AV1855" s="35"/>
      <c r="AW1855" s="35"/>
      <c r="AX1855" s="35"/>
      <c r="AY1855" s="35"/>
      <c r="AZ1855" s="35"/>
      <c r="BA1855" s="35"/>
      <c r="BB1855" s="35"/>
      <c r="BC1855" s="35"/>
      <c r="BD1855" s="35"/>
      <c r="BE1855" s="35"/>
      <c r="BF1855" s="35"/>
      <c r="BG1855" s="35"/>
    </row>
    <row r="1856" ht="15.75" customHeight="1">
      <c r="A1856" s="35"/>
      <c r="B1856" s="35"/>
      <c r="C1856" s="35"/>
      <c r="D1856" s="35"/>
      <c r="E1856" s="35"/>
      <c r="F1856" s="35"/>
      <c r="G1856" s="35"/>
      <c r="H1856" s="35"/>
      <c r="I1856" s="35"/>
      <c r="J1856" s="35"/>
      <c r="K1856" s="35"/>
      <c r="L1856" s="35"/>
      <c r="M1856" s="35"/>
      <c r="N1856" s="35"/>
      <c r="O1856" s="35"/>
      <c r="P1856" s="35"/>
      <c r="Q1856" s="35"/>
      <c r="R1856" s="35"/>
      <c r="S1856" s="35"/>
      <c r="T1856" s="35"/>
      <c r="U1856" s="35"/>
      <c r="V1856" s="35"/>
      <c r="W1856" s="35"/>
      <c r="X1856" s="35"/>
      <c r="Y1856" s="35"/>
      <c r="Z1856" s="35"/>
      <c r="AA1856" s="35"/>
      <c r="AB1856" s="35"/>
      <c r="AC1856" s="35"/>
      <c r="AD1856" s="35"/>
      <c r="AE1856" s="35"/>
      <c r="AF1856" s="35"/>
      <c r="AG1856" s="35"/>
      <c r="AH1856" s="35"/>
      <c r="AI1856" s="35"/>
      <c r="AJ1856" s="35"/>
      <c r="AK1856" s="35"/>
      <c r="AL1856" s="35"/>
      <c r="AM1856" s="35"/>
      <c r="AN1856" s="35"/>
      <c r="AO1856" s="35"/>
      <c r="AP1856" s="35"/>
      <c r="AQ1856" s="35"/>
      <c r="AR1856" s="35"/>
      <c r="AS1856" s="35"/>
      <c r="AT1856" s="35"/>
      <c r="AU1856" s="35"/>
      <c r="AV1856" s="35"/>
      <c r="AW1856" s="35"/>
      <c r="AX1856" s="35"/>
      <c r="AY1856" s="35"/>
      <c r="AZ1856" s="35"/>
      <c r="BA1856" s="35"/>
      <c r="BB1856" s="35"/>
      <c r="BC1856" s="35"/>
      <c r="BD1856" s="35"/>
      <c r="BE1856" s="35"/>
      <c r="BF1856" s="35"/>
      <c r="BG1856" s="35"/>
    </row>
    <row r="1857" ht="15.75" customHeight="1">
      <c r="A1857" s="35"/>
      <c r="B1857" s="35"/>
      <c r="C1857" s="35"/>
      <c r="D1857" s="35"/>
      <c r="E1857" s="35"/>
      <c r="F1857" s="35"/>
      <c r="G1857" s="35"/>
      <c r="H1857" s="35"/>
      <c r="I1857" s="35"/>
      <c r="J1857" s="35"/>
      <c r="K1857" s="35"/>
      <c r="L1857" s="35"/>
      <c r="M1857" s="35"/>
      <c r="N1857" s="35"/>
      <c r="O1857" s="35"/>
      <c r="P1857" s="35"/>
      <c r="Q1857" s="35"/>
      <c r="R1857" s="35"/>
      <c r="S1857" s="35"/>
      <c r="T1857" s="35"/>
      <c r="U1857" s="35"/>
      <c r="V1857" s="35"/>
      <c r="W1857" s="35"/>
      <c r="X1857" s="35"/>
      <c r="Y1857" s="35"/>
      <c r="Z1857" s="35"/>
      <c r="AA1857" s="35"/>
      <c r="AB1857" s="35"/>
      <c r="AC1857" s="35"/>
      <c r="AD1857" s="35"/>
      <c r="AE1857" s="35"/>
      <c r="AF1857" s="35"/>
      <c r="AG1857" s="35"/>
      <c r="AH1857" s="35"/>
      <c r="AI1857" s="35"/>
      <c r="AJ1857" s="35"/>
      <c r="AK1857" s="35"/>
      <c r="AL1857" s="35"/>
      <c r="AM1857" s="35"/>
      <c r="AN1857" s="35"/>
      <c r="AO1857" s="35"/>
      <c r="AP1857" s="35"/>
      <c r="AQ1857" s="35"/>
      <c r="AR1857" s="35"/>
      <c r="AS1857" s="35"/>
      <c r="AT1857" s="35"/>
      <c r="AU1857" s="35"/>
      <c r="AV1857" s="35"/>
      <c r="AW1857" s="35"/>
      <c r="AX1857" s="35"/>
      <c r="AY1857" s="35"/>
      <c r="AZ1857" s="35"/>
      <c r="BA1857" s="35"/>
      <c r="BB1857" s="35"/>
      <c r="BC1857" s="35"/>
      <c r="BD1857" s="35"/>
      <c r="BE1857" s="35"/>
      <c r="BF1857" s="35"/>
      <c r="BG1857" s="35"/>
    </row>
    <row r="1858" ht="15.75" customHeight="1">
      <c r="A1858" s="35"/>
      <c r="B1858" s="35"/>
      <c r="C1858" s="35"/>
      <c r="D1858" s="35"/>
      <c r="E1858" s="35"/>
      <c r="F1858" s="35"/>
      <c r="G1858" s="35"/>
      <c r="H1858" s="35"/>
      <c r="I1858" s="35"/>
      <c r="J1858" s="35"/>
      <c r="K1858" s="35"/>
      <c r="L1858" s="35"/>
      <c r="M1858" s="35"/>
      <c r="N1858" s="35"/>
      <c r="O1858" s="35"/>
      <c r="P1858" s="35"/>
      <c r="Q1858" s="35"/>
      <c r="R1858" s="35"/>
      <c r="S1858" s="35"/>
      <c r="T1858" s="35"/>
      <c r="U1858" s="35"/>
      <c r="V1858" s="35"/>
      <c r="W1858" s="35"/>
      <c r="X1858" s="35"/>
      <c r="Y1858" s="35"/>
      <c r="Z1858" s="35"/>
      <c r="AA1858" s="35"/>
      <c r="AB1858" s="35"/>
      <c r="AC1858" s="35"/>
      <c r="AD1858" s="35"/>
      <c r="AE1858" s="35"/>
      <c r="AF1858" s="35"/>
      <c r="AG1858" s="35"/>
      <c r="AH1858" s="35"/>
      <c r="AI1858" s="35"/>
      <c r="AJ1858" s="35"/>
      <c r="AK1858" s="35"/>
      <c r="AL1858" s="35"/>
      <c r="AM1858" s="35"/>
      <c r="AN1858" s="35"/>
      <c r="AO1858" s="35"/>
      <c r="AP1858" s="35"/>
      <c r="AQ1858" s="35"/>
      <c r="AR1858" s="35"/>
      <c r="AS1858" s="35"/>
      <c r="AT1858" s="35"/>
      <c r="AU1858" s="35"/>
      <c r="AV1858" s="35"/>
      <c r="AW1858" s="35"/>
      <c r="AX1858" s="35"/>
      <c r="AY1858" s="35"/>
      <c r="AZ1858" s="35"/>
      <c r="BA1858" s="35"/>
      <c r="BB1858" s="35"/>
      <c r="BC1858" s="35"/>
      <c r="BD1858" s="35"/>
      <c r="BE1858" s="35"/>
      <c r="BF1858" s="35"/>
      <c r="BG1858" s="35"/>
    </row>
    <row r="1859" ht="15.75" customHeight="1">
      <c r="A1859" s="35"/>
      <c r="B1859" s="35"/>
      <c r="C1859" s="35"/>
      <c r="D1859" s="35"/>
      <c r="E1859" s="35"/>
      <c r="F1859" s="35"/>
      <c r="G1859" s="35"/>
      <c r="H1859" s="35"/>
      <c r="I1859" s="35"/>
      <c r="J1859" s="35"/>
      <c r="K1859" s="35"/>
      <c r="L1859" s="35"/>
      <c r="M1859" s="35"/>
      <c r="N1859" s="35"/>
      <c r="O1859" s="35"/>
      <c r="P1859" s="35"/>
      <c r="Q1859" s="35"/>
      <c r="R1859" s="35"/>
      <c r="S1859" s="35"/>
      <c r="T1859" s="35"/>
      <c r="U1859" s="35"/>
      <c r="V1859" s="35"/>
      <c r="W1859" s="35"/>
      <c r="X1859" s="35"/>
      <c r="Y1859" s="35"/>
      <c r="Z1859" s="35"/>
      <c r="AA1859" s="35"/>
      <c r="AB1859" s="35"/>
      <c r="AC1859" s="35"/>
      <c r="AD1859" s="35"/>
      <c r="AE1859" s="35"/>
      <c r="AF1859" s="35"/>
      <c r="AG1859" s="35"/>
      <c r="AH1859" s="35"/>
      <c r="AI1859" s="35"/>
      <c r="AJ1859" s="35"/>
      <c r="AK1859" s="35"/>
      <c r="AL1859" s="35"/>
      <c r="AM1859" s="35"/>
      <c r="AN1859" s="35"/>
      <c r="AO1859" s="35"/>
      <c r="AP1859" s="35"/>
      <c r="AQ1859" s="35"/>
      <c r="AR1859" s="35"/>
      <c r="AS1859" s="35"/>
      <c r="AT1859" s="35"/>
      <c r="AU1859" s="35"/>
      <c r="AV1859" s="35"/>
      <c r="AW1859" s="35"/>
      <c r="AX1859" s="35"/>
      <c r="AY1859" s="35"/>
      <c r="AZ1859" s="35"/>
      <c r="BA1859" s="35"/>
      <c r="BB1859" s="35"/>
      <c r="BC1859" s="35"/>
      <c r="BD1859" s="35"/>
      <c r="BE1859" s="35"/>
      <c r="BF1859" s="35"/>
      <c r="BG1859" s="35"/>
    </row>
    <row r="1860" ht="15.75" customHeight="1">
      <c r="A1860" s="35"/>
      <c r="B1860" s="35"/>
      <c r="C1860" s="35"/>
      <c r="D1860" s="35"/>
      <c r="E1860" s="35"/>
      <c r="F1860" s="35"/>
      <c r="G1860" s="35"/>
      <c r="H1860" s="35"/>
      <c r="I1860" s="35"/>
      <c r="J1860" s="35"/>
      <c r="K1860" s="35"/>
      <c r="L1860" s="35"/>
      <c r="M1860" s="35"/>
      <c r="N1860" s="35"/>
      <c r="O1860" s="35"/>
      <c r="P1860" s="35"/>
      <c r="Q1860" s="35"/>
      <c r="R1860" s="35"/>
      <c r="S1860" s="35"/>
      <c r="T1860" s="35"/>
      <c r="U1860" s="35"/>
      <c r="V1860" s="35"/>
      <c r="W1860" s="35"/>
      <c r="X1860" s="35"/>
      <c r="Y1860" s="35"/>
      <c r="Z1860" s="35"/>
      <c r="AA1860" s="35"/>
      <c r="AB1860" s="35"/>
      <c r="AC1860" s="35"/>
      <c r="AD1860" s="35"/>
      <c r="AE1860" s="35"/>
      <c r="AF1860" s="35"/>
      <c r="AG1860" s="35"/>
      <c r="AH1860" s="35"/>
      <c r="AI1860" s="35"/>
      <c r="AJ1860" s="35"/>
      <c r="AK1860" s="35"/>
      <c r="AL1860" s="35"/>
      <c r="AM1860" s="35"/>
      <c r="AN1860" s="35"/>
      <c r="AO1860" s="35"/>
      <c r="AP1860" s="35"/>
      <c r="AQ1860" s="35"/>
      <c r="AR1860" s="35"/>
      <c r="AS1860" s="35"/>
      <c r="AT1860" s="35"/>
      <c r="AU1860" s="35"/>
      <c r="AV1860" s="35"/>
      <c r="AW1860" s="35"/>
      <c r="AX1860" s="35"/>
      <c r="AY1860" s="35"/>
      <c r="AZ1860" s="35"/>
      <c r="BA1860" s="35"/>
      <c r="BB1860" s="35"/>
      <c r="BC1860" s="35"/>
      <c r="BD1860" s="35"/>
      <c r="BE1860" s="35"/>
      <c r="BF1860" s="35"/>
      <c r="BG1860" s="35"/>
    </row>
    <row r="1861" ht="15.75" customHeight="1">
      <c r="A1861" s="35"/>
      <c r="B1861" s="35"/>
      <c r="C1861" s="35"/>
      <c r="D1861" s="35"/>
      <c r="E1861" s="35"/>
      <c r="F1861" s="35"/>
      <c r="G1861" s="35"/>
      <c r="H1861" s="35"/>
      <c r="I1861" s="35"/>
      <c r="J1861" s="35"/>
      <c r="K1861" s="35"/>
      <c r="L1861" s="35"/>
      <c r="M1861" s="35"/>
      <c r="N1861" s="35"/>
      <c r="O1861" s="35"/>
      <c r="P1861" s="35"/>
      <c r="Q1861" s="35"/>
      <c r="R1861" s="35"/>
      <c r="S1861" s="35"/>
      <c r="T1861" s="35"/>
      <c r="U1861" s="35"/>
      <c r="V1861" s="35"/>
      <c r="W1861" s="35"/>
      <c r="X1861" s="35"/>
      <c r="Y1861" s="35"/>
      <c r="Z1861" s="35"/>
      <c r="AA1861" s="35"/>
      <c r="AB1861" s="35"/>
      <c r="AC1861" s="35"/>
      <c r="AD1861" s="35"/>
      <c r="AE1861" s="35"/>
      <c r="AF1861" s="35"/>
      <c r="AG1861" s="35"/>
      <c r="AH1861" s="35"/>
      <c r="AI1861" s="35"/>
      <c r="AJ1861" s="35"/>
      <c r="AK1861" s="35"/>
      <c r="AL1861" s="35"/>
      <c r="AM1861" s="35"/>
      <c r="AN1861" s="35"/>
      <c r="AO1861" s="35"/>
      <c r="AP1861" s="35"/>
      <c r="AQ1861" s="35"/>
      <c r="AR1861" s="35"/>
      <c r="AS1861" s="35"/>
      <c r="AT1861" s="35"/>
      <c r="AU1861" s="35"/>
      <c r="AV1861" s="35"/>
      <c r="AW1861" s="35"/>
      <c r="AX1861" s="35"/>
      <c r="AY1861" s="35"/>
      <c r="AZ1861" s="35"/>
      <c r="BA1861" s="35"/>
      <c r="BB1861" s="35"/>
      <c r="BC1861" s="35"/>
      <c r="BD1861" s="35"/>
      <c r="BE1861" s="35"/>
      <c r="BF1861" s="35"/>
      <c r="BG1861" s="35"/>
    </row>
    <row r="1862" ht="15.75" customHeight="1">
      <c r="A1862" s="35"/>
      <c r="B1862" s="35"/>
      <c r="C1862" s="35"/>
      <c r="D1862" s="35"/>
      <c r="E1862" s="35"/>
      <c r="F1862" s="35"/>
      <c r="G1862" s="35"/>
      <c r="H1862" s="35"/>
      <c r="I1862" s="35"/>
      <c r="J1862" s="35"/>
      <c r="K1862" s="35"/>
      <c r="L1862" s="35"/>
      <c r="M1862" s="35"/>
      <c r="N1862" s="35"/>
      <c r="O1862" s="35"/>
      <c r="P1862" s="35"/>
      <c r="Q1862" s="35"/>
      <c r="R1862" s="35"/>
      <c r="S1862" s="35"/>
      <c r="T1862" s="35"/>
      <c r="U1862" s="35"/>
      <c r="V1862" s="35"/>
      <c r="W1862" s="35"/>
      <c r="X1862" s="35"/>
      <c r="Y1862" s="35"/>
      <c r="Z1862" s="35"/>
      <c r="AA1862" s="35"/>
      <c r="AB1862" s="35"/>
      <c r="AC1862" s="35"/>
      <c r="AD1862" s="35"/>
      <c r="AE1862" s="35"/>
      <c r="AF1862" s="35"/>
      <c r="AG1862" s="35"/>
      <c r="AH1862" s="35"/>
      <c r="AI1862" s="35"/>
      <c r="AJ1862" s="35"/>
      <c r="AK1862" s="35"/>
      <c r="AL1862" s="35"/>
      <c r="AM1862" s="35"/>
      <c r="AN1862" s="35"/>
      <c r="AO1862" s="35"/>
      <c r="AP1862" s="35"/>
      <c r="AQ1862" s="35"/>
      <c r="AR1862" s="35"/>
      <c r="AS1862" s="35"/>
      <c r="AT1862" s="35"/>
      <c r="AU1862" s="35"/>
      <c r="AV1862" s="35"/>
      <c r="AW1862" s="35"/>
      <c r="AX1862" s="35"/>
      <c r="AY1862" s="35"/>
      <c r="AZ1862" s="35"/>
      <c r="BA1862" s="35"/>
      <c r="BB1862" s="35"/>
      <c r="BC1862" s="35"/>
      <c r="BD1862" s="35"/>
      <c r="BE1862" s="35"/>
      <c r="BF1862" s="35"/>
      <c r="BG1862" s="35"/>
    </row>
    <row r="1863" ht="15.75" customHeight="1">
      <c r="A1863" s="35"/>
      <c r="B1863" s="35"/>
      <c r="C1863" s="35"/>
      <c r="D1863" s="35"/>
      <c r="E1863" s="35"/>
      <c r="F1863" s="35"/>
      <c r="G1863" s="35"/>
      <c r="H1863" s="35"/>
      <c r="I1863" s="35"/>
      <c r="J1863" s="35"/>
      <c r="K1863" s="35"/>
      <c r="L1863" s="35"/>
      <c r="M1863" s="35"/>
      <c r="N1863" s="35"/>
      <c r="O1863" s="35"/>
      <c r="P1863" s="35"/>
      <c r="Q1863" s="35"/>
      <c r="R1863" s="35"/>
      <c r="S1863" s="35"/>
      <c r="T1863" s="35"/>
      <c r="U1863" s="35"/>
      <c r="V1863" s="35"/>
      <c r="W1863" s="35"/>
      <c r="X1863" s="35"/>
      <c r="Y1863" s="35"/>
      <c r="Z1863" s="35"/>
      <c r="AA1863" s="35"/>
      <c r="AB1863" s="35"/>
      <c r="AC1863" s="35"/>
      <c r="AD1863" s="35"/>
      <c r="AE1863" s="35"/>
      <c r="AF1863" s="35"/>
      <c r="AG1863" s="35"/>
      <c r="AH1863" s="35"/>
      <c r="AI1863" s="35"/>
      <c r="AJ1863" s="35"/>
      <c r="AK1863" s="35"/>
      <c r="AL1863" s="35"/>
      <c r="AM1863" s="35"/>
      <c r="AN1863" s="35"/>
      <c r="AO1863" s="35"/>
      <c r="AP1863" s="35"/>
      <c r="AQ1863" s="35"/>
      <c r="AR1863" s="35"/>
      <c r="AS1863" s="35"/>
      <c r="AT1863" s="35"/>
      <c r="AU1863" s="35"/>
      <c r="AV1863" s="35"/>
      <c r="AW1863" s="35"/>
      <c r="AX1863" s="35"/>
      <c r="AY1863" s="35"/>
      <c r="AZ1863" s="35"/>
      <c r="BA1863" s="35"/>
      <c r="BB1863" s="35"/>
      <c r="BC1863" s="35"/>
      <c r="BD1863" s="35"/>
      <c r="BE1863" s="35"/>
      <c r="BF1863" s="35"/>
      <c r="BG1863" s="35"/>
    </row>
    <row r="1864" ht="15.75" customHeight="1">
      <c r="A1864" s="35"/>
      <c r="B1864" s="35"/>
      <c r="C1864" s="35"/>
      <c r="D1864" s="35"/>
      <c r="E1864" s="35"/>
      <c r="F1864" s="35"/>
      <c r="G1864" s="35"/>
      <c r="H1864" s="35"/>
      <c r="I1864" s="35"/>
      <c r="J1864" s="35"/>
      <c r="K1864" s="35"/>
      <c r="L1864" s="35"/>
      <c r="M1864" s="35"/>
      <c r="N1864" s="35"/>
      <c r="O1864" s="35"/>
      <c r="P1864" s="35"/>
      <c r="Q1864" s="35"/>
      <c r="R1864" s="35"/>
      <c r="S1864" s="35"/>
      <c r="T1864" s="35"/>
      <c r="U1864" s="35"/>
      <c r="V1864" s="35"/>
      <c r="W1864" s="35"/>
      <c r="X1864" s="35"/>
      <c r="Y1864" s="35"/>
      <c r="Z1864" s="35"/>
      <c r="AA1864" s="35"/>
      <c r="AB1864" s="35"/>
      <c r="AC1864" s="35"/>
      <c r="AD1864" s="35"/>
      <c r="AE1864" s="35"/>
      <c r="AF1864" s="35"/>
      <c r="AG1864" s="35"/>
      <c r="AH1864" s="35"/>
      <c r="AI1864" s="35"/>
      <c r="AJ1864" s="35"/>
      <c r="AK1864" s="35"/>
      <c r="AL1864" s="35"/>
      <c r="AM1864" s="35"/>
      <c r="AN1864" s="35"/>
      <c r="AO1864" s="35"/>
      <c r="AP1864" s="35"/>
      <c r="AQ1864" s="35"/>
      <c r="AR1864" s="35"/>
      <c r="AS1864" s="35"/>
      <c r="AT1864" s="35"/>
      <c r="AU1864" s="35"/>
      <c r="AV1864" s="35"/>
      <c r="AW1864" s="35"/>
      <c r="AX1864" s="35"/>
      <c r="AY1864" s="35"/>
      <c r="AZ1864" s="35"/>
      <c r="BA1864" s="35"/>
      <c r="BB1864" s="35"/>
      <c r="BC1864" s="35"/>
      <c r="BD1864" s="35"/>
      <c r="BE1864" s="35"/>
      <c r="BF1864" s="35"/>
      <c r="BG1864" s="35"/>
    </row>
    <row r="1865" ht="15.75" customHeight="1">
      <c r="A1865" s="35"/>
      <c r="B1865" s="35"/>
      <c r="C1865" s="35"/>
      <c r="D1865" s="35"/>
      <c r="E1865" s="35"/>
      <c r="F1865" s="35"/>
      <c r="G1865" s="35"/>
      <c r="H1865" s="35"/>
      <c r="I1865" s="35"/>
      <c r="J1865" s="35"/>
      <c r="K1865" s="35"/>
      <c r="L1865" s="35"/>
      <c r="M1865" s="35"/>
      <c r="N1865" s="35"/>
      <c r="O1865" s="35"/>
      <c r="P1865" s="35"/>
      <c r="Q1865" s="35"/>
      <c r="R1865" s="35"/>
      <c r="S1865" s="35"/>
      <c r="T1865" s="35"/>
      <c r="U1865" s="35"/>
      <c r="V1865" s="35"/>
      <c r="W1865" s="35"/>
      <c r="X1865" s="35"/>
      <c r="Y1865" s="35"/>
      <c r="Z1865" s="35"/>
      <c r="AA1865" s="35"/>
      <c r="AB1865" s="35"/>
      <c r="AC1865" s="35"/>
      <c r="AD1865" s="35"/>
      <c r="AE1865" s="35"/>
      <c r="AF1865" s="35"/>
      <c r="AG1865" s="35"/>
      <c r="AH1865" s="35"/>
      <c r="AI1865" s="35"/>
      <c r="AJ1865" s="35"/>
      <c r="AK1865" s="35"/>
      <c r="AL1865" s="35"/>
      <c r="AM1865" s="35"/>
      <c r="AN1865" s="35"/>
      <c r="AO1865" s="35"/>
      <c r="AP1865" s="35"/>
      <c r="AQ1865" s="35"/>
      <c r="AR1865" s="35"/>
      <c r="AS1865" s="35"/>
      <c r="AT1865" s="35"/>
      <c r="AU1865" s="35"/>
      <c r="AV1865" s="35"/>
      <c r="AW1865" s="35"/>
      <c r="AX1865" s="35"/>
      <c r="AY1865" s="35"/>
      <c r="AZ1865" s="35"/>
      <c r="BA1865" s="35"/>
      <c r="BB1865" s="35"/>
      <c r="BC1865" s="35"/>
      <c r="BD1865" s="35"/>
      <c r="BE1865" s="35"/>
      <c r="BF1865" s="35"/>
      <c r="BG1865" s="35"/>
    </row>
    <row r="1866" ht="15.75" customHeight="1">
      <c r="A1866" s="35"/>
      <c r="B1866" s="35"/>
      <c r="C1866" s="35"/>
      <c r="D1866" s="35"/>
      <c r="E1866" s="35"/>
      <c r="F1866" s="35"/>
      <c r="G1866" s="35"/>
      <c r="H1866" s="35"/>
      <c r="I1866" s="35"/>
      <c r="J1866" s="35"/>
      <c r="K1866" s="35"/>
      <c r="L1866" s="35"/>
      <c r="M1866" s="35"/>
      <c r="N1866" s="35"/>
      <c r="O1866" s="35"/>
      <c r="P1866" s="35"/>
      <c r="Q1866" s="35"/>
      <c r="R1866" s="35"/>
      <c r="S1866" s="35"/>
      <c r="T1866" s="35"/>
      <c r="U1866" s="35"/>
      <c r="V1866" s="35"/>
      <c r="W1866" s="35"/>
      <c r="X1866" s="35"/>
      <c r="Y1866" s="35"/>
      <c r="Z1866" s="35"/>
      <c r="AA1866" s="35"/>
      <c r="AB1866" s="35"/>
      <c r="AC1866" s="35"/>
      <c r="AD1866" s="35"/>
      <c r="AE1866" s="35"/>
      <c r="AF1866" s="35"/>
      <c r="AG1866" s="35"/>
      <c r="AH1866" s="35"/>
      <c r="AI1866" s="35"/>
      <c r="AJ1866" s="35"/>
      <c r="AK1866" s="35"/>
      <c r="AL1866" s="35"/>
      <c r="AM1866" s="35"/>
      <c r="AN1866" s="35"/>
      <c r="AO1866" s="35"/>
      <c r="AP1866" s="35"/>
      <c r="AQ1866" s="35"/>
      <c r="AR1866" s="35"/>
      <c r="AS1866" s="35"/>
      <c r="AT1866" s="35"/>
      <c r="AU1866" s="35"/>
      <c r="AV1866" s="35"/>
      <c r="AW1866" s="35"/>
      <c r="AX1866" s="35"/>
      <c r="AY1866" s="35"/>
      <c r="AZ1866" s="35"/>
      <c r="BA1866" s="35"/>
      <c r="BB1866" s="35"/>
      <c r="BC1866" s="35"/>
      <c r="BD1866" s="35"/>
      <c r="BE1866" s="35"/>
      <c r="BF1866" s="35"/>
      <c r="BG1866" s="35"/>
    </row>
    <row r="1867" ht="15.75" customHeight="1">
      <c r="A1867" s="35"/>
      <c r="B1867" s="35"/>
      <c r="C1867" s="35"/>
      <c r="D1867" s="35"/>
      <c r="E1867" s="35"/>
      <c r="F1867" s="35"/>
      <c r="G1867" s="35"/>
      <c r="H1867" s="35"/>
      <c r="I1867" s="35"/>
      <c r="J1867" s="35"/>
      <c r="K1867" s="35"/>
      <c r="L1867" s="35"/>
      <c r="M1867" s="35"/>
      <c r="N1867" s="35"/>
      <c r="O1867" s="35"/>
      <c r="P1867" s="35"/>
      <c r="Q1867" s="35"/>
      <c r="R1867" s="35"/>
      <c r="S1867" s="35"/>
      <c r="T1867" s="35"/>
      <c r="U1867" s="35"/>
      <c r="V1867" s="35"/>
      <c r="W1867" s="35"/>
      <c r="X1867" s="35"/>
      <c r="Y1867" s="35"/>
      <c r="Z1867" s="35"/>
      <c r="AA1867" s="35"/>
      <c r="AB1867" s="35"/>
      <c r="AC1867" s="35"/>
      <c r="AD1867" s="35"/>
      <c r="AE1867" s="35"/>
      <c r="AF1867" s="35"/>
      <c r="AG1867" s="35"/>
      <c r="AH1867" s="35"/>
      <c r="AI1867" s="35"/>
      <c r="AJ1867" s="35"/>
      <c r="AK1867" s="35"/>
      <c r="AL1867" s="35"/>
      <c r="AM1867" s="35"/>
      <c r="AN1867" s="35"/>
      <c r="AO1867" s="35"/>
      <c r="AP1867" s="35"/>
      <c r="AQ1867" s="35"/>
      <c r="AR1867" s="35"/>
      <c r="AS1867" s="35"/>
      <c r="AT1867" s="35"/>
      <c r="AU1867" s="35"/>
      <c r="AV1867" s="35"/>
      <c r="AW1867" s="35"/>
      <c r="AX1867" s="35"/>
      <c r="AY1867" s="35"/>
      <c r="AZ1867" s="35"/>
      <c r="BA1867" s="35"/>
      <c r="BB1867" s="35"/>
      <c r="BC1867" s="35"/>
      <c r="BD1867" s="35"/>
      <c r="BE1867" s="35"/>
      <c r="BF1867" s="35"/>
      <c r="BG1867" s="35"/>
    </row>
    <row r="1868" ht="15.75" customHeight="1">
      <c r="A1868" s="35"/>
      <c r="B1868" s="35"/>
      <c r="C1868" s="35"/>
      <c r="D1868" s="35"/>
      <c r="E1868" s="35"/>
      <c r="F1868" s="35"/>
      <c r="G1868" s="35"/>
      <c r="H1868" s="35"/>
      <c r="I1868" s="35"/>
      <c r="J1868" s="35"/>
      <c r="K1868" s="35"/>
      <c r="L1868" s="35"/>
      <c r="M1868" s="35"/>
      <c r="N1868" s="35"/>
      <c r="O1868" s="35"/>
      <c r="P1868" s="35"/>
      <c r="Q1868" s="35"/>
      <c r="R1868" s="35"/>
      <c r="S1868" s="35"/>
      <c r="T1868" s="35"/>
      <c r="U1868" s="35"/>
      <c r="V1868" s="35"/>
      <c r="W1868" s="35"/>
      <c r="X1868" s="35"/>
      <c r="Y1868" s="35"/>
      <c r="Z1868" s="35"/>
      <c r="AA1868" s="35"/>
      <c r="AB1868" s="35"/>
      <c r="AC1868" s="35"/>
      <c r="AD1868" s="35"/>
      <c r="AE1868" s="35"/>
      <c r="AF1868" s="35"/>
      <c r="AG1868" s="35"/>
      <c r="AH1868" s="35"/>
      <c r="AI1868" s="35"/>
      <c r="AJ1868" s="35"/>
      <c r="AK1868" s="35"/>
      <c r="AL1868" s="35"/>
      <c r="AM1868" s="35"/>
      <c r="AN1868" s="35"/>
      <c r="AO1868" s="35"/>
      <c r="AP1868" s="35"/>
      <c r="AQ1868" s="35"/>
      <c r="AR1868" s="35"/>
      <c r="AS1868" s="35"/>
      <c r="AT1868" s="35"/>
      <c r="AU1868" s="35"/>
      <c r="AV1868" s="35"/>
      <c r="AW1868" s="35"/>
      <c r="AX1868" s="35"/>
      <c r="AY1868" s="35"/>
      <c r="AZ1868" s="35"/>
      <c r="BA1868" s="35"/>
      <c r="BB1868" s="35"/>
      <c r="BC1868" s="35"/>
      <c r="BD1868" s="35"/>
      <c r="BE1868" s="35"/>
      <c r="BF1868" s="35"/>
      <c r="BG1868" s="35"/>
    </row>
    <row r="1869" ht="15.75" customHeight="1">
      <c r="A1869" s="35"/>
      <c r="B1869" s="35"/>
      <c r="C1869" s="35"/>
      <c r="D1869" s="35"/>
      <c r="E1869" s="35"/>
      <c r="F1869" s="35"/>
      <c r="G1869" s="35"/>
      <c r="H1869" s="35"/>
      <c r="I1869" s="35"/>
      <c r="J1869" s="35"/>
      <c r="K1869" s="35"/>
      <c r="L1869" s="35"/>
      <c r="M1869" s="35"/>
      <c r="N1869" s="35"/>
      <c r="O1869" s="35"/>
      <c r="P1869" s="35"/>
      <c r="Q1869" s="35"/>
      <c r="R1869" s="35"/>
      <c r="S1869" s="35"/>
      <c r="T1869" s="35"/>
      <c r="U1869" s="35"/>
      <c r="V1869" s="35"/>
      <c r="W1869" s="35"/>
      <c r="X1869" s="35"/>
      <c r="Y1869" s="35"/>
      <c r="Z1869" s="35"/>
      <c r="AA1869" s="35"/>
      <c r="AB1869" s="35"/>
      <c r="AC1869" s="35"/>
      <c r="AD1869" s="35"/>
      <c r="AE1869" s="35"/>
      <c r="AF1869" s="35"/>
      <c r="AG1869" s="35"/>
      <c r="AH1869" s="35"/>
      <c r="AI1869" s="35"/>
      <c r="AJ1869" s="35"/>
      <c r="AK1869" s="35"/>
      <c r="AL1869" s="35"/>
      <c r="AM1869" s="35"/>
      <c r="AN1869" s="35"/>
      <c r="AO1869" s="35"/>
      <c r="AP1869" s="35"/>
      <c r="AQ1869" s="35"/>
      <c r="AR1869" s="35"/>
      <c r="AS1869" s="35"/>
      <c r="AT1869" s="35"/>
      <c r="AU1869" s="35"/>
      <c r="AV1869" s="35"/>
      <c r="AW1869" s="35"/>
      <c r="AX1869" s="35"/>
      <c r="AY1869" s="35"/>
      <c r="AZ1869" s="35"/>
      <c r="BA1869" s="35"/>
      <c r="BB1869" s="35"/>
      <c r="BC1869" s="35"/>
      <c r="BD1869" s="35"/>
      <c r="BE1869" s="35"/>
      <c r="BF1869" s="35"/>
      <c r="BG1869" s="35"/>
    </row>
    <row r="1870" ht="15.75" customHeight="1">
      <c r="A1870" s="35"/>
      <c r="B1870" s="35"/>
      <c r="C1870" s="35"/>
      <c r="D1870" s="35"/>
      <c r="E1870" s="35"/>
      <c r="F1870" s="35"/>
      <c r="G1870" s="35"/>
      <c r="H1870" s="35"/>
      <c r="I1870" s="35"/>
      <c r="J1870" s="35"/>
      <c r="K1870" s="35"/>
      <c r="L1870" s="35"/>
      <c r="M1870" s="35"/>
      <c r="N1870" s="35"/>
      <c r="O1870" s="35"/>
      <c r="P1870" s="35"/>
      <c r="Q1870" s="35"/>
      <c r="R1870" s="35"/>
      <c r="S1870" s="35"/>
      <c r="T1870" s="35"/>
      <c r="U1870" s="35"/>
      <c r="V1870" s="35"/>
      <c r="W1870" s="35"/>
      <c r="X1870" s="35"/>
      <c r="Y1870" s="35"/>
      <c r="Z1870" s="35"/>
      <c r="AA1870" s="35"/>
      <c r="AB1870" s="35"/>
      <c r="AC1870" s="35"/>
      <c r="AD1870" s="35"/>
      <c r="AE1870" s="35"/>
      <c r="AF1870" s="35"/>
      <c r="AG1870" s="35"/>
      <c r="AH1870" s="35"/>
      <c r="AI1870" s="35"/>
      <c r="AJ1870" s="35"/>
      <c r="AK1870" s="35"/>
      <c r="AL1870" s="35"/>
      <c r="AM1870" s="35"/>
      <c r="AN1870" s="35"/>
      <c r="AO1870" s="35"/>
      <c r="AP1870" s="35"/>
      <c r="AQ1870" s="35"/>
      <c r="AR1870" s="35"/>
      <c r="AS1870" s="35"/>
      <c r="AT1870" s="35"/>
      <c r="AU1870" s="35"/>
      <c r="AV1870" s="35"/>
      <c r="AW1870" s="35"/>
      <c r="AX1870" s="35"/>
      <c r="AY1870" s="35"/>
      <c r="AZ1870" s="35"/>
      <c r="BA1870" s="35"/>
      <c r="BB1870" s="35"/>
      <c r="BC1870" s="35"/>
      <c r="BD1870" s="35"/>
      <c r="BE1870" s="35"/>
      <c r="BF1870" s="35"/>
      <c r="BG1870" s="35"/>
    </row>
    <row r="1871" ht="15.75" customHeight="1">
      <c r="A1871" s="35"/>
      <c r="B1871" s="35"/>
      <c r="C1871" s="35"/>
      <c r="D1871" s="35"/>
      <c r="E1871" s="35"/>
      <c r="F1871" s="35"/>
      <c r="G1871" s="35"/>
      <c r="H1871" s="35"/>
      <c r="I1871" s="35"/>
      <c r="J1871" s="35"/>
      <c r="K1871" s="35"/>
      <c r="L1871" s="35"/>
      <c r="M1871" s="35"/>
      <c r="N1871" s="35"/>
      <c r="O1871" s="35"/>
      <c r="P1871" s="35"/>
      <c r="Q1871" s="35"/>
      <c r="R1871" s="35"/>
      <c r="S1871" s="35"/>
      <c r="T1871" s="35"/>
      <c r="U1871" s="35"/>
      <c r="V1871" s="35"/>
      <c r="W1871" s="35"/>
      <c r="X1871" s="35"/>
      <c r="Y1871" s="35"/>
      <c r="Z1871" s="35"/>
      <c r="AA1871" s="35"/>
      <c r="AB1871" s="35"/>
      <c r="AC1871" s="35"/>
      <c r="AD1871" s="35"/>
      <c r="AE1871" s="35"/>
      <c r="AF1871" s="35"/>
      <c r="AG1871" s="35"/>
      <c r="AH1871" s="35"/>
      <c r="AI1871" s="35"/>
      <c r="AJ1871" s="35"/>
      <c r="AK1871" s="35"/>
      <c r="AL1871" s="35"/>
      <c r="AM1871" s="35"/>
      <c r="AN1871" s="35"/>
      <c r="AO1871" s="35"/>
      <c r="AP1871" s="35"/>
      <c r="AQ1871" s="35"/>
      <c r="AR1871" s="35"/>
      <c r="AS1871" s="35"/>
      <c r="AT1871" s="35"/>
      <c r="AU1871" s="35"/>
      <c r="AV1871" s="35"/>
      <c r="AW1871" s="35"/>
      <c r="AX1871" s="35"/>
      <c r="AY1871" s="35"/>
      <c r="AZ1871" s="35"/>
      <c r="BA1871" s="35"/>
      <c r="BB1871" s="35"/>
      <c r="BC1871" s="35"/>
      <c r="BD1871" s="35"/>
      <c r="BE1871" s="35"/>
      <c r="BF1871" s="35"/>
      <c r="BG1871" s="35"/>
    </row>
    <row r="1872" ht="15.75" customHeight="1">
      <c r="A1872" s="35"/>
      <c r="B1872" s="35"/>
      <c r="C1872" s="35"/>
      <c r="D1872" s="35"/>
      <c r="E1872" s="35"/>
      <c r="F1872" s="35"/>
      <c r="G1872" s="35"/>
      <c r="H1872" s="35"/>
      <c r="I1872" s="35"/>
      <c r="J1872" s="35"/>
      <c r="K1872" s="35"/>
      <c r="L1872" s="35"/>
      <c r="M1872" s="35"/>
      <c r="N1872" s="35"/>
      <c r="O1872" s="35"/>
      <c r="P1872" s="35"/>
      <c r="Q1872" s="35"/>
      <c r="R1872" s="35"/>
      <c r="S1872" s="35"/>
      <c r="T1872" s="35"/>
      <c r="U1872" s="35"/>
      <c r="V1872" s="35"/>
      <c r="W1872" s="35"/>
      <c r="X1872" s="35"/>
      <c r="Y1872" s="35"/>
      <c r="Z1872" s="35"/>
      <c r="AA1872" s="35"/>
      <c r="AB1872" s="35"/>
      <c r="AC1872" s="35"/>
      <c r="AD1872" s="35"/>
      <c r="AE1872" s="35"/>
      <c r="AF1872" s="35"/>
      <c r="AG1872" s="35"/>
      <c r="AH1872" s="35"/>
      <c r="AI1872" s="35"/>
      <c r="AJ1872" s="35"/>
      <c r="AK1872" s="35"/>
      <c r="AL1872" s="35"/>
      <c r="AM1872" s="35"/>
      <c r="AN1872" s="35"/>
      <c r="AO1872" s="35"/>
      <c r="AP1872" s="35"/>
      <c r="AQ1872" s="35"/>
      <c r="AR1872" s="35"/>
      <c r="AS1872" s="35"/>
      <c r="AT1872" s="35"/>
      <c r="AU1872" s="35"/>
      <c r="AV1872" s="35"/>
      <c r="AW1872" s="35"/>
      <c r="AX1872" s="35"/>
      <c r="AY1872" s="35"/>
      <c r="AZ1872" s="35"/>
      <c r="BA1872" s="35"/>
      <c r="BB1872" s="35"/>
      <c r="BC1872" s="35"/>
      <c r="BD1872" s="35"/>
      <c r="BE1872" s="35"/>
      <c r="BF1872" s="35"/>
      <c r="BG1872" s="35"/>
    </row>
    <row r="1873" ht="15.75" customHeight="1">
      <c r="A1873" s="35"/>
      <c r="B1873" s="35"/>
      <c r="C1873" s="35"/>
      <c r="D1873" s="35"/>
      <c r="E1873" s="35"/>
      <c r="F1873" s="35"/>
      <c r="G1873" s="35"/>
      <c r="H1873" s="35"/>
      <c r="I1873" s="35"/>
      <c r="J1873" s="35"/>
      <c r="K1873" s="35"/>
      <c r="L1873" s="35"/>
      <c r="M1873" s="35"/>
      <c r="N1873" s="35"/>
      <c r="O1873" s="35"/>
      <c r="P1873" s="35"/>
      <c r="Q1873" s="35"/>
      <c r="R1873" s="35"/>
      <c r="S1873" s="35"/>
      <c r="T1873" s="35"/>
      <c r="U1873" s="35"/>
      <c r="V1873" s="35"/>
      <c r="W1873" s="35"/>
      <c r="X1873" s="35"/>
      <c r="Y1873" s="35"/>
      <c r="Z1873" s="35"/>
      <c r="AA1873" s="35"/>
      <c r="AB1873" s="35"/>
      <c r="AC1873" s="35"/>
      <c r="AD1873" s="35"/>
      <c r="AE1873" s="35"/>
      <c r="AF1873" s="35"/>
      <c r="AG1873" s="35"/>
      <c r="AH1873" s="35"/>
      <c r="AI1873" s="35"/>
      <c r="AJ1873" s="35"/>
      <c r="AK1873" s="35"/>
      <c r="AL1873" s="35"/>
      <c r="AM1873" s="35"/>
      <c r="AN1873" s="35"/>
      <c r="AO1873" s="35"/>
      <c r="AP1873" s="35"/>
      <c r="AQ1873" s="35"/>
      <c r="AR1873" s="35"/>
      <c r="AS1873" s="35"/>
      <c r="AT1873" s="35"/>
      <c r="AU1873" s="35"/>
      <c r="AV1873" s="35"/>
      <c r="AW1873" s="35"/>
      <c r="AX1873" s="35"/>
      <c r="AY1873" s="35"/>
      <c r="AZ1873" s="35"/>
      <c r="BA1873" s="35"/>
      <c r="BB1873" s="35"/>
      <c r="BC1873" s="35"/>
      <c r="BD1873" s="35"/>
      <c r="BE1873" s="35"/>
      <c r="BF1873" s="35"/>
      <c r="BG1873" s="35"/>
    </row>
    <row r="1874" ht="15.75" customHeight="1">
      <c r="A1874" s="35"/>
      <c r="B1874" s="35"/>
      <c r="C1874" s="35"/>
      <c r="D1874" s="35"/>
      <c r="E1874" s="35"/>
      <c r="F1874" s="35"/>
      <c r="G1874" s="35"/>
      <c r="H1874" s="35"/>
      <c r="I1874" s="35"/>
      <c r="J1874" s="35"/>
      <c r="K1874" s="35"/>
      <c r="L1874" s="35"/>
      <c r="M1874" s="35"/>
      <c r="N1874" s="35"/>
      <c r="O1874" s="35"/>
      <c r="P1874" s="35"/>
      <c r="Q1874" s="35"/>
      <c r="R1874" s="35"/>
      <c r="S1874" s="35"/>
      <c r="T1874" s="35"/>
      <c r="U1874" s="35"/>
      <c r="V1874" s="35"/>
      <c r="W1874" s="35"/>
      <c r="X1874" s="35"/>
      <c r="Y1874" s="35"/>
      <c r="Z1874" s="35"/>
      <c r="AA1874" s="35"/>
      <c r="AB1874" s="35"/>
      <c r="AC1874" s="35"/>
      <c r="AD1874" s="35"/>
      <c r="AE1874" s="35"/>
      <c r="AF1874" s="35"/>
      <c r="AG1874" s="35"/>
      <c r="AH1874" s="35"/>
      <c r="AI1874" s="35"/>
      <c r="AJ1874" s="35"/>
      <c r="AK1874" s="35"/>
      <c r="AL1874" s="35"/>
      <c r="AM1874" s="35"/>
      <c r="AN1874" s="35"/>
      <c r="AO1874" s="35"/>
      <c r="AP1874" s="35"/>
      <c r="AQ1874" s="35"/>
      <c r="AR1874" s="35"/>
      <c r="AS1874" s="35"/>
      <c r="AT1874" s="35"/>
      <c r="AU1874" s="35"/>
      <c r="AV1874" s="35"/>
      <c r="AW1874" s="35"/>
      <c r="AX1874" s="35"/>
      <c r="AY1874" s="35"/>
      <c r="AZ1874" s="35"/>
      <c r="BA1874" s="35"/>
      <c r="BB1874" s="35"/>
      <c r="BC1874" s="35"/>
      <c r="BD1874" s="35"/>
      <c r="BE1874" s="35"/>
      <c r="BF1874" s="35"/>
      <c r="BG1874" s="35"/>
    </row>
    <row r="1875" ht="15.75" customHeight="1">
      <c r="A1875" s="35"/>
      <c r="B1875" s="35"/>
      <c r="C1875" s="35"/>
      <c r="D1875" s="35"/>
      <c r="E1875" s="35"/>
      <c r="F1875" s="35"/>
      <c r="G1875" s="35"/>
      <c r="H1875" s="35"/>
      <c r="I1875" s="35"/>
      <c r="J1875" s="35"/>
      <c r="K1875" s="35"/>
      <c r="L1875" s="35"/>
      <c r="M1875" s="35"/>
      <c r="N1875" s="35"/>
      <c r="O1875" s="35"/>
      <c r="P1875" s="35"/>
      <c r="Q1875" s="35"/>
      <c r="R1875" s="35"/>
      <c r="S1875" s="35"/>
      <c r="T1875" s="35"/>
      <c r="U1875" s="35"/>
      <c r="V1875" s="35"/>
      <c r="W1875" s="35"/>
      <c r="X1875" s="35"/>
      <c r="Y1875" s="35"/>
      <c r="Z1875" s="35"/>
      <c r="AA1875" s="35"/>
      <c r="AB1875" s="35"/>
      <c r="AC1875" s="35"/>
      <c r="AD1875" s="35"/>
      <c r="AE1875" s="35"/>
      <c r="AF1875" s="35"/>
      <c r="AG1875" s="35"/>
      <c r="AH1875" s="35"/>
      <c r="AI1875" s="35"/>
      <c r="AJ1875" s="35"/>
      <c r="AK1875" s="35"/>
      <c r="AL1875" s="35"/>
      <c r="AM1875" s="35"/>
      <c r="AN1875" s="35"/>
      <c r="AO1875" s="35"/>
      <c r="AP1875" s="35"/>
      <c r="AQ1875" s="35"/>
      <c r="AR1875" s="35"/>
      <c r="AS1875" s="35"/>
      <c r="AT1875" s="35"/>
      <c r="AU1875" s="35"/>
      <c r="AV1875" s="35"/>
      <c r="AW1875" s="35"/>
      <c r="AX1875" s="35"/>
      <c r="AY1875" s="35"/>
      <c r="AZ1875" s="35"/>
      <c r="BA1875" s="35"/>
      <c r="BB1875" s="35"/>
      <c r="BC1875" s="35"/>
      <c r="BD1875" s="35"/>
      <c r="BE1875" s="35"/>
      <c r="BF1875" s="35"/>
      <c r="BG1875" s="35"/>
    </row>
    <row r="1876" ht="15.75" customHeight="1">
      <c r="A1876" s="35"/>
      <c r="B1876" s="35"/>
      <c r="C1876" s="35"/>
      <c r="D1876" s="35"/>
      <c r="E1876" s="35"/>
      <c r="F1876" s="35"/>
      <c r="G1876" s="35"/>
      <c r="H1876" s="35"/>
      <c r="I1876" s="35"/>
      <c r="J1876" s="35"/>
      <c r="K1876" s="35"/>
      <c r="L1876" s="35"/>
      <c r="M1876" s="35"/>
      <c r="N1876" s="35"/>
      <c r="O1876" s="35"/>
      <c r="P1876" s="35"/>
      <c r="Q1876" s="35"/>
      <c r="R1876" s="35"/>
      <c r="S1876" s="35"/>
      <c r="T1876" s="35"/>
      <c r="U1876" s="35"/>
      <c r="V1876" s="35"/>
      <c r="W1876" s="35"/>
      <c r="X1876" s="35"/>
      <c r="Y1876" s="35"/>
      <c r="Z1876" s="35"/>
      <c r="AA1876" s="35"/>
      <c r="AB1876" s="35"/>
      <c r="AC1876" s="35"/>
      <c r="AD1876" s="35"/>
      <c r="AE1876" s="35"/>
      <c r="AF1876" s="35"/>
      <c r="AG1876" s="35"/>
      <c r="AH1876" s="35"/>
      <c r="AI1876" s="35"/>
      <c r="AJ1876" s="35"/>
      <c r="AK1876" s="35"/>
      <c r="AL1876" s="35"/>
      <c r="AM1876" s="35"/>
      <c r="AN1876" s="35"/>
      <c r="AO1876" s="35"/>
      <c r="AP1876" s="35"/>
      <c r="AQ1876" s="35"/>
      <c r="AR1876" s="35"/>
      <c r="AS1876" s="35"/>
      <c r="AT1876" s="35"/>
      <c r="AU1876" s="35"/>
      <c r="AV1876" s="35"/>
      <c r="AW1876" s="35"/>
      <c r="AX1876" s="35"/>
      <c r="AY1876" s="35"/>
      <c r="AZ1876" s="35"/>
      <c r="BA1876" s="35"/>
      <c r="BB1876" s="35"/>
      <c r="BC1876" s="35"/>
      <c r="BD1876" s="35"/>
      <c r="BE1876" s="35"/>
      <c r="BF1876" s="35"/>
      <c r="BG1876" s="35"/>
    </row>
    <row r="1877" ht="15.75" customHeight="1">
      <c r="A1877" s="35"/>
      <c r="B1877" s="35"/>
      <c r="C1877" s="35"/>
      <c r="D1877" s="35"/>
      <c r="E1877" s="35"/>
      <c r="F1877" s="35"/>
      <c r="G1877" s="35"/>
      <c r="H1877" s="35"/>
      <c r="I1877" s="35"/>
      <c r="J1877" s="35"/>
      <c r="K1877" s="35"/>
      <c r="L1877" s="35"/>
      <c r="M1877" s="35"/>
      <c r="N1877" s="35"/>
      <c r="O1877" s="35"/>
      <c r="P1877" s="35"/>
      <c r="Q1877" s="35"/>
      <c r="R1877" s="35"/>
      <c r="S1877" s="35"/>
      <c r="T1877" s="35"/>
      <c r="U1877" s="35"/>
      <c r="V1877" s="35"/>
      <c r="W1877" s="35"/>
      <c r="X1877" s="35"/>
      <c r="Y1877" s="35"/>
      <c r="Z1877" s="35"/>
      <c r="AA1877" s="35"/>
      <c r="AB1877" s="35"/>
      <c r="AC1877" s="35"/>
      <c r="AD1877" s="35"/>
      <c r="AE1877" s="35"/>
      <c r="AF1877" s="35"/>
      <c r="AG1877" s="35"/>
      <c r="AH1877" s="35"/>
      <c r="AI1877" s="35"/>
      <c r="AJ1877" s="35"/>
      <c r="AK1877" s="35"/>
      <c r="AL1877" s="35"/>
      <c r="AM1877" s="35"/>
      <c r="AN1877" s="35"/>
      <c r="AO1877" s="35"/>
      <c r="AP1877" s="35"/>
      <c r="AQ1877" s="35"/>
      <c r="AR1877" s="35"/>
      <c r="AS1877" s="35"/>
      <c r="AT1877" s="35"/>
      <c r="AU1877" s="35"/>
      <c r="AV1877" s="35"/>
      <c r="AW1877" s="35"/>
      <c r="AX1877" s="35"/>
      <c r="AY1877" s="35"/>
      <c r="AZ1877" s="35"/>
      <c r="BA1877" s="35"/>
      <c r="BB1877" s="35"/>
      <c r="BC1877" s="35"/>
      <c r="BD1877" s="35"/>
      <c r="BE1877" s="35"/>
      <c r="BF1877" s="35"/>
      <c r="BG1877" s="35"/>
    </row>
    <row r="1878" ht="15.75" customHeight="1">
      <c r="A1878" s="35"/>
      <c r="B1878" s="35"/>
      <c r="C1878" s="35"/>
      <c r="D1878" s="35"/>
      <c r="E1878" s="35"/>
      <c r="F1878" s="35"/>
      <c r="G1878" s="35"/>
      <c r="H1878" s="35"/>
      <c r="I1878" s="35"/>
      <c r="J1878" s="35"/>
      <c r="K1878" s="35"/>
      <c r="L1878" s="35"/>
      <c r="M1878" s="35"/>
      <c r="N1878" s="35"/>
      <c r="O1878" s="35"/>
      <c r="P1878" s="35"/>
      <c r="Q1878" s="35"/>
      <c r="R1878" s="35"/>
      <c r="S1878" s="35"/>
      <c r="T1878" s="35"/>
      <c r="U1878" s="35"/>
      <c r="V1878" s="35"/>
      <c r="W1878" s="35"/>
      <c r="X1878" s="35"/>
      <c r="Y1878" s="35"/>
      <c r="Z1878" s="35"/>
      <c r="AA1878" s="35"/>
      <c r="AB1878" s="35"/>
      <c r="AC1878" s="35"/>
      <c r="AD1878" s="35"/>
      <c r="AE1878" s="35"/>
      <c r="AF1878" s="35"/>
      <c r="AG1878" s="35"/>
      <c r="AH1878" s="35"/>
      <c r="AI1878" s="35"/>
      <c r="AJ1878" s="35"/>
      <c r="AK1878" s="35"/>
      <c r="AL1878" s="35"/>
      <c r="AM1878" s="35"/>
      <c r="AN1878" s="35"/>
      <c r="AO1878" s="35"/>
      <c r="AP1878" s="35"/>
      <c r="AQ1878" s="35"/>
      <c r="AR1878" s="35"/>
      <c r="AS1878" s="35"/>
      <c r="AT1878" s="35"/>
      <c r="AU1878" s="35"/>
      <c r="AV1878" s="35"/>
      <c r="AW1878" s="35"/>
      <c r="AX1878" s="35"/>
      <c r="AY1878" s="35"/>
      <c r="AZ1878" s="35"/>
      <c r="BA1878" s="35"/>
      <c r="BB1878" s="35"/>
      <c r="BC1878" s="35"/>
      <c r="BD1878" s="35"/>
      <c r="BE1878" s="35"/>
      <c r="BF1878" s="35"/>
      <c r="BG1878" s="35"/>
    </row>
    <row r="1879" ht="15.75" customHeight="1">
      <c r="A1879" s="35"/>
      <c r="B1879" s="35"/>
      <c r="C1879" s="35"/>
      <c r="D1879" s="35"/>
      <c r="E1879" s="35"/>
      <c r="F1879" s="35"/>
      <c r="G1879" s="35"/>
      <c r="H1879" s="35"/>
      <c r="I1879" s="35"/>
      <c r="J1879" s="35"/>
      <c r="K1879" s="35"/>
      <c r="L1879" s="35"/>
      <c r="M1879" s="35"/>
      <c r="N1879" s="35"/>
      <c r="O1879" s="35"/>
      <c r="P1879" s="35"/>
      <c r="Q1879" s="35"/>
      <c r="R1879" s="35"/>
      <c r="S1879" s="35"/>
      <c r="T1879" s="35"/>
      <c r="U1879" s="35"/>
      <c r="V1879" s="35"/>
      <c r="W1879" s="35"/>
      <c r="X1879" s="35"/>
      <c r="Y1879" s="35"/>
      <c r="Z1879" s="35"/>
      <c r="AA1879" s="35"/>
      <c r="AB1879" s="35"/>
      <c r="AC1879" s="35"/>
      <c r="AD1879" s="35"/>
      <c r="AE1879" s="35"/>
      <c r="AF1879" s="35"/>
      <c r="AG1879" s="35"/>
      <c r="AH1879" s="35"/>
      <c r="AI1879" s="35"/>
      <c r="AJ1879" s="35"/>
      <c r="AK1879" s="35"/>
      <c r="AL1879" s="35"/>
      <c r="AM1879" s="35"/>
      <c r="AN1879" s="35"/>
      <c r="AO1879" s="35"/>
      <c r="AP1879" s="35"/>
      <c r="AQ1879" s="35"/>
      <c r="AR1879" s="35"/>
      <c r="AS1879" s="35"/>
      <c r="AT1879" s="35"/>
      <c r="AU1879" s="35"/>
      <c r="AV1879" s="35"/>
      <c r="AW1879" s="35"/>
      <c r="AX1879" s="35"/>
      <c r="AY1879" s="35"/>
      <c r="AZ1879" s="35"/>
      <c r="BA1879" s="35"/>
      <c r="BB1879" s="35"/>
      <c r="BC1879" s="35"/>
      <c r="BD1879" s="35"/>
      <c r="BE1879" s="35"/>
      <c r="BF1879" s="35"/>
      <c r="BG1879" s="35"/>
    </row>
    <row r="1880" ht="15.75" customHeight="1">
      <c r="A1880" s="35"/>
      <c r="B1880" s="35"/>
      <c r="C1880" s="35"/>
      <c r="D1880" s="35"/>
      <c r="E1880" s="35"/>
      <c r="F1880" s="35"/>
      <c r="G1880" s="35"/>
      <c r="H1880" s="35"/>
      <c r="I1880" s="35"/>
      <c r="J1880" s="35"/>
      <c r="K1880" s="35"/>
      <c r="L1880" s="35"/>
      <c r="M1880" s="35"/>
      <c r="N1880" s="35"/>
      <c r="O1880" s="35"/>
      <c r="P1880" s="35"/>
      <c r="Q1880" s="35"/>
      <c r="R1880" s="35"/>
      <c r="S1880" s="35"/>
      <c r="T1880" s="35"/>
      <c r="U1880" s="35"/>
      <c r="V1880" s="35"/>
      <c r="W1880" s="35"/>
      <c r="X1880" s="35"/>
      <c r="Y1880" s="35"/>
      <c r="Z1880" s="35"/>
      <c r="AA1880" s="35"/>
      <c r="AB1880" s="35"/>
      <c r="AC1880" s="35"/>
      <c r="AD1880" s="35"/>
      <c r="AE1880" s="35"/>
      <c r="AF1880" s="35"/>
      <c r="AG1880" s="35"/>
      <c r="AH1880" s="35"/>
      <c r="AI1880" s="35"/>
      <c r="AJ1880" s="35"/>
      <c r="AK1880" s="35"/>
      <c r="AL1880" s="35"/>
      <c r="AM1880" s="35"/>
      <c r="AN1880" s="35"/>
      <c r="AO1880" s="35"/>
      <c r="AP1880" s="35"/>
      <c r="AQ1880" s="35"/>
      <c r="AR1880" s="35"/>
      <c r="AS1880" s="35"/>
      <c r="AT1880" s="35"/>
      <c r="AU1880" s="35"/>
      <c r="AV1880" s="35"/>
      <c r="AW1880" s="35"/>
      <c r="AX1880" s="35"/>
      <c r="AY1880" s="35"/>
      <c r="AZ1880" s="35"/>
      <c r="BA1880" s="35"/>
      <c r="BB1880" s="35"/>
      <c r="BC1880" s="35"/>
      <c r="BD1880" s="35"/>
      <c r="BE1880" s="35"/>
      <c r="BF1880" s="35"/>
      <c r="BG1880" s="35"/>
    </row>
    <row r="1881" ht="15.75" customHeight="1">
      <c r="A1881" s="35"/>
      <c r="B1881" s="35"/>
      <c r="C1881" s="35"/>
      <c r="D1881" s="35"/>
      <c r="E1881" s="35"/>
      <c r="F1881" s="35"/>
      <c r="G1881" s="35"/>
      <c r="H1881" s="35"/>
      <c r="I1881" s="35"/>
      <c r="J1881" s="35"/>
      <c r="K1881" s="35"/>
      <c r="L1881" s="35"/>
      <c r="M1881" s="35"/>
      <c r="N1881" s="35"/>
      <c r="O1881" s="35"/>
      <c r="P1881" s="35"/>
      <c r="Q1881" s="35"/>
      <c r="R1881" s="35"/>
      <c r="S1881" s="35"/>
      <c r="T1881" s="35"/>
      <c r="U1881" s="35"/>
      <c r="V1881" s="35"/>
      <c r="W1881" s="35"/>
      <c r="X1881" s="35"/>
      <c r="Y1881" s="35"/>
      <c r="Z1881" s="35"/>
      <c r="AA1881" s="35"/>
      <c r="AB1881" s="35"/>
      <c r="AC1881" s="35"/>
      <c r="AD1881" s="35"/>
      <c r="AE1881" s="35"/>
      <c r="AF1881" s="35"/>
      <c r="AG1881" s="35"/>
      <c r="AH1881" s="35"/>
      <c r="AI1881" s="35"/>
      <c r="AJ1881" s="35"/>
      <c r="AK1881" s="35"/>
      <c r="AL1881" s="35"/>
      <c r="AM1881" s="35"/>
      <c r="AN1881" s="35"/>
      <c r="AO1881" s="35"/>
      <c r="AP1881" s="35"/>
      <c r="AQ1881" s="35"/>
      <c r="AR1881" s="35"/>
      <c r="AS1881" s="35"/>
      <c r="AT1881" s="35"/>
      <c r="AU1881" s="35"/>
      <c r="AV1881" s="35"/>
      <c r="AW1881" s="35"/>
      <c r="AX1881" s="35"/>
      <c r="AY1881" s="35"/>
      <c r="AZ1881" s="35"/>
      <c r="BA1881" s="35"/>
      <c r="BB1881" s="35"/>
      <c r="BC1881" s="35"/>
      <c r="BD1881" s="35"/>
      <c r="BE1881" s="35"/>
      <c r="BF1881" s="35"/>
      <c r="BG1881" s="35"/>
    </row>
    <row r="1882" ht="15.75" customHeight="1">
      <c r="A1882" s="35"/>
      <c r="B1882" s="35"/>
      <c r="C1882" s="35"/>
      <c r="D1882" s="35"/>
      <c r="E1882" s="35"/>
      <c r="F1882" s="35"/>
      <c r="G1882" s="35"/>
      <c r="H1882" s="35"/>
      <c r="I1882" s="35"/>
      <c r="J1882" s="35"/>
      <c r="K1882" s="35"/>
      <c r="L1882" s="35"/>
      <c r="M1882" s="35"/>
      <c r="N1882" s="35"/>
      <c r="O1882" s="35"/>
      <c r="P1882" s="35"/>
      <c r="Q1882" s="35"/>
      <c r="R1882" s="35"/>
      <c r="S1882" s="35"/>
      <c r="T1882" s="35"/>
      <c r="U1882" s="35"/>
      <c r="V1882" s="35"/>
      <c r="W1882" s="35"/>
      <c r="X1882" s="35"/>
      <c r="Y1882" s="35"/>
      <c r="Z1882" s="35"/>
      <c r="AA1882" s="35"/>
      <c r="AB1882" s="35"/>
      <c r="AC1882" s="35"/>
      <c r="AD1882" s="35"/>
      <c r="AE1882" s="35"/>
      <c r="AF1882" s="35"/>
      <c r="AG1882" s="35"/>
      <c r="AH1882" s="35"/>
      <c r="AI1882" s="35"/>
      <c r="AJ1882" s="35"/>
      <c r="AK1882" s="35"/>
      <c r="AL1882" s="35"/>
      <c r="AM1882" s="35"/>
      <c r="AN1882" s="35"/>
      <c r="AO1882" s="35"/>
      <c r="AP1882" s="35"/>
      <c r="AQ1882" s="35"/>
      <c r="AR1882" s="35"/>
      <c r="AS1882" s="35"/>
      <c r="AT1882" s="35"/>
      <c r="AU1882" s="35"/>
      <c r="AV1882" s="35"/>
      <c r="AW1882" s="35"/>
      <c r="AX1882" s="35"/>
      <c r="AY1882" s="35"/>
      <c r="AZ1882" s="35"/>
      <c r="BA1882" s="35"/>
      <c r="BB1882" s="35"/>
      <c r="BC1882" s="35"/>
      <c r="BD1882" s="35"/>
      <c r="BE1882" s="35"/>
      <c r="BF1882" s="35"/>
      <c r="BG1882" s="35"/>
    </row>
    <row r="1883" ht="15.75" customHeight="1">
      <c r="A1883" s="35"/>
      <c r="B1883" s="35"/>
      <c r="C1883" s="35"/>
      <c r="D1883" s="35"/>
      <c r="E1883" s="35"/>
      <c r="F1883" s="35"/>
      <c r="G1883" s="35"/>
      <c r="H1883" s="35"/>
      <c r="I1883" s="35"/>
      <c r="J1883" s="35"/>
      <c r="K1883" s="35"/>
      <c r="L1883" s="35"/>
      <c r="M1883" s="35"/>
      <c r="N1883" s="35"/>
      <c r="O1883" s="35"/>
      <c r="P1883" s="35"/>
      <c r="Q1883" s="35"/>
      <c r="R1883" s="35"/>
      <c r="S1883" s="35"/>
      <c r="T1883" s="35"/>
      <c r="U1883" s="35"/>
      <c r="V1883" s="35"/>
      <c r="W1883" s="35"/>
      <c r="X1883" s="35"/>
      <c r="Y1883" s="35"/>
      <c r="Z1883" s="35"/>
      <c r="AA1883" s="35"/>
      <c r="AB1883" s="35"/>
      <c r="AC1883" s="35"/>
      <c r="AD1883" s="35"/>
      <c r="AE1883" s="35"/>
      <c r="AF1883" s="35"/>
      <c r="AG1883" s="35"/>
      <c r="AH1883" s="35"/>
      <c r="AI1883" s="35"/>
      <c r="AJ1883" s="35"/>
      <c r="AK1883" s="35"/>
      <c r="AL1883" s="35"/>
      <c r="AM1883" s="35"/>
      <c r="AN1883" s="35"/>
      <c r="AO1883" s="35"/>
      <c r="AP1883" s="35"/>
      <c r="AQ1883" s="35"/>
      <c r="AR1883" s="35"/>
      <c r="AS1883" s="35"/>
      <c r="AT1883" s="35"/>
      <c r="AU1883" s="35"/>
      <c r="AV1883" s="35"/>
      <c r="AW1883" s="35"/>
      <c r="AX1883" s="35"/>
      <c r="AY1883" s="35"/>
      <c r="AZ1883" s="35"/>
      <c r="BA1883" s="35"/>
      <c r="BB1883" s="35"/>
      <c r="BC1883" s="35"/>
      <c r="BD1883" s="35"/>
      <c r="BE1883" s="35"/>
      <c r="BF1883" s="35"/>
      <c r="BG1883" s="35"/>
    </row>
    <row r="1884" ht="15.75" customHeight="1">
      <c r="A1884" s="35"/>
      <c r="B1884" s="35"/>
      <c r="C1884" s="35"/>
      <c r="D1884" s="35"/>
      <c r="E1884" s="35"/>
      <c r="F1884" s="35"/>
      <c r="G1884" s="35"/>
      <c r="H1884" s="35"/>
      <c r="I1884" s="35"/>
      <c r="J1884" s="35"/>
      <c r="K1884" s="35"/>
      <c r="L1884" s="35"/>
      <c r="M1884" s="35"/>
      <c r="N1884" s="35"/>
      <c r="O1884" s="35"/>
      <c r="P1884" s="35"/>
      <c r="Q1884" s="35"/>
      <c r="R1884" s="35"/>
      <c r="S1884" s="35"/>
      <c r="T1884" s="35"/>
      <c r="U1884" s="35"/>
      <c r="V1884" s="35"/>
      <c r="W1884" s="35"/>
      <c r="X1884" s="35"/>
      <c r="Y1884" s="35"/>
      <c r="Z1884" s="35"/>
      <c r="AA1884" s="35"/>
      <c r="AB1884" s="35"/>
      <c r="AC1884" s="35"/>
      <c r="AD1884" s="35"/>
      <c r="AE1884" s="35"/>
      <c r="AF1884" s="35"/>
      <c r="AG1884" s="35"/>
      <c r="AH1884" s="35"/>
      <c r="AI1884" s="35"/>
      <c r="AJ1884" s="35"/>
      <c r="AK1884" s="35"/>
      <c r="AL1884" s="35"/>
      <c r="AM1884" s="35"/>
      <c r="AN1884" s="35"/>
      <c r="AO1884" s="35"/>
      <c r="AP1884" s="35"/>
      <c r="AQ1884" s="35"/>
      <c r="AR1884" s="35"/>
      <c r="AS1884" s="35"/>
      <c r="AT1884" s="35"/>
      <c r="AU1884" s="35"/>
      <c r="AV1884" s="35"/>
      <c r="AW1884" s="35"/>
      <c r="AX1884" s="35"/>
      <c r="AY1884" s="35"/>
      <c r="AZ1884" s="35"/>
      <c r="BA1884" s="35"/>
      <c r="BB1884" s="35"/>
      <c r="BC1884" s="35"/>
      <c r="BD1884" s="35"/>
      <c r="BE1884" s="35"/>
      <c r="BF1884" s="35"/>
      <c r="BG1884" s="35"/>
    </row>
    <row r="1885" ht="15.75" customHeight="1">
      <c r="A1885" s="35"/>
      <c r="B1885" s="35"/>
      <c r="C1885" s="35"/>
      <c r="D1885" s="35"/>
      <c r="E1885" s="35"/>
      <c r="F1885" s="35"/>
      <c r="G1885" s="35"/>
      <c r="H1885" s="35"/>
      <c r="I1885" s="35"/>
      <c r="J1885" s="35"/>
      <c r="K1885" s="35"/>
      <c r="L1885" s="35"/>
      <c r="M1885" s="35"/>
      <c r="N1885" s="35"/>
      <c r="O1885" s="35"/>
      <c r="P1885" s="35"/>
      <c r="Q1885" s="35"/>
      <c r="R1885" s="35"/>
      <c r="S1885" s="35"/>
      <c r="T1885" s="35"/>
      <c r="U1885" s="35"/>
      <c r="V1885" s="35"/>
      <c r="W1885" s="35"/>
      <c r="X1885" s="35"/>
      <c r="Y1885" s="35"/>
      <c r="Z1885" s="35"/>
      <c r="AA1885" s="35"/>
      <c r="AB1885" s="35"/>
      <c r="AC1885" s="35"/>
      <c r="AD1885" s="35"/>
      <c r="AE1885" s="35"/>
      <c r="AF1885" s="35"/>
      <c r="AG1885" s="35"/>
      <c r="AH1885" s="35"/>
      <c r="AI1885" s="35"/>
      <c r="AJ1885" s="35"/>
      <c r="AK1885" s="35"/>
      <c r="AL1885" s="35"/>
      <c r="AM1885" s="35"/>
      <c r="AN1885" s="35"/>
      <c r="AO1885" s="35"/>
      <c r="AP1885" s="35"/>
      <c r="AQ1885" s="35"/>
      <c r="AR1885" s="35"/>
      <c r="AS1885" s="35"/>
      <c r="AT1885" s="35"/>
      <c r="AU1885" s="35"/>
      <c r="AV1885" s="35"/>
      <c r="AW1885" s="35"/>
      <c r="AX1885" s="35"/>
      <c r="AY1885" s="35"/>
      <c r="AZ1885" s="35"/>
      <c r="BA1885" s="35"/>
      <c r="BB1885" s="35"/>
      <c r="BC1885" s="35"/>
      <c r="BD1885" s="35"/>
      <c r="BE1885" s="35"/>
      <c r="BF1885" s="35"/>
      <c r="BG1885" s="35"/>
    </row>
    <row r="1886" ht="15.75" customHeight="1">
      <c r="A1886" s="35"/>
      <c r="B1886" s="35"/>
      <c r="C1886" s="35"/>
      <c r="D1886" s="35"/>
      <c r="E1886" s="35"/>
      <c r="F1886" s="35"/>
      <c r="G1886" s="35"/>
      <c r="H1886" s="35"/>
      <c r="I1886" s="35"/>
      <c r="J1886" s="35"/>
      <c r="K1886" s="35"/>
      <c r="L1886" s="35"/>
      <c r="M1886" s="35"/>
      <c r="N1886" s="35"/>
      <c r="O1886" s="35"/>
      <c r="P1886" s="35"/>
      <c r="Q1886" s="35"/>
      <c r="R1886" s="35"/>
      <c r="S1886" s="35"/>
      <c r="T1886" s="35"/>
      <c r="U1886" s="35"/>
      <c r="V1886" s="35"/>
      <c r="W1886" s="35"/>
      <c r="X1886" s="35"/>
      <c r="Y1886" s="35"/>
      <c r="Z1886" s="35"/>
      <c r="AA1886" s="35"/>
      <c r="AB1886" s="35"/>
      <c r="AC1886" s="35"/>
      <c r="AD1886" s="35"/>
      <c r="AE1886" s="35"/>
      <c r="AF1886" s="35"/>
      <c r="AG1886" s="35"/>
      <c r="AH1886" s="35"/>
      <c r="AI1886" s="35"/>
      <c r="AJ1886" s="35"/>
      <c r="AK1886" s="35"/>
      <c r="AL1886" s="35"/>
      <c r="AM1886" s="35"/>
      <c r="AN1886" s="35"/>
      <c r="AO1886" s="35"/>
      <c r="AP1886" s="35"/>
      <c r="AQ1886" s="35"/>
      <c r="AR1886" s="35"/>
      <c r="AS1886" s="35"/>
      <c r="AT1886" s="35"/>
      <c r="AU1886" s="35"/>
      <c r="AV1886" s="35"/>
      <c r="AW1886" s="35"/>
      <c r="AX1886" s="35"/>
      <c r="AY1886" s="35"/>
      <c r="AZ1886" s="35"/>
      <c r="BA1886" s="35"/>
      <c r="BB1886" s="35"/>
      <c r="BC1886" s="35"/>
      <c r="BD1886" s="35"/>
      <c r="BE1886" s="35"/>
      <c r="BF1886" s="35"/>
      <c r="BG1886" s="35"/>
    </row>
    <row r="1887" ht="15.75" customHeight="1">
      <c r="A1887" s="35"/>
      <c r="B1887" s="35"/>
      <c r="C1887" s="35"/>
      <c r="D1887" s="35"/>
      <c r="E1887" s="35"/>
      <c r="F1887" s="35"/>
      <c r="G1887" s="35"/>
      <c r="H1887" s="35"/>
      <c r="I1887" s="35"/>
      <c r="J1887" s="35"/>
      <c r="K1887" s="35"/>
      <c r="L1887" s="35"/>
      <c r="M1887" s="35"/>
      <c r="N1887" s="35"/>
      <c r="O1887" s="35"/>
      <c r="P1887" s="35"/>
      <c r="Q1887" s="35"/>
      <c r="R1887" s="35"/>
      <c r="S1887" s="35"/>
      <c r="T1887" s="35"/>
      <c r="U1887" s="35"/>
      <c r="V1887" s="35"/>
      <c r="W1887" s="35"/>
      <c r="X1887" s="35"/>
      <c r="Y1887" s="35"/>
      <c r="Z1887" s="35"/>
      <c r="AA1887" s="35"/>
      <c r="AB1887" s="35"/>
      <c r="AC1887" s="35"/>
      <c r="AD1887" s="35"/>
      <c r="AE1887" s="35"/>
      <c r="AF1887" s="35"/>
      <c r="AG1887" s="35"/>
      <c r="AH1887" s="35"/>
      <c r="AI1887" s="35"/>
      <c r="AJ1887" s="35"/>
      <c r="AK1887" s="35"/>
      <c r="AL1887" s="35"/>
      <c r="AM1887" s="35"/>
      <c r="AN1887" s="35"/>
      <c r="AO1887" s="35"/>
      <c r="AP1887" s="35"/>
      <c r="AQ1887" s="35"/>
      <c r="AR1887" s="35"/>
      <c r="AS1887" s="35"/>
      <c r="AT1887" s="35"/>
      <c r="AU1887" s="35"/>
      <c r="AV1887" s="35"/>
      <c r="AW1887" s="35"/>
      <c r="AX1887" s="35"/>
      <c r="AY1887" s="35"/>
      <c r="AZ1887" s="35"/>
      <c r="BA1887" s="35"/>
      <c r="BB1887" s="35"/>
      <c r="BC1887" s="35"/>
      <c r="BD1887" s="35"/>
      <c r="BE1887" s="35"/>
      <c r="BF1887" s="35"/>
      <c r="BG1887" s="35"/>
    </row>
    <row r="1888" ht="15.75" customHeight="1">
      <c r="A1888" s="35"/>
      <c r="B1888" s="35"/>
      <c r="C1888" s="35"/>
      <c r="D1888" s="35"/>
      <c r="E1888" s="35"/>
      <c r="F1888" s="35"/>
      <c r="G1888" s="35"/>
      <c r="H1888" s="35"/>
      <c r="I1888" s="35"/>
      <c r="J1888" s="35"/>
      <c r="K1888" s="35"/>
      <c r="L1888" s="35"/>
      <c r="M1888" s="35"/>
      <c r="N1888" s="35"/>
      <c r="O1888" s="35"/>
      <c r="P1888" s="35"/>
      <c r="Q1888" s="35"/>
      <c r="R1888" s="35"/>
      <c r="S1888" s="35"/>
      <c r="T1888" s="35"/>
      <c r="U1888" s="35"/>
      <c r="V1888" s="35"/>
      <c r="W1888" s="35"/>
      <c r="X1888" s="35"/>
      <c r="Y1888" s="35"/>
      <c r="Z1888" s="35"/>
      <c r="AA1888" s="35"/>
      <c r="AB1888" s="35"/>
      <c r="AC1888" s="35"/>
      <c r="AD1888" s="35"/>
      <c r="AE1888" s="35"/>
      <c r="AF1888" s="35"/>
      <c r="AG1888" s="35"/>
      <c r="AH1888" s="35"/>
      <c r="AI1888" s="35"/>
      <c r="AJ1888" s="35"/>
      <c r="AK1888" s="35"/>
      <c r="AL1888" s="35"/>
      <c r="AM1888" s="35"/>
      <c r="AN1888" s="35"/>
      <c r="AO1888" s="35"/>
      <c r="AP1888" s="35"/>
      <c r="AQ1888" s="35"/>
      <c r="AR1888" s="35"/>
      <c r="AS1888" s="35"/>
      <c r="AT1888" s="35"/>
      <c r="AU1888" s="35"/>
      <c r="AV1888" s="35"/>
      <c r="AW1888" s="35"/>
      <c r="AX1888" s="35"/>
      <c r="AY1888" s="35"/>
      <c r="AZ1888" s="35"/>
      <c r="BA1888" s="35"/>
      <c r="BB1888" s="35"/>
      <c r="BC1888" s="35"/>
      <c r="BD1888" s="35"/>
      <c r="BE1888" s="35"/>
      <c r="BF1888" s="35"/>
      <c r="BG1888" s="35"/>
    </row>
    <row r="1889" ht="15.75" customHeight="1">
      <c r="A1889" s="35"/>
      <c r="B1889" s="35"/>
      <c r="C1889" s="35"/>
      <c r="D1889" s="35"/>
      <c r="E1889" s="35"/>
      <c r="F1889" s="35"/>
      <c r="G1889" s="35"/>
      <c r="H1889" s="35"/>
      <c r="I1889" s="35"/>
      <c r="J1889" s="35"/>
      <c r="K1889" s="35"/>
      <c r="L1889" s="35"/>
      <c r="M1889" s="35"/>
      <c r="N1889" s="35"/>
      <c r="O1889" s="35"/>
      <c r="P1889" s="35"/>
      <c r="Q1889" s="35"/>
      <c r="R1889" s="35"/>
      <c r="S1889" s="35"/>
      <c r="T1889" s="35"/>
      <c r="U1889" s="35"/>
      <c r="V1889" s="35"/>
      <c r="W1889" s="35"/>
      <c r="X1889" s="35"/>
      <c r="Y1889" s="35"/>
      <c r="Z1889" s="35"/>
      <c r="AA1889" s="35"/>
      <c r="AB1889" s="35"/>
      <c r="AC1889" s="35"/>
      <c r="AD1889" s="35"/>
      <c r="AE1889" s="35"/>
      <c r="AF1889" s="35"/>
      <c r="AG1889" s="35"/>
      <c r="AH1889" s="35"/>
      <c r="AI1889" s="35"/>
      <c r="AJ1889" s="35"/>
      <c r="AK1889" s="35"/>
      <c r="AL1889" s="35"/>
      <c r="AM1889" s="35"/>
      <c r="AN1889" s="35"/>
      <c r="AO1889" s="35"/>
      <c r="AP1889" s="35"/>
      <c r="AQ1889" s="35"/>
      <c r="AR1889" s="35"/>
      <c r="AS1889" s="35"/>
      <c r="AT1889" s="35"/>
      <c r="AU1889" s="35"/>
      <c r="AV1889" s="35"/>
      <c r="AW1889" s="35"/>
      <c r="AX1889" s="35"/>
      <c r="AY1889" s="35"/>
      <c r="AZ1889" s="35"/>
      <c r="BA1889" s="35"/>
      <c r="BB1889" s="35"/>
      <c r="BC1889" s="35"/>
      <c r="BD1889" s="35"/>
      <c r="BE1889" s="35"/>
      <c r="BF1889" s="35"/>
      <c r="BG1889" s="35"/>
    </row>
    <row r="1890" ht="15.75" customHeight="1">
      <c r="A1890" s="35"/>
      <c r="B1890" s="35"/>
      <c r="C1890" s="35"/>
      <c r="D1890" s="35"/>
      <c r="E1890" s="35"/>
      <c r="F1890" s="35"/>
      <c r="G1890" s="35"/>
      <c r="H1890" s="35"/>
      <c r="I1890" s="35"/>
      <c r="J1890" s="35"/>
      <c r="K1890" s="35"/>
      <c r="L1890" s="35"/>
      <c r="M1890" s="35"/>
      <c r="N1890" s="35"/>
      <c r="O1890" s="35"/>
      <c r="P1890" s="35"/>
      <c r="Q1890" s="35"/>
      <c r="R1890" s="35"/>
      <c r="S1890" s="35"/>
      <c r="T1890" s="35"/>
      <c r="U1890" s="35"/>
      <c r="V1890" s="35"/>
      <c r="W1890" s="35"/>
      <c r="X1890" s="35"/>
      <c r="Y1890" s="35"/>
      <c r="Z1890" s="35"/>
      <c r="AA1890" s="35"/>
      <c r="AB1890" s="35"/>
      <c r="AC1890" s="35"/>
      <c r="AD1890" s="35"/>
      <c r="AE1890" s="35"/>
      <c r="AF1890" s="35"/>
      <c r="AG1890" s="35"/>
      <c r="AH1890" s="35"/>
      <c r="AI1890" s="35"/>
      <c r="AJ1890" s="35"/>
      <c r="AK1890" s="35"/>
      <c r="AL1890" s="35"/>
      <c r="AM1890" s="35"/>
      <c r="AN1890" s="35"/>
      <c r="AO1890" s="35"/>
      <c r="AP1890" s="35"/>
      <c r="AQ1890" s="35"/>
      <c r="AR1890" s="35"/>
      <c r="AS1890" s="35"/>
      <c r="AT1890" s="35"/>
      <c r="AU1890" s="35"/>
      <c r="AV1890" s="35"/>
      <c r="AW1890" s="35"/>
      <c r="AX1890" s="35"/>
      <c r="AY1890" s="35"/>
      <c r="AZ1890" s="35"/>
      <c r="BA1890" s="35"/>
      <c r="BB1890" s="35"/>
      <c r="BC1890" s="35"/>
      <c r="BD1890" s="35"/>
      <c r="BE1890" s="35"/>
      <c r="BF1890" s="35"/>
      <c r="BG1890" s="35"/>
    </row>
    <row r="1891" ht="15.75" customHeight="1">
      <c r="A1891" s="35"/>
      <c r="B1891" s="35"/>
      <c r="C1891" s="35"/>
      <c r="D1891" s="35"/>
      <c r="E1891" s="35"/>
      <c r="F1891" s="35"/>
      <c r="G1891" s="35"/>
      <c r="H1891" s="35"/>
      <c r="I1891" s="35"/>
      <c r="J1891" s="35"/>
      <c r="K1891" s="35"/>
      <c r="L1891" s="35"/>
      <c r="M1891" s="35"/>
      <c r="N1891" s="35"/>
      <c r="O1891" s="35"/>
      <c r="P1891" s="35"/>
      <c r="Q1891" s="35"/>
      <c r="R1891" s="35"/>
      <c r="S1891" s="35"/>
      <c r="T1891" s="35"/>
      <c r="U1891" s="35"/>
      <c r="V1891" s="35"/>
      <c r="W1891" s="35"/>
      <c r="X1891" s="35"/>
      <c r="Y1891" s="35"/>
      <c r="Z1891" s="35"/>
      <c r="AA1891" s="35"/>
      <c r="AB1891" s="35"/>
      <c r="AC1891" s="35"/>
      <c r="AD1891" s="35"/>
      <c r="AE1891" s="35"/>
      <c r="AF1891" s="35"/>
      <c r="AG1891" s="35"/>
      <c r="AH1891" s="35"/>
      <c r="AI1891" s="35"/>
      <c r="AJ1891" s="35"/>
      <c r="AK1891" s="35"/>
      <c r="AL1891" s="35"/>
      <c r="AM1891" s="35"/>
      <c r="AN1891" s="35"/>
      <c r="AO1891" s="35"/>
      <c r="AP1891" s="35"/>
      <c r="AQ1891" s="35"/>
      <c r="AR1891" s="35"/>
      <c r="AS1891" s="35"/>
      <c r="AT1891" s="35"/>
      <c r="AU1891" s="35"/>
      <c r="AV1891" s="35"/>
      <c r="AW1891" s="35"/>
      <c r="AX1891" s="35"/>
      <c r="AY1891" s="35"/>
      <c r="AZ1891" s="35"/>
      <c r="BA1891" s="35"/>
      <c r="BB1891" s="35"/>
      <c r="BC1891" s="35"/>
      <c r="BD1891" s="35"/>
      <c r="BE1891" s="35"/>
      <c r="BF1891" s="35"/>
      <c r="BG1891" s="35"/>
    </row>
    <row r="1892" ht="15.75" customHeight="1">
      <c r="A1892" s="35"/>
      <c r="B1892" s="35"/>
      <c r="C1892" s="35"/>
      <c r="D1892" s="35"/>
      <c r="E1892" s="35"/>
      <c r="F1892" s="35"/>
      <c r="G1892" s="35"/>
      <c r="H1892" s="35"/>
      <c r="I1892" s="35"/>
      <c r="J1892" s="35"/>
      <c r="K1892" s="35"/>
      <c r="L1892" s="35"/>
      <c r="M1892" s="35"/>
      <c r="N1892" s="35"/>
      <c r="O1892" s="35"/>
      <c r="P1892" s="35"/>
      <c r="Q1892" s="35"/>
      <c r="R1892" s="35"/>
      <c r="S1892" s="35"/>
      <c r="T1892" s="35"/>
      <c r="U1892" s="35"/>
      <c r="V1892" s="35"/>
      <c r="W1892" s="35"/>
      <c r="X1892" s="35"/>
      <c r="Y1892" s="35"/>
      <c r="Z1892" s="35"/>
      <c r="AA1892" s="35"/>
      <c r="AB1892" s="35"/>
      <c r="AC1892" s="35"/>
      <c r="AD1892" s="35"/>
      <c r="AE1892" s="35"/>
      <c r="AF1892" s="35"/>
      <c r="AG1892" s="35"/>
      <c r="AH1892" s="35"/>
      <c r="AI1892" s="35"/>
      <c r="AJ1892" s="35"/>
      <c r="AK1892" s="35"/>
      <c r="AL1892" s="35"/>
      <c r="AM1892" s="35"/>
      <c r="AN1892" s="35"/>
      <c r="AO1892" s="35"/>
      <c r="AP1892" s="35"/>
      <c r="AQ1892" s="35"/>
      <c r="AR1892" s="35"/>
      <c r="AS1892" s="35"/>
      <c r="AT1892" s="35"/>
      <c r="AU1892" s="35"/>
      <c r="AV1892" s="35"/>
      <c r="AW1892" s="35"/>
      <c r="AX1892" s="35"/>
      <c r="AY1892" s="35"/>
      <c r="AZ1892" s="35"/>
      <c r="BA1892" s="35"/>
      <c r="BB1892" s="35"/>
      <c r="BC1892" s="35"/>
      <c r="BD1892" s="35"/>
      <c r="BE1892" s="35"/>
      <c r="BF1892" s="35"/>
      <c r="BG1892" s="35"/>
    </row>
    <row r="1893" ht="15.75" customHeight="1">
      <c r="A1893" s="35"/>
      <c r="B1893" s="35"/>
      <c r="C1893" s="35"/>
      <c r="D1893" s="35"/>
      <c r="E1893" s="35"/>
      <c r="F1893" s="35"/>
      <c r="G1893" s="35"/>
      <c r="H1893" s="35"/>
      <c r="I1893" s="35"/>
      <c r="J1893" s="35"/>
      <c r="K1893" s="35"/>
      <c r="L1893" s="35"/>
      <c r="M1893" s="35"/>
      <c r="N1893" s="35"/>
      <c r="O1893" s="35"/>
      <c r="P1893" s="35"/>
      <c r="Q1893" s="35"/>
      <c r="R1893" s="35"/>
      <c r="S1893" s="35"/>
      <c r="T1893" s="35"/>
      <c r="U1893" s="35"/>
      <c r="V1893" s="35"/>
      <c r="W1893" s="35"/>
      <c r="X1893" s="35"/>
      <c r="Y1893" s="35"/>
      <c r="Z1893" s="35"/>
      <c r="AA1893" s="35"/>
      <c r="AB1893" s="35"/>
      <c r="AC1893" s="35"/>
      <c r="AD1893" s="35"/>
      <c r="AE1893" s="35"/>
      <c r="AF1893" s="35"/>
      <c r="AG1893" s="35"/>
      <c r="AH1893" s="35"/>
      <c r="AI1893" s="35"/>
      <c r="AJ1893" s="35"/>
      <c r="AK1893" s="35"/>
      <c r="AL1893" s="35"/>
      <c r="AM1893" s="35"/>
      <c r="AN1893" s="35"/>
      <c r="AO1893" s="35"/>
      <c r="AP1893" s="35"/>
      <c r="AQ1893" s="35"/>
      <c r="AR1893" s="35"/>
      <c r="AS1893" s="35"/>
      <c r="AT1893" s="35"/>
      <c r="AU1893" s="35"/>
      <c r="AV1893" s="35"/>
      <c r="AW1893" s="35"/>
      <c r="AX1893" s="35"/>
      <c r="AY1893" s="35"/>
      <c r="AZ1893" s="35"/>
      <c r="BA1893" s="35"/>
      <c r="BB1893" s="35"/>
      <c r="BC1893" s="35"/>
      <c r="BD1893" s="35"/>
      <c r="BE1893" s="35"/>
      <c r="BF1893" s="35"/>
      <c r="BG1893" s="35"/>
    </row>
    <row r="1894" ht="15.75" customHeight="1">
      <c r="A1894" s="35"/>
      <c r="B1894" s="35"/>
      <c r="C1894" s="35"/>
      <c r="D1894" s="35"/>
      <c r="E1894" s="35"/>
      <c r="F1894" s="35"/>
      <c r="G1894" s="35"/>
      <c r="H1894" s="35"/>
      <c r="I1894" s="35"/>
      <c r="J1894" s="35"/>
      <c r="K1894" s="35"/>
      <c r="L1894" s="35"/>
      <c r="M1894" s="35"/>
      <c r="N1894" s="35"/>
      <c r="O1894" s="35"/>
      <c r="P1894" s="35"/>
      <c r="Q1894" s="35"/>
      <c r="R1894" s="35"/>
      <c r="S1894" s="35"/>
      <c r="T1894" s="35"/>
      <c r="U1894" s="35"/>
      <c r="V1894" s="35"/>
      <c r="W1894" s="35"/>
      <c r="X1894" s="35"/>
      <c r="Y1894" s="35"/>
      <c r="Z1894" s="35"/>
      <c r="AA1894" s="35"/>
      <c r="AB1894" s="35"/>
      <c r="AC1894" s="35"/>
      <c r="AD1894" s="35"/>
      <c r="AE1894" s="35"/>
      <c r="AF1894" s="35"/>
      <c r="AG1894" s="35"/>
      <c r="AH1894" s="35"/>
      <c r="AI1894" s="35"/>
      <c r="AJ1894" s="35"/>
      <c r="AK1894" s="35"/>
      <c r="AL1894" s="35"/>
      <c r="AM1894" s="35"/>
      <c r="AN1894" s="35"/>
      <c r="AO1894" s="35"/>
      <c r="AP1894" s="35"/>
      <c r="AQ1894" s="35"/>
      <c r="AR1894" s="35"/>
      <c r="AS1894" s="35"/>
      <c r="AT1894" s="35"/>
      <c r="AU1894" s="35"/>
      <c r="AV1894" s="35"/>
      <c r="AW1894" s="35"/>
      <c r="AX1894" s="35"/>
      <c r="AY1894" s="35"/>
      <c r="AZ1894" s="35"/>
      <c r="BA1894" s="35"/>
      <c r="BB1894" s="35"/>
      <c r="BC1894" s="35"/>
      <c r="BD1894" s="35"/>
      <c r="BE1894" s="35"/>
      <c r="BF1894" s="35"/>
      <c r="BG1894" s="35"/>
    </row>
    <row r="1895" ht="15.75" customHeight="1">
      <c r="A1895" s="35"/>
      <c r="B1895" s="35"/>
      <c r="C1895" s="35"/>
      <c r="D1895" s="35"/>
      <c r="E1895" s="35"/>
      <c r="F1895" s="35"/>
      <c r="G1895" s="35"/>
      <c r="H1895" s="35"/>
      <c r="I1895" s="35"/>
      <c r="J1895" s="35"/>
      <c r="K1895" s="35"/>
      <c r="L1895" s="35"/>
      <c r="M1895" s="35"/>
      <c r="N1895" s="35"/>
      <c r="O1895" s="35"/>
      <c r="P1895" s="35"/>
      <c r="Q1895" s="35"/>
      <c r="R1895" s="35"/>
      <c r="S1895" s="35"/>
      <c r="T1895" s="35"/>
      <c r="U1895" s="35"/>
      <c r="V1895" s="35"/>
      <c r="W1895" s="35"/>
      <c r="X1895" s="35"/>
      <c r="Y1895" s="35"/>
      <c r="Z1895" s="35"/>
      <c r="AA1895" s="35"/>
      <c r="AB1895" s="35"/>
      <c r="AC1895" s="35"/>
      <c r="AD1895" s="35"/>
      <c r="AE1895" s="35"/>
      <c r="AF1895" s="35"/>
      <c r="AG1895" s="35"/>
      <c r="AH1895" s="35"/>
      <c r="AI1895" s="35"/>
      <c r="AJ1895" s="35"/>
      <c r="AK1895" s="35"/>
      <c r="AL1895" s="35"/>
      <c r="AM1895" s="35"/>
      <c r="AN1895" s="35"/>
      <c r="AO1895" s="35"/>
      <c r="AP1895" s="35"/>
      <c r="AQ1895" s="35"/>
      <c r="AR1895" s="35"/>
      <c r="AS1895" s="35"/>
      <c r="AT1895" s="35"/>
      <c r="AU1895" s="35"/>
      <c r="AV1895" s="35"/>
      <c r="AW1895" s="35"/>
      <c r="AX1895" s="35"/>
      <c r="AY1895" s="35"/>
      <c r="AZ1895" s="35"/>
      <c r="BA1895" s="35"/>
      <c r="BB1895" s="35"/>
      <c r="BC1895" s="35"/>
      <c r="BD1895" s="35"/>
      <c r="BE1895" s="35"/>
      <c r="BF1895" s="35"/>
      <c r="BG1895" s="35"/>
    </row>
    <row r="1896" ht="15.75" customHeight="1">
      <c r="A1896" s="35"/>
      <c r="B1896" s="35"/>
      <c r="C1896" s="35"/>
      <c r="D1896" s="35"/>
      <c r="E1896" s="35"/>
      <c r="F1896" s="35"/>
      <c r="G1896" s="35"/>
      <c r="H1896" s="35"/>
      <c r="I1896" s="35"/>
      <c r="J1896" s="35"/>
      <c r="K1896" s="35"/>
      <c r="L1896" s="35"/>
      <c r="M1896" s="35"/>
      <c r="N1896" s="35"/>
      <c r="O1896" s="35"/>
      <c r="P1896" s="35"/>
      <c r="Q1896" s="35"/>
      <c r="R1896" s="35"/>
      <c r="S1896" s="35"/>
      <c r="T1896" s="35"/>
      <c r="U1896" s="35"/>
      <c r="V1896" s="35"/>
      <c r="W1896" s="35"/>
      <c r="X1896" s="35"/>
      <c r="Y1896" s="35"/>
      <c r="Z1896" s="35"/>
      <c r="AA1896" s="35"/>
      <c r="AB1896" s="35"/>
      <c r="AC1896" s="35"/>
      <c r="AD1896" s="35"/>
      <c r="AE1896" s="35"/>
      <c r="AF1896" s="35"/>
      <c r="AG1896" s="35"/>
      <c r="AH1896" s="35"/>
      <c r="AI1896" s="35"/>
      <c r="AJ1896" s="35"/>
      <c r="AK1896" s="35"/>
      <c r="AL1896" s="35"/>
      <c r="AM1896" s="35"/>
      <c r="AN1896" s="35"/>
      <c r="AO1896" s="35"/>
      <c r="AP1896" s="35"/>
      <c r="AQ1896" s="35"/>
      <c r="AR1896" s="35"/>
      <c r="AS1896" s="35"/>
      <c r="AT1896" s="35"/>
      <c r="AU1896" s="35"/>
      <c r="AV1896" s="35"/>
      <c r="AW1896" s="35"/>
      <c r="AX1896" s="35"/>
      <c r="AY1896" s="35"/>
      <c r="AZ1896" s="35"/>
      <c r="BA1896" s="35"/>
      <c r="BB1896" s="35"/>
      <c r="BC1896" s="35"/>
      <c r="BD1896" s="35"/>
      <c r="BE1896" s="35"/>
      <c r="BF1896" s="35"/>
      <c r="BG1896" s="35"/>
    </row>
    <row r="1897" ht="15.75" customHeight="1">
      <c r="A1897" s="35"/>
      <c r="B1897" s="35"/>
      <c r="C1897" s="35"/>
      <c r="D1897" s="35"/>
      <c r="E1897" s="35"/>
      <c r="F1897" s="35"/>
      <c r="G1897" s="35"/>
      <c r="H1897" s="35"/>
      <c r="I1897" s="35"/>
      <c r="J1897" s="35"/>
      <c r="K1897" s="35"/>
      <c r="L1897" s="35"/>
      <c r="M1897" s="35"/>
      <c r="N1897" s="35"/>
      <c r="O1897" s="35"/>
      <c r="P1897" s="35"/>
      <c r="Q1897" s="35"/>
      <c r="R1897" s="35"/>
      <c r="S1897" s="35"/>
      <c r="T1897" s="35"/>
      <c r="U1897" s="35"/>
      <c r="V1897" s="35"/>
      <c r="W1897" s="35"/>
      <c r="X1897" s="35"/>
      <c r="Y1897" s="35"/>
      <c r="Z1897" s="35"/>
      <c r="AA1897" s="35"/>
      <c r="AB1897" s="35"/>
      <c r="AC1897" s="35"/>
      <c r="AD1897" s="35"/>
      <c r="AE1897" s="35"/>
      <c r="AF1897" s="35"/>
      <c r="AG1897" s="35"/>
      <c r="AH1897" s="35"/>
      <c r="AI1897" s="35"/>
      <c r="AJ1897" s="35"/>
      <c r="AK1897" s="35"/>
      <c r="AL1897" s="35"/>
      <c r="AM1897" s="35"/>
      <c r="AN1897" s="35"/>
      <c r="AO1897" s="35"/>
      <c r="AP1897" s="35"/>
      <c r="AQ1897" s="35"/>
      <c r="AR1897" s="35"/>
      <c r="AS1897" s="35"/>
      <c r="AT1897" s="35"/>
      <c r="AU1897" s="35"/>
      <c r="AV1897" s="35"/>
      <c r="AW1897" s="35"/>
      <c r="AX1897" s="35"/>
      <c r="AY1897" s="35"/>
      <c r="AZ1897" s="35"/>
      <c r="BA1897" s="35"/>
      <c r="BB1897" s="35"/>
      <c r="BC1897" s="35"/>
      <c r="BD1897" s="35"/>
      <c r="BE1897" s="35"/>
      <c r="BF1897" s="35"/>
      <c r="BG1897" s="35"/>
    </row>
    <row r="1898" ht="15.75" customHeight="1">
      <c r="A1898" s="35"/>
      <c r="B1898" s="35"/>
      <c r="C1898" s="35"/>
      <c r="D1898" s="35"/>
      <c r="E1898" s="35"/>
      <c r="F1898" s="35"/>
      <c r="G1898" s="35"/>
      <c r="H1898" s="35"/>
      <c r="I1898" s="35"/>
      <c r="J1898" s="35"/>
      <c r="K1898" s="35"/>
      <c r="L1898" s="35"/>
      <c r="M1898" s="35"/>
      <c r="N1898" s="35"/>
      <c r="O1898" s="35"/>
      <c r="P1898" s="35"/>
      <c r="Q1898" s="35"/>
      <c r="R1898" s="35"/>
      <c r="S1898" s="35"/>
      <c r="T1898" s="35"/>
      <c r="U1898" s="35"/>
      <c r="V1898" s="35"/>
      <c r="W1898" s="35"/>
      <c r="X1898" s="35"/>
      <c r="Y1898" s="35"/>
      <c r="Z1898" s="35"/>
      <c r="AA1898" s="35"/>
      <c r="AB1898" s="35"/>
      <c r="AC1898" s="35"/>
      <c r="AD1898" s="35"/>
      <c r="AE1898" s="35"/>
      <c r="AF1898" s="35"/>
      <c r="AG1898" s="35"/>
      <c r="AH1898" s="35"/>
      <c r="AI1898" s="35"/>
      <c r="AJ1898" s="35"/>
      <c r="AK1898" s="35"/>
      <c r="AL1898" s="35"/>
      <c r="AM1898" s="35"/>
      <c r="AN1898" s="35"/>
      <c r="AO1898" s="35"/>
      <c r="AP1898" s="35"/>
      <c r="AQ1898" s="35"/>
      <c r="AR1898" s="35"/>
      <c r="AS1898" s="35"/>
      <c r="AT1898" s="35"/>
      <c r="AU1898" s="35"/>
      <c r="AV1898" s="35"/>
      <c r="AW1898" s="35"/>
      <c r="AX1898" s="35"/>
      <c r="AY1898" s="35"/>
      <c r="AZ1898" s="35"/>
      <c r="BA1898" s="35"/>
      <c r="BB1898" s="35"/>
      <c r="BC1898" s="35"/>
      <c r="BD1898" s="35"/>
      <c r="BE1898" s="35"/>
      <c r="BF1898" s="35"/>
      <c r="BG1898" s="35"/>
    </row>
    <row r="1899" ht="15.75" customHeight="1">
      <c r="A1899" s="35"/>
      <c r="B1899" s="35"/>
      <c r="C1899" s="35"/>
      <c r="D1899" s="35"/>
      <c r="E1899" s="35"/>
      <c r="F1899" s="35"/>
      <c r="G1899" s="35"/>
      <c r="H1899" s="35"/>
      <c r="I1899" s="35"/>
      <c r="J1899" s="35"/>
      <c r="K1899" s="35"/>
      <c r="L1899" s="35"/>
      <c r="M1899" s="35"/>
      <c r="N1899" s="35"/>
      <c r="O1899" s="35"/>
      <c r="P1899" s="35"/>
      <c r="Q1899" s="35"/>
      <c r="R1899" s="35"/>
      <c r="S1899" s="35"/>
      <c r="T1899" s="35"/>
      <c r="U1899" s="35"/>
      <c r="V1899" s="35"/>
      <c r="W1899" s="35"/>
      <c r="X1899" s="35"/>
      <c r="Y1899" s="35"/>
      <c r="Z1899" s="35"/>
      <c r="AA1899" s="35"/>
      <c r="AB1899" s="35"/>
      <c r="AC1899" s="35"/>
      <c r="AD1899" s="35"/>
      <c r="AE1899" s="35"/>
      <c r="AF1899" s="35"/>
      <c r="AG1899" s="35"/>
      <c r="AH1899" s="35"/>
      <c r="AI1899" s="35"/>
      <c r="AJ1899" s="35"/>
      <c r="AK1899" s="35"/>
      <c r="AL1899" s="35"/>
      <c r="AM1899" s="35"/>
      <c r="AN1899" s="35"/>
      <c r="AO1899" s="35"/>
      <c r="AP1899" s="35"/>
      <c r="AQ1899" s="35"/>
      <c r="AR1899" s="35"/>
      <c r="AS1899" s="35"/>
      <c r="AT1899" s="35"/>
      <c r="AU1899" s="35"/>
      <c r="AV1899" s="35"/>
      <c r="AW1899" s="35"/>
      <c r="AX1899" s="35"/>
      <c r="AY1899" s="35"/>
      <c r="AZ1899" s="35"/>
      <c r="BA1899" s="35"/>
      <c r="BB1899" s="35"/>
      <c r="BC1899" s="35"/>
      <c r="BD1899" s="35"/>
      <c r="BE1899" s="35"/>
      <c r="BF1899" s="35"/>
      <c r="BG1899" s="35"/>
    </row>
    <row r="1900" ht="15.75" customHeight="1">
      <c r="A1900" s="35"/>
      <c r="B1900" s="35"/>
      <c r="C1900" s="35"/>
      <c r="D1900" s="35"/>
      <c r="E1900" s="35"/>
      <c r="F1900" s="35"/>
      <c r="G1900" s="35"/>
      <c r="H1900" s="35"/>
      <c r="I1900" s="35"/>
      <c r="J1900" s="35"/>
      <c r="K1900" s="35"/>
      <c r="L1900" s="35"/>
      <c r="M1900" s="35"/>
      <c r="N1900" s="35"/>
      <c r="O1900" s="35"/>
      <c r="P1900" s="35"/>
      <c r="Q1900" s="35"/>
      <c r="R1900" s="35"/>
      <c r="S1900" s="35"/>
      <c r="T1900" s="35"/>
      <c r="U1900" s="35"/>
      <c r="V1900" s="35"/>
      <c r="W1900" s="35"/>
      <c r="X1900" s="35"/>
      <c r="Y1900" s="35"/>
      <c r="Z1900" s="35"/>
      <c r="AA1900" s="35"/>
      <c r="AB1900" s="35"/>
      <c r="AC1900" s="35"/>
      <c r="AD1900" s="35"/>
      <c r="AE1900" s="35"/>
      <c r="AF1900" s="35"/>
      <c r="AG1900" s="35"/>
      <c r="AH1900" s="35"/>
      <c r="AI1900" s="35"/>
      <c r="AJ1900" s="35"/>
      <c r="AK1900" s="35"/>
      <c r="AL1900" s="35"/>
      <c r="AM1900" s="35"/>
      <c r="AN1900" s="35"/>
      <c r="AO1900" s="35"/>
      <c r="AP1900" s="35"/>
      <c r="AQ1900" s="35"/>
      <c r="AR1900" s="35"/>
      <c r="AS1900" s="35"/>
      <c r="AT1900" s="35"/>
      <c r="AU1900" s="35"/>
      <c r="AV1900" s="35"/>
      <c r="AW1900" s="35"/>
      <c r="AX1900" s="35"/>
      <c r="AY1900" s="35"/>
      <c r="AZ1900" s="35"/>
      <c r="BA1900" s="35"/>
      <c r="BB1900" s="35"/>
      <c r="BC1900" s="35"/>
      <c r="BD1900" s="35"/>
      <c r="BE1900" s="35"/>
      <c r="BF1900" s="35"/>
      <c r="BG1900" s="35"/>
    </row>
    <row r="1901" ht="15.75" customHeight="1">
      <c r="A1901" s="35"/>
      <c r="B1901" s="35"/>
      <c r="C1901" s="35"/>
      <c r="D1901" s="35"/>
      <c r="E1901" s="35"/>
      <c r="F1901" s="35"/>
      <c r="G1901" s="35"/>
      <c r="H1901" s="35"/>
      <c r="I1901" s="35"/>
      <c r="J1901" s="35"/>
      <c r="K1901" s="35"/>
      <c r="L1901" s="35"/>
      <c r="M1901" s="35"/>
      <c r="N1901" s="35"/>
      <c r="O1901" s="35"/>
      <c r="P1901" s="35"/>
      <c r="Q1901" s="35"/>
      <c r="R1901" s="35"/>
      <c r="S1901" s="35"/>
      <c r="T1901" s="35"/>
      <c r="U1901" s="35"/>
      <c r="V1901" s="35"/>
      <c r="W1901" s="35"/>
      <c r="X1901" s="35"/>
      <c r="Y1901" s="35"/>
      <c r="Z1901" s="35"/>
      <c r="AA1901" s="35"/>
      <c r="AB1901" s="35"/>
      <c r="AC1901" s="35"/>
      <c r="AD1901" s="35"/>
      <c r="AE1901" s="35"/>
      <c r="AF1901" s="35"/>
      <c r="AG1901" s="35"/>
      <c r="AH1901" s="35"/>
      <c r="AI1901" s="35"/>
      <c r="AJ1901" s="35"/>
      <c r="AK1901" s="35"/>
      <c r="AL1901" s="35"/>
      <c r="AM1901" s="35"/>
      <c r="AN1901" s="35"/>
      <c r="AO1901" s="35"/>
      <c r="AP1901" s="35"/>
      <c r="AQ1901" s="35"/>
      <c r="AR1901" s="35"/>
      <c r="AS1901" s="35"/>
      <c r="AT1901" s="35"/>
      <c r="AU1901" s="35"/>
      <c r="AV1901" s="35"/>
      <c r="AW1901" s="35"/>
      <c r="AX1901" s="35"/>
      <c r="AY1901" s="35"/>
      <c r="AZ1901" s="35"/>
      <c r="BA1901" s="35"/>
      <c r="BB1901" s="35"/>
      <c r="BC1901" s="35"/>
      <c r="BD1901" s="35"/>
      <c r="BE1901" s="35"/>
      <c r="BF1901" s="35"/>
      <c r="BG1901" s="35"/>
    </row>
    <row r="1902" ht="15.75" customHeight="1">
      <c r="A1902" s="35"/>
      <c r="B1902" s="35"/>
      <c r="C1902" s="35"/>
      <c r="D1902" s="35"/>
      <c r="E1902" s="35"/>
      <c r="F1902" s="35"/>
      <c r="G1902" s="35"/>
      <c r="H1902" s="35"/>
      <c r="I1902" s="35"/>
      <c r="J1902" s="35"/>
      <c r="K1902" s="35"/>
      <c r="L1902" s="35"/>
      <c r="M1902" s="35"/>
      <c r="N1902" s="35"/>
      <c r="O1902" s="35"/>
      <c r="P1902" s="35"/>
      <c r="Q1902" s="35"/>
      <c r="R1902" s="35"/>
      <c r="S1902" s="35"/>
      <c r="T1902" s="35"/>
      <c r="U1902" s="35"/>
      <c r="V1902" s="35"/>
      <c r="W1902" s="35"/>
      <c r="X1902" s="35"/>
      <c r="Y1902" s="35"/>
      <c r="Z1902" s="35"/>
      <c r="AA1902" s="35"/>
      <c r="AB1902" s="35"/>
      <c r="AC1902" s="35"/>
      <c r="AD1902" s="35"/>
      <c r="AE1902" s="35"/>
      <c r="AF1902" s="35"/>
      <c r="AG1902" s="35"/>
      <c r="AH1902" s="35"/>
      <c r="AI1902" s="35"/>
      <c r="AJ1902" s="35"/>
      <c r="AK1902" s="35"/>
      <c r="AL1902" s="35"/>
      <c r="AM1902" s="35"/>
      <c r="AN1902" s="35"/>
      <c r="AO1902" s="35"/>
      <c r="AP1902" s="35"/>
      <c r="AQ1902" s="35"/>
      <c r="AR1902" s="35"/>
      <c r="AS1902" s="35"/>
      <c r="AT1902" s="35"/>
      <c r="AU1902" s="35"/>
      <c r="AV1902" s="35"/>
      <c r="AW1902" s="35"/>
      <c r="AX1902" s="35"/>
      <c r="AY1902" s="35"/>
      <c r="AZ1902" s="35"/>
      <c r="BA1902" s="35"/>
      <c r="BB1902" s="35"/>
      <c r="BC1902" s="35"/>
      <c r="BD1902" s="35"/>
      <c r="BE1902" s="35"/>
      <c r="BF1902" s="35"/>
      <c r="BG1902" s="35"/>
    </row>
    <row r="1903" ht="15.75" customHeight="1">
      <c r="A1903" s="35"/>
      <c r="B1903" s="35"/>
      <c r="C1903" s="35"/>
      <c r="D1903" s="35"/>
      <c r="E1903" s="35"/>
      <c r="F1903" s="35"/>
      <c r="G1903" s="35"/>
      <c r="H1903" s="35"/>
      <c r="I1903" s="35"/>
      <c r="J1903" s="35"/>
      <c r="K1903" s="35"/>
      <c r="L1903" s="35"/>
      <c r="M1903" s="35"/>
      <c r="N1903" s="35"/>
      <c r="O1903" s="35"/>
      <c r="P1903" s="35"/>
      <c r="Q1903" s="35"/>
      <c r="R1903" s="35"/>
      <c r="S1903" s="35"/>
      <c r="T1903" s="35"/>
      <c r="U1903" s="35"/>
      <c r="V1903" s="35"/>
      <c r="W1903" s="35"/>
      <c r="X1903" s="35"/>
      <c r="Y1903" s="35"/>
      <c r="Z1903" s="35"/>
      <c r="AA1903" s="35"/>
      <c r="AB1903" s="35"/>
      <c r="AC1903" s="35"/>
      <c r="AD1903" s="35"/>
      <c r="AE1903" s="35"/>
      <c r="AF1903" s="35"/>
      <c r="AG1903" s="35"/>
      <c r="AH1903" s="35"/>
      <c r="AI1903" s="35"/>
      <c r="AJ1903" s="35"/>
      <c r="AK1903" s="35"/>
      <c r="AL1903" s="35"/>
      <c r="AM1903" s="35"/>
      <c r="AN1903" s="35"/>
      <c r="AO1903" s="35"/>
      <c r="AP1903" s="35"/>
      <c r="AQ1903" s="35"/>
      <c r="AR1903" s="35"/>
      <c r="AS1903" s="35"/>
      <c r="AT1903" s="35"/>
      <c r="AU1903" s="35"/>
      <c r="AV1903" s="35"/>
      <c r="AW1903" s="35"/>
      <c r="AX1903" s="35"/>
      <c r="AY1903" s="35"/>
      <c r="AZ1903" s="35"/>
      <c r="BA1903" s="35"/>
      <c r="BB1903" s="35"/>
      <c r="BC1903" s="35"/>
      <c r="BD1903" s="35"/>
      <c r="BE1903" s="35"/>
      <c r="BF1903" s="35"/>
      <c r="BG1903" s="35"/>
    </row>
    <row r="1904" ht="15.75" customHeight="1">
      <c r="A1904" s="35"/>
      <c r="B1904" s="35"/>
      <c r="C1904" s="35"/>
      <c r="D1904" s="35"/>
      <c r="E1904" s="35"/>
      <c r="F1904" s="35"/>
      <c r="G1904" s="35"/>
      <c r="H1904" s="35"/>
      <c r="I1904" s="35"/>
      <c r="J1904" s="35"/>
      <c r="K1904" s="35"/>
      <c r="L1904" s="35"/>
      <c r="M1904" s="35"/>
      <c r="N1904" s="35"/>
      <c r="O1904" s="35"/>
      <c r="P1904" s="35"/>
      <c r="Q1904" s="35"/>
      <c r="R1904" s="35"/>
      <c r="S1904" s="35"/>
      <c r="T1904" s="35"/>
      <c r="U1904" s="35"/>
      <c r="V1904" s="35"/>
      <c r="W1904" s="35"/>
      <c r="X1904" s="35"/>
      <c r="Y1904" s="35"/>
      <c r="Z1904" s="35"/>
      <c r="AA1904" s="35"/>
      <c r="AB1904" s="35"/>
      <c r="AC1904" s="35"/>
      <c r="AD1904" s="35"/>
      <c r="AE1904" s="35"/>
      <c r="AF1904" s="35"/>
      <c r="AG1904" s="35"/>
      <c r="AH1904" s="35"/>
      <c r="AI1904" s="35"/>
      <c r="AJ1904" s="35"/>
      <c r="AK1904" s="35"/>
      <c r="AL1904" s="35"/>
      <c r="AM1904" s="35"/>
      <c r="AN1904" s="35"/>
      <c r="AO1904" s="35"/>
      <c r="AP1904" s="35"/>
      <c r="AQ1904" s="35"/>
      <c r="AR1904" s="35"/>
      <c r="AS1904" s="35"/>
      <c r="AT1904" s="35"/>
      <c r="AU1904" s="35"/>
      <c r="AV1904" s="35"/>
      <c r="AW1904" s="35"/>
      <c r="AX1904" s="35"/>
      <c r="AY1904" s="35"/>
      <c r="AZ1904" s="35"/>
      <c r="BA1904" s="35"/>
      <c r="BB1904" s="35"/>
      <c r="BC1904" s="35"/>
      <c r="BD1904" s="35"/>
      <c r="BE1904" s="35"/>
      <c r="BF1904" s="35"/>
      <c r="BG1904" s="35"/>
    </row>
    <row r="1905" ht="15.75" customHeight="1">
      <c r="A1905" s="35"/>
      <c r="B1905" s="35"/>
      <c r="C1905" s="35"/>
      <c r="D1905" s="35"/>
      <c r="E1905" s="35"/>
      <c r="F1905" s="35"/>
      <c r="G1905" s="35"/>
      <c r="H1905" s="35"/>
      <c r="I1905" s="35"/>
      <c r="J1905" s="35"/>
      <c r="K1905" s="35"/>
      <c r="L1905" s="35"/>
      <c r="M1905" s="35"/>
      <c r="N1905" s="35"/>
      <c r="O1905" s="35"/>
      <c r="P1905" s="35"/>
      <c r="Q1905" s="35"/>
      <c r="R1905" s="35"/>
      <c r="S1905" s="35"/>
      <c r="T1905" s="35"/>
      <c r="U1905" s="35"/>
      <c r="V1905" s="35"/>
      <c r="W1905" s="35"/>
      <c r="X1905" s="35"/>
      <c r="Y1905" s="35"/>
      <c r="Z1905" s="35"/>
      <c r="AA1905" s="35"/>
      <c r="AB1905" s="35"/>
      <c r="AC1905" s="35"/>
      <c r="AD1905" s="35"/>
      <c r="AE1905" s="35"/>
      <c r="AF1905" s="35"/>
      <c r="AG1905" s="35"/>
      <c r="AH1905" s="35"/>
      <c r="AI1905" s="35"/>
      <c r="AJ1905" s="35"/>
      <c r="AK1905" s="35"/>
      <c r="AL1905" s="35"/>
      <c r="AM1905" s="35"/>
      <c r="AN1905" s="35"/>
      <c r="AO1905" s="35"/>
      <c r="AP1905" s="35"/>
      <c r="AQ1905" s="35"/>
      <c r="AR1905" s="35"/>
      <c r="AS1905" s="35"/>
      <c r="AT1905" s="35"/>
      <c r="AU1905" s="35"/>
      <c r="AV1905" s="35"/>
      <c r="AW1905" s="35"/>
      <c r="AX1905" s="35"/>
      <c r="AY1905" s="35"/>
      <c r="AZ1905" s="35"/>
      <c r="BA1905" s="35"/>
      <c r="BB1905" s="35"/>
      <c r="BC1905" s="35"/>
      <c r="BD1905" s="35"/>
      <c r="BE1905" s="35"/>
      <c r="BF1905" s="35"/>
      <c r="BG1905" s="35"/>
    </row>
    <row r="1906" ht="15.75" customHeight="1">
      <c r="A1906" s="35"/>
      <c r="B1906" s="35"/>
      <c r="C1906" s="35"/>
      <c r="D1906" s="35"/>
      <c r="E1906" s="35"/>
      <c r="F1906" s="35"/>
      <c r="G1906" s="35"/>
      <c r="H1906" s="35"/>
      <c r="I1906" s="35"/>
      <c r="J1906" s="35"/>
      <c r="K1906" s="35"/>
      <c r="L1906" s="35"/>
      <c r="M1906" s="35"/>
      <c r="N1906" s="35"/>
      <c r="O1906" s="35"/>
      <c r="P1906" s="35"/>
      <c r="Q1906" s="35"/>
      <c r="R1906" s="35"/>
      <c r="S1906" s="35"/>
      <c r="T1906" s="35"/>
      <c r="U1906" s="35"/>
      <c r="V1906" s="35"/>
      <c r="W1906" s="35"/>
      <c r="X1906" s="35"/>
      <c r="Y1906" s="35"/>
      <c r="Z1906" s="35"/>
      <c r="AA1906" s="35"/>
      <c r="AB1906" s="35"/>
      <c r="AC1906" s="35"/>
      <c r="AD1906" s="35"/>
      <c r="AE1906" s="35"/>
      <c r="AF1906" s="35"/>
      <c r="AG1906" s="35"/>
      <c r="AH1906" s="35"/>
      <c r="AI1906" s="35"/>
      <c r="AJ1906" s="35"/>
      <c r="AK1906" s="35"/>
      <c r="AL1906" s="35"/>
      <c r="AM1906" s="35"/>
      <c r="AN1906" s="35"/>
      <c r="AO1906" s="35"/>
      <c r="AP1906" s="35"/>
      <c r="AQ1906" s="35"/>
      <c r="AR1906" s="35"/>
      <c r="AS1906" s="35"/>
      <c r="AT1906" s="35"/>
      <c r="AU1906" s="35"/>
      <c r="AV1906" s="35"/>
      <c r="AW1906" s="35"/>
      <c r="AX1906" s="35"/>
      <c r="AY1906" s="35"/>
      <c r="AZ1906" s="35"/>
      <c r="BA1906" s="35"/>
      <c r="BB1906" s="35"/>
      <c r="BC1906" s="35"/>
      <c r="BD1906" s="35"/>
      <c r="BE1906" s="35"/>
      <c r="BF1906" s="35"/>
      <c r="BG1906" s="35"/>
    </row>
    <row r="1907" ht="15.75" customHeight="1">
      <c r="A1907" s="35"/>
      <c r="B1907" s="35"/>
      <c r="C1907" s="35"/>
      <c r="D1907" s="35"/>
      <c r="E1907" s="35"/>
      <c r="F1907" s="35"/>
      <c r="G1907" s="35"/>
      <c r="H1907" s="35"/>
      <c r="I1907" s="35"/>
      <c r="J1907" s="35"/>
      <c r="K1907" s="35"/>
      <c r="L1907" s="35"/>
      <c r="M1907" s="35"/>
      <c r="N1907" s="35"/>
      <c r="O1907" s="35"/>
      <c r="P1907" s="35"/>
      <c r="Q1907" s="35"/>
      <c r="R1907" s="35"/>
      <c r="S1907" s="35"/>
      <c r="T1907" s="35"/>
      <c r="U1907" s="35"/>
      <c r="V1907" s="35"/>
      <c r="W1907" s="35"/>
      <c r="X1907" s="35"/>
      <c r="Y1907" s="35"/>
      <c r="Z1907" s="35"/>
      <c r="AA1907" s="35"/>
      <c r="AB1907" s="35"/>
      <c r="AC1907" s="35"/>
      <c r="AD1907" s="35"/>
      <c r="AE1907" s="35"/>
      <c r="AF1907" s="35"/>
      <c r="AG1907" s="35"/>
      <c r="AH1907" s="35"/>
      <c r="AI1907" s="35"/>
      <c r="AJ1907" s="35"/>
      <c r="AK1907" s="35"/>
      <c r="AL1907" s="35"/>
      <c r="AM1907" s="35"/>
      <c r="AN1907" s="35"/>
      <c r="AO1907" s="35"/>
      <c r="AP1907" s="35"/>
      <c r="AQ1907" s="35"/>
      <c r="AR1907" s="35"/>
      <c r="AS1907" s="35"/>
      <c r="AT1907" s="35"/>
      <c r="AU1907" s="35"/>
      <c r="AV1907" s="35"/>
      <c r="AW1907" s="35"/>
      <c r="AX1907" s="35"/>
      <c r="AY1907" s="35"/>
      <c r="AZ1907" s="35"/>
      <c r="BA1907" s="35"/>
      <c r="BB1907" s="35"/>
      <c r="BC1907" s="35"/>
      <c r="BD1907" s="35"/>
      <c r="BE1907" s="35"/>
      <c r="BF1907" s="35"/>
      <c r="BG1907" s="35"/>
    </row>
    <row r="1908" ht="15.75" customHeight="1">
      <c r="A1908" s="35"/>
      <c r="B1908" s="35"/>
      <c r="C1908" s="35"/>
      <c r="D1908" s="35"/>
      <c r="E1908" s="35"/>
      <c r="F1908" s="35"/>
      <c r="G1908" s="35"/>
      <c r="H1908" s="35"/>
      <c r="I1908" s="35"/>
      <c r="J1908" s="35"/>
      <c r="K1908" s="35"/>
      <c r="L1908" s="35"/>
      <c r="M1908" s="35"/>
      <c r="N1908" s="35"/>
      <c r="O1908" s="35"/>
      <c r="P1908" s="35"/>
      <c r="Q1908" s="35"/>
      <c r="R1908" s="35"/>
      <c r="S1908" s="35"/>
      <c r="T1908" s="35"/>
      <c r="U1908" s="35"/>
      <c r="V1908" s="35"/>
      <c r="W1908" s="35"/>
      <c r="X1908" s="35"/>
      <c r="Y1908" s="35"/>
      <c r="Z1908" s="35"/>
      <c r="AA1908" s="35"/>
      <c r="AB1908" s="35"/>
      <c r="AC1908" s="35"/>
      <c r="AD1908" s="35"/>
      <c r="AE1908" s="35"/>
      <c r="AF1908" s="35"/>
      <c r="AG1908" s="35"/>
      <c r="AH1908" s="35"/>
      <c r="AI1908" s="35"/>
      <c r="AJ1908" s="35"/>
      <c r="AK1908" s="35"/>
      <c r="AL1908" s="35"/>
      <c r="AM1908" s="35"/>
      <c r="AN1908" s="35"/>
      <c r="AO1908" s="35"/>
      <c r="AP1908" s="35"/>
      <c r="AQ1908" s="35"/>
      <c r="AR1908" s="35"/>
      <c r="AS1908" s="35"/>
      <c r="AT1908" s="35"/>
      <c r="AU1908" s="35"/>
      <c r="AV1908" s="35"/>
      <c r="AW1908" s="35"/>
      <c r="AX1908" s="35"/>
      <c r="AY1908" s="35"/>
      <c r="AZ1908" s="35"/>
      <c r="BA1908" s="35"/>
      <c r="BB1908" s="35"/>
      <c r="BC1908" s="35"/>
      <c r="BD1908" s="35"/>
      <c r="BE1908" s="35"/>
      <c r="BF1908" s="35"/>
      <c r="BG1908" s="35"/>
    </row>
    <row r="1909" ht="15.75" customHeight="1">
      <c r="A1909" s="35"/>
      <c r="B1909" s="35"/>
      <c r="C1909" s="35"/>
      <c r="D1909" s="35"/>
      <c r="E1909" s="35"/>
      <c r="F1909" s="35"/>
      <c r="G1909" s="35"/>
      <c r="H1909" s="35"/>
      <c r="I1909" s="35"/>
      <c r="J1909" s="35"/>
      <c r="K1909" s="35"/>
      <c r="L1909" s="35"/>
      <c r="M1909" s="35"/>
      <c r="N1909" s="35"/>
      <c r="O1909" s="35"/>
      <c r="P1909" s="35"/>
      <c r="Q1909" s="35"/>
      <c r="R1909" s="35"/>
      <c r="S1909" s="35"/>
      <c r="T1909" s="35"/>
      <c r="U1909" s="35"/>
      <c r="V1909" s="35"/>
      <c r="W1909" s="35"/>
      <c r="X1909" s="35"/>
      <c r="Y1909" s="35"/>
      <c r="Z1909" s="35"/>
      <c r="AA1909" s="35"/>
      <c r="AB1909" s="35"/>
      <c r="AC1909" s="35"/>
      <c r="AD1909" s="35"/>
      <c r="AE1909" s="35"/>
      <c r="AF1909" s="35"/>
      <c r="AG1909" s="35"/>
      <c r="AH1909" s="35"/>
      <c r="AI1909" s="35"/>
      <c r="AJ1909" s="35"/>
      <c r="AK1909" s="35"/>
      <c r="AL1909" s="35"/>
      <c r="AM1909" s="35"/>
      <c r="AN1909" s="35"/>
      <c r="AO1909" s="35"/>
      <c r="AP1909" s="35"/>
      <c r="AQ1909" s="35"/>
      <c r="AR1909" s="35"/>
      <c r="AS1909" s="35"/>
      <c r="AT1909" s="35"/>
      <c r="AU1909" s="35"/>
      <c r="AV1909" s="35"/>
      <c r="AW1909" s="35"/>
      <c r="AX1909" s="35"/>
      <c r="AY1909" s="35"/>
      <c r="AZ1909" s="35"/>
      <c r="BA1909" s="35"/>
      <c r="BB1909" s="35"/>
      <c r="BC1909" s="35"/>
      <c r="BD1909" s="35"/>
      <c r="BE1909" s="35"/>
      <c r="BF1909" s="35"/>
      <c r="BG1909" s="35"/>
    </row>
    <row r="1910" ht="15.75" customHeight="1">
      <c r="A1910" s="35"/>
      <c r="B1910" s="35"/>
      <c r="C1910" s="35"/>
      <c r="D1910" s="35"/>
      <c r="E1910" s="35"/>
      <c r="F1910" s="35"/>
      <c r="G1910" s="35"/>
      <c r="H1910" s="35"/>
      <c r="I1910" s="35"/>
      <c r="J1910" s="35"/>
      <c r="K1910" s="35"/>
      <c r="L1910" s="35"/>
      <c r="M1910" s="35"/>
      <c r="N1910" s="35"/>
      <c r="O1910" s="35"/>
      <c r="P1910" s="35"/>
      <c r="Q1910" s="35"/>
      <c r="R1910" s="35"/>
      <c r="S1910" s="35"/>
      <c r="T1910" s="35"/>
      <c r="U1910" s="35"/>
      <c r="V1910" s="35"/>
      <c r="W1910" s="35"/>
      <c r="X1910" s="35"/>
      <c r="Y1910" s="35"/>
      <c r="Z1910" s="35"/>
      <c r="AA1910" s="35"/>
      <c r="AB1910" s="35"/>
      <c r="AC1910" s="35"/>
      <c r="AD1910" s="35"/>
      <c r="AE1910" s="35"/>
      <c r="AF1910" s="35"/>
      <c r="AG1910" s="35"/>
      <c r="AH1910" s="35"/>
      <c r="AI1910" s="35"/>
      <c r="AJ1910" s="35"/>
      <c r="AK1910" s="35"/>
      <c r="AL1910" s="35"/>
      <c r="AM1910" s="35"/>
      <c r="AN1910" s="35"/>
      <c r="AO1910" s="35"/>
      <c r="AP1910" s="35"/>
      <c r="AQ1910" s="35"/>
      <c r="AR1910" s="35"/>
      <c r="AS1910" s="35"/>
      <c r="AT1910" s="35"/>
      <c r="AU1910" s="35"/>
      <c r="AV1910" s="35"/>
      <c r="AW1910" s="35"/>
      <c r="AX1910" s="35"/>
      <c r="AY1910" s="35"/>
      <c r="AZ1910" s="35"/>
      <c r="BA1910" s="35"/>
      <c r="BB1910" s="35"/>
      <c r="BC1910" s="35"/>
      <c r="BD1910" s="35"/>
      <c r="BE1910" s="35"/>
      <c r="BF1910" s="35"/>
      <c r="BG1910" s="35"/>
    </row>
    <row r="1911" ht="15.75" customHeight="1">
      <c r="A1911" s="35"/>
      <c r="B1911" s="35"/>
      <c r="C1911" s="35"/>
      <c r="D1911" s="35"/>
      <c r="E1911" s="35"/>
      <c r="F1911" s="35"/>
      <c r="G1911" s="35"/>
      <c r="H1911" s="35"/>
      <c r="I1911" s="35"/>
      <c r="J1911" s="35"/>
      <c r="K1911" s="35"/>
      <c r="L1911" s="35"/>
      <c r="M1911" s="35"/>
      <c r="N1911" s="35"/>
      <c r="O1911" s="35"/>
      <c r="P1911" s="35"/>
      <c r="Q1911" s="35"/>
      <c r="R1911" s="35"/>
      <c r="S1911" s="35"/>
      <c r="T1911" s="35"/>
      <c r="U1911" s="35"/>
      <c r="V1911" s="35"/>
      <c r="W1911" s="35"/>
      <c r="X1911" s="35"/>
      <c r="Y1911" s="35"/>
      <c r="Z1911" s="35"/>
      <c r="AA1911" s="35"/>
      <c r="AB1911" s="35"/>
      <c r="AC1911" s="35"/>
      <c r="AD1911" s="35"/>
      <c r="AE1911" s="35"/>
      <c r="AF1911" s="35"/>
      <c r="AG1911" s="35"/>
      <c r="AH1911" s="35"/>
      <c r="AI1911" s="35"/>
      <c r="AJ1911" s="35"/>
      <c r="AK1911" s="35"/>
      <c r="AL1911" s="35"/>
      <c r="AM1911" s="35"/>
      <c r="AN1911" s="35"/>
      <c r="AO1911" s="35"/>
      <c r="AP1911" s="35"/>
      <c r="AQ1911" s="35"/>
      <c r="AR1911" s="35"/>
      <c r="AS1911" s="35"/>
      <c r="AT1911" s="35"/>
      <c r="AU1911" s="35"/>
      <c r="AV1911" s="35"/>
      <c r="AW1911" s="35"/>
      <c r="AX1911" s="35"/>
      <c r="AY1911" s="35"/>
      <c r="AZ1911" s="35"/>
      <c r="BA1911" s="35"/>
      <c r="BB1911" s="35"/>
      <c r="BC1911" s="35"/>
      <c r="BD1911" s="35"/>
      <c r="BE1911" s="35"/>
      <c r="BF1911" s="35"/>
      <c r="BG1911" s="35"/>
    </row>
    <row r="1912" ht="15.75" customHeight="1">
      <c r="A1912" s="35"/>
      <c r="B1912" s="35"/>
      <c r="C1912" s="35"/>
      <c r="D1912" s="35"/>
      <c r="E1912" s="35"/>
      <c r="F1912" s="35"/>
      <c r="G1912" s="35"/>
      <c r="H1912" s="35"/>
      <c r="I1912" s="35"/>
      <c r="J1912" s="35"/>
      <c r="K1912" s="35"/>
      <c r="L1912" s="35"/>
      <c r="M1912" s="35"/>
      <c r="N1912" s="35"/>
      <c r="O1912" s="35"/>
      <c r="P1912" s="35"/>
      <c r="Q1912" s="35"/>
      <c r="R1912" s="35"/>
      <c r="S1912" s="35"/>
      <c r="T1912" s="35"/>
      <c r="U1912" s="35"/>
      <c r="V1912" s="35"/>
      <c r="W1912" s="35"/>
      <c r="X1912" s="35"/>
      <c r="Y1912" s="35"/>
      <c r="Z1912" s="35"/>
      <c r="AA1912" s="35"/>
      <c r="AB1912" s="35"/>
      <c r="AC1912" s="35"/>
      <c r="AD1912" s="35"/>
      <c r="AE1912" s="35"/>
      <c r="AF1912" s="35"/>
      <c r="AG1912" s="35"/>
      <c r="AH1912" s="35"/>
      <c r="AI1912" s="35"/>
      <c r="AJ1912" s="35"/>
      <c r="AK1912" s="35"/>
      <c r="AL1912" s="35"/>
      <c r="AM1912" s="35"/>
      <c r="AN1912" s="35"/>
      <c r="AO1912" s="35"/>
      <c r="AP1912" s="35"/>
      <c r="AQ1912" s="35"/>
      <c r="AR1912" s="35"/>
      <c r="AS1912" s="35"/>
      <c r="AT1912" s="35"/>
      <c r="AU1912" s="35"/>
      <c r="AV1912" s="35"/>
      <c r="AW1912" s="35"/>
      <c r="AX1912" s="35"/>
      <c r="AY1912" s="35"/>
      <c r="AZ1912" s="35"/>
      <c r="BA1912" s="35"/>
      <c r="BB1912" s="35"/>
      <c r="BC1912" s="35"/>
      <c r="BD1912" s="35"/>
      <c r="BE1912" s="35"/>
      <c r="BF1912" s="35"/>
      <c r="BG1912" s="35"/>
    </row>
    <row r="1913" ht="15.75" customHeight="1">
      <c r="A1913" s="35"/>
      <c r="B1913" s="35"/>
      <c r="C1913" s="35"/>
      <c r="D1913" s="35"/>
      <c r="E1913" s="35"/>
      <c r="F1913" s="35"/>
      <c r="G1913" s="35"/>
      <c r="H1913" s="35"/>
      <c r="I1913" s="35"/>
      <c r="J1913" s="35"/>
      <c r="K1913" s="35"/>
      <c r="L1913" s="35"/>
      <c r="M1913" s="35"/>
      <c r="N1913" s="35"/>
      <c r="O1913" s="35"/>
      <c r="P1913" s="35"/>
      <c r="Q1913" s="35"/>
      <c r="R1913" s="35"/>
      <c r="S1913" s="35"/>
      <c r="T1913" s="35"/>
      <c r="U1913" s="35"/>
      <c r="V1913" s="35"/>
      <c r="W1913" s="35"/>
      <c r="X1913" s="35"/>
      <c r="Y1913" s="35"/>
      <c r="Z1913" s="35"/>
      <c r="AA1913" s="35"/>
      <c r="AB1913" s="35"/>
      <c r="AC1913" s="35"/>
      <c r="AD1913" s="35"/>
      <c r="AE1913" s="35"/>
      <c r="AF1913" s="35"/>
      <c r="AG1913" s="35"/>
      <c r="AH1913" s="35"/>
      <c r="AI1913" s="35"/>
      <c r="AJ1913" s="35"/>
      <c r="AK1913" s="35"/>
      <c r="AL1913" s="35"/>
      <c r="AM1913" s="35"/>
      <c r="AN1913" s="35"/>
      <c r="AO1913" s="35"/>
      <c r="AP1913" s="35"/>
      <c r="AQ1913" s="35"/>
      <c r="AR1913" s="35"/>
      <c r="AS1913" s="35"/>
      <c r="AT1913" s="35"/>
      <c r="AU1913" s="35"/>
      <c r="AV1913" s="35"/>
      <c r="AW1913" s="35"/>
      <c r="AX1913" s="35"/>
      <c r="AY1913" s="35"/>
      <c r="AZ1913" s="35"/>
      <c r="BA1913" s="35"/>
      <c r="BB1913" s="35"/>
      <c r="BC1913" s="35"/>
      <c r="BD1913" s="35"/>
      <c r="BE1913" s="35"/>
      <c r="BF1913" s="35"/>
      <c r="BG1913" s="35"/>
    </row>
    <row r="1914" ht="15.75" customHeight="1">
      <c r="A1914" s="35"/>
      <c r="B1914" s="35"/>
      <c r="C1914" s="35"/>
      <c r="D1914" s="35"/>
      <c r="E1914" s="35"/>
      <c r="F1914" s="35"/>
      <c r="G1914" s="35"/>
      <c r="H1914" s="35"/>
      <c r="I1914" s="35"/>
      <c r="J1914" s="35"/>
      <c r="K1914" s="35"/>
      <c r="L1914" s="35"/>
      <c r="M1914" s="35"/>
      <c r="N1914" s="35"/>
      <c r="O1914" s="35"/>
      <c r="P1914" s="35"/>
      <c r="Q1914" s="35"/>
      <c r="R1914" s="35"/>
      <c r="S1914" s="35"/>
      <c r="T1914" s="35"/>
      <c r="U1914" s="35"/>
      <c r="V1914" s="35"/>
      <c r="W1914" s="35"/>
      <c r="X1914" s="35"/>
      <c r="Y1914" s="35"/>
      <c r="Z1914" s="35"/>
      <c r="AA1914" s="35"/>
      <c r="AB1914" s="35"/>
      <c r="AC1914" s="35"/>
      <c r="AD1914" s="35"/>
      <c r="AE1914" s="35"/>
      <c r="AF1914" s="35"/>
      <c r="AG1914" s="35"/>
      <c r="AH1914" s="35"/>
      <c r="AI1914" s="35"/>
      <c r="AJ1914" s="35"/>
      <c r="AK1914" s="35"/>
      <c r="AL1914" s="35"/>
      <c r="AM1914" s="35"/>
      <c r="AN1914" s="35"/>
      <c r="AO1914" s="35"/>
      <c r="AP1914" s="35"/>
      <c r="AQ1914" s="35"/>
      <c r="AR1914" s="35"/>
      <c r="AS1914" s="35"/>
      <c r="AT1914" s="35"/>
      <c r="AU1914" s="35"/>
      <c r="AV1914" s="35"/>
      <c r="AW1914" s="35"/>
      <c r="AX1914" s="35"/>
      <c r="AY1914" s="35"/>
      <c r="AZ1914" s="35"/>
      <c r="BA1914" s="35"/>
      <c r="BB1914" s="35"/>
      <c r="BC1914" s="35"/>
      <c r="BD1914" s="35"/>
      <c r="BE1914" s="35"/>
      <c r="BF1914" s="35"/>
      <c r="BG1914" s="35"/>
    </row>
    <row r="1915" ht="15.75" customHeight="1">
      <c r="A1915" s="35"/>
      <c r="B1915" s="35"/>
      <c r="C1915" s="35"/>
      <c r="D1915" s="35"/>
      <c r="E1915" s="35"/>
      <c r="F1915" s="35"/>
      <c r="G1915" s="35"/>
      <c r="H1915" s="35"/>
      <c r="I1915" s="35"/>
      <c r="J1915" s="35"/>
      <c r="K1915" s="35"/>
      <c r="L1915" s="35"/>
      <c r="M1915" s="35"/>
      <c r="N1915" s="35"/>
      <c r="O1915" s="35"/>
      <c r="P1915" s="35"/>
      <c r="Q1915" s="35"/>
      <c r="R1915" s="35"/>
      <c r="S1915" s="35"/>
      <c r="T1915" s="35"/>
      <c r="U1915" s="35"/>
      <c r="V1915" s="35"/>
      <c r="W1915" s="35"/>
      <c r="X1915" s="35"/>
      <c r="Y1915" s="35"/>
      <c r="Z1915" s="35"/>
      <c r="AA1915" s="35"/>
      <c r="AB1915" s="35"/>
      <c r="AC1915" s="35"/>
      <c r="AD1915" s="35"/>
      <c r="AE1915" s="35"/>
      <c r="AF1915" s="35"/>
      <c r="AG1915" s="35"/>
      <c r="AH1915" s="35"/>
      <c r="AI1915" s="35"/>
      <c r="AJ1915" s="35"/>
      <c r="AK1915" s="35"/>
      <c r="AL1915" s="35"/>
      <c r="AM1915" s="35"/>
      <c r="AN1915" s="35"/>
      <c r="AO1915" s="35"/>
      <c r="AP1915" s="35"/>
      <c r="AQ1915" s="35"/>
      <c r="AR1915" s="35"/>
      <c r="AS1915" s="35"/>
      <c r="AT1915" s="35"/>
      <c r="AU1915" s="35"/>
      <c r="AV1915" s="35"/>
      <c r="AW1915" s="35"/>
      <c r="AX1915" s="35"/>
      <c r="AY1915" s="35"/>
      <c r="AZ1915" s="35"/>
      <c r="BA1915" s="35"/>
      <c r="BB1915" s="35"/>
      <c r="BC1915" s="35"/>
      <c r="BD1915" s="35"/>
      <c r="BE1915" s="35"/>
      <c r="BF1915" s="35"/>
      <c r="BG1915" s="35"/>
    </row>
    <row r="1916" ht="15.75" customHeight="1">
      <c r="A1916" s="35"/>
      <c r="B1916" s="35"/>
      <c r="C1916" s="35"/>
      <c r="D1916" s="35"/>
      <c r="E1916" s="35"/>
      <c r="F1916" s="35"/>
      <c r="G1916" s="35"/>
      <c r="H1916" s="35"/>
      <c r="I1916" s="35"/>
      <c r="J1916" s="35"/>
      <c r="K1916" s="35"/>
      <c r="L1916" s="35"/>
      <c r="M1916" s="35"/>
      <c r="N1916" s="35"/>
      <c r="O1916" s="35"/>
      <c r="P1916" s="35"/>
      <c r="Q1916" s="35"/>
      <c r="R1916" s="35"/>
      <c r="S1916" s="35"/>
      <c r="T1916" s="35"/>
      <c r="U1916" s="35"/>
      <c r="V1916" s="35"/>
      <c r="W1916" s="35"/>
      <c r="X1916" s="35"/>
      <c r="Y1916" s="35"/>
      <c r="Z1916" s="35"/>
      <c r="AA1916" s="35"/>
      <c r="AB1916" s="35"/>
      <c r="AC1916" s="35"/>
      <c r="AD1916" s="35"/>
      <c r="AE1916" s="35"/>
      <c r="AF1916" s="35"/>
      <c r="AG1916" s="35"/>
      <c r="AH1916" s="35"/>
      <c r="AI1916" s="35"/>
      <c r="AJ1916" s="35"/>
      <c r="AK1916" s="35"/>
      <c r="AL1916" s="35"/>
      <c r="AM1916" s="35"/>
      <c r="AN1916" s="35"/>
      <c r="AO1916" s="35"/>
      <c r="AP1916" s="35"/>
      <c r="AQ1916" s="35"/>
      <c r="AR1916" s="35"/>
      <c r="AS1916" s="35"/>
      <c r="AT1916" s="35"/>
      <c r="AU1916" s="35"/>
      <c r="AV1916" s="35"/>
      <c r="AW1916" s="35"/>
      <c r="AX1916" s="35"/>
      <c r="AY1916" s="35"/>
      <c r="AZ1916" s="35"/>
      <c r="BA1916" s="35"/>
      <c r="BB1916" s="35"/>
      <c r="BC1916" s="35"/>
      <c r="BD1916" s="35"/>
      <c r="BE1916" s="35"/>
      <c r="BF1916" s="35"/>
      <c r="BG1916" s="35"/>
    </row>
    <row r="1917" ht="15.75" customHeight="1">
      <c r="A1917" s="35"/>
      <c r="B1917" s="35"/>
      <c r="C1917" s="35"/>
      <c r="D1917" s="35"/>
      <c r="E1917" s="35"/>
      <c r="F1917" s="35"/>
      <c r="G1917" s="35"/>
      <c r="H1917" s="35"/>
      <c r="I1917" s="35"/>
      <c r="J1917" s="35"/>
      <c r="K1917" s="35"/>
      <c r="L1917" s="35"/>
      <c r="M1917" s="35"/>
      <c r="N1917" s="35"/>
      <c r="O1917" s="35"/>
      <c r="P1917" s="35"/>
      <c r="Q1917" s="35"/>
      <c r="R1917" s="35"/>
      <c r="S1917" s="35"/>
      <c r="T1917" s="35"/>
      <c r="U1917" s="35"/>
      <c r="V1917" s="35"/>
      <c r="W1917" s="35"/>
      <c r="X1917" s="35"/>
      <c r="Y1917" s="35"/>
      <c r="Z1917" s="35"/>
      <c r="AA1917" s="35"/>
      <c r="AB1917" s="35"/>
      <c r="AC1917" s="35"/>
      <c r="AD1917" s="35"/>
      <c r="AE1917" s="35"/>
      <c r="AF1917" s="35"/>
      <c r="AG1917" s="35"/>
      <c r="AH1917" s="35"/>
      <c r="AI1917" s="35"/>
      <c r="AJ1917" s="35"/>
      <c r="AK1917" s="35"/>
      <c r="AL1917" s="35"/>
      <c r="AM1917" s="35"/>
      <c r="AN1917" s="35"/>
      <c r="AO1917" s="35"/>
      <c r="AP1917" s="35"/>
      <c r="AQ1917" s="35"/>
      <c r="AR1917" s="35"/>
      <c r="AS1917" s="35"/>
      <c r="AT1917" s="35"/>
      <c r="AU1917" s="35"/>
      <c r="AV1917" s="35"/>
      <c r="AW1917" s="35"/>
      <c r="AX1917" s="35"/>
      <c r="AY1917" s="35"/>
      <c r="AZ1917" s="35"/>
      <c r="BA1917" s="35"/>
      <c r="BB1917" s="35"/>
      <c r="BC1917" s="35"/>
      <c r="BD1917" s="35"/>
      <c r="BE1917" s="35"/>
      <c r="BF1917" s="35"/>
      <c r="BG1917" s="35"/>
    </row>
    <row r="1918" ht="15.75" customHeight="1">
      <c r="A1918" s="35"/>
      <c r="B1918" s="35"/>
      <c r="C1918" s="35"/>
      <c r="D1918" s="35"/>
      <c r="E1918" s="35"/>
      <c r="F1918" s="35"/>
      <c r="G1918" s="35"/>
      <c r="H1918" s="35"/>
      <c r="I1918" s="35"/>
      <c r="J1918" s="35"/>
      <c r="K1918" s="35"/>
      <c r="L1918" s="35"/>
      <c r="M1918" s="35"/>
      <c r="N1918" s="35"/>
      <c r="O1918" s="35"/>
      <c r="P1918" s="35"/>
      <c r="Q1918" s="35"/>
      <c r="R1918" s="35"/>
      <c r="S1918" s="35"/>
      <c r="T1918" s="35"/>
      <c r="U1918" s="35"/>
      <c r="V1918" s="35"/>
      <c r="W1918" s="35"/>
      <c r="X1918" s="35"/>
      <c r="Y1918" s="35"/>
      <c r="Z1918" s="35"/>
      <c r="AA1918" s="35"/>
      <c r="AB1918" s="35"/>
      <c r="AC1918" s="35"/>
      <c r="AD1918" s="35"/>
      <c r="AE1918" s="35"/>
      <c r="AF1918" s="35"/>
      <c r="AG1918" s="35"/>
      <c r="AH1918" s="35"/>
      <c r="AI1918" s="35"/>
      <c r="AJ1918" s="35"/>
      <c r="AK1918" s="35"/>
      <c r="AL1918" s="35"/>
      <c r="AM1918" s="35"/>
      <c r="AN1918" s="35"/>
      <c r="AO1918" s="35"/>
      <c r="AP1918" s="35"/>
      <c r="AQ1918" s="35"/>
      <c r="AR1918" s="35"/>
      <c r="AS1918" s="35"/>
      <c r="AT1918" s="35"/>
      <c r="AU1918" s="35"/>
      <c r="AV1918" s="35"/>
      <c r="AW1918" s="35"/>
      <c r="AX1918" s="35"/>
      <c r="AY1918" s="35"/>
      <c r="AZ1918" s="35"/>
      <c r="BA1918" s="35"/>
      <c r="BB1918" s="35"/>
      <c r="BC1918" s="35"/>
      <c r="BD1918" s="35"/>
      <c r="BE1918" s="35"/>
      <c r="BF1918" s="35"/>
      <c r="BG1918" s="35"/>
    </row>
    <row r="1919" ht="15.75" customHeight="1">
      <c r="A1919" s="35"/>
      <c r="B1919" s="35"/>
      <c r="C1919" s="35"/>
      <c r="D1919" s="35"/>
      <c r="E1919" s="35"/>
      <c r="F1919" s="35"/>
      <c r="G1919" s="35"/>
      <c r="H1919" s="35"/>
      <c r="I1919" s="35"/>
      <c r="J1919" s="35"/>
      <c r="K1919" s="35"/>
      <c r="L1919" s="35"/>
      <c r="M1919" s="35"/>
      <c r="N1919" s="35"/>
      <c r="O1919" s="35"/>
      <c r="P1919" s="35"/>
      <c r="Q1919" s="35"/>
      <c r="R1919" s="35"/>
      <c r="S1919" s="35"/>
      <c r="T1919" s="35"/>
      <c r="U1919" s="35"/>
      <c r="V1919" s="35"/>
      <c r="W1919" s="35"/>
      <c r="X1919" s="35"/>
      <c r="Y1919" s="35"/>
      <c r="Z1919" s="35"/>
      <c r="AA1919" s="35"/>
      <c r="AB1919" s="35"/>
      <c r="AC1919" s="35"/>
      <c r="AD1919" s="35"/>
      <c r="AE1919" s="35"/>
      <c r="AF1919" s="35"/>
      <c r="AG1919" s="35"/>
      <c r="AH1919" s="35"/>
      <c r="AI1919" s="35"/>
      <c r="AJ1919" s="35"/>
      <c r="AK1919" s="35"/>
      <c r="AL1919" s="35"/>
      <c r="AM1919" s="35"/>
      <c r="AN1919" s="35"/>
      <c r="AO1919" s="35"/>
      <c r="AP1919" s="35"/>
      <c r="AQ1919" s="35"/>
      <c r="AR1919" s="35"/>
      <c r="AS1919" s="35"/>
      <c r="AT1919" s="35"/>
      <c r="AU1919" s="35"/>
      <c r="AV1919" s="35"/>
      <c r="AW1919" s="35"/>
      <c r="AX1919" s="35"/>
      <c r="AY1919" s="35"/>
      <c r="AZ1919" s="35"/>
      <c r="BA1919" s="35"/>
      <c r="BB1919" s="35"/>
      <c r="BC1919" s="35"/>
      <c r="BD1919" s="35"/>
      <c r="BE1919" s="35"/>
      <c r="BF1919" s="35"/>
      <c r="BG1919" s="35"/>
    </row>
    <row r="1920" ht="15.75" customHeight="1">
      <c r="A1920" s="35"/>
      <c r="B1920" s="35"/>
      <c r="C1920" s="35"/>
      <c r="D1920" s="35"/>
      <c r="E1920" s="35"/>
      <c r="F1920" s="35"/>
      <c r="G1920" s="35"/>
      <c r="H1920" s="35"/>
      <c r="I1920" s="35"/>
      <c r="J1920" s="35"/>
      <c r="K1920" s="35"/>
      <c r="L1920" s="35"/>
      <c r="M1920" s="35"/>
      <c r="N1920" s="35"/>
      <c r="O1920" s="35"/>
      <c r="P1920" s="35"/>
      <c r="Q1920" s="35"/>
      <c r="R1920" s="35"/>
      <c r="S1920" s="35"/>
      <c r="T1920" s="35"/>
      <c r="U1920" s="35"/>
      <c r="V1920" s="35"/>
      <c r="W1920" s="35"/>
      <c r="X1920" s="35"/>
      <c r="Y1920" s="35"/>
      <c r="Z1920" s="35"/>
      <c r="AA1920" s="35"/>
      <c r="AB1920" s="35"/>
      <c r="AC1920" s="35"/>
      <c r="AD1920" s="35"/>
      <c r="AE1920" s="35"/>
      <c r="AF1920" s="35"/>
      <c r="AG1920" s="35"/>
      <c r="AH1920" s="35"/>
      <c r="AI1920" s="35"/>
      <c r="AJ1920" s="35"/>
      <c r="AK1920" s="35"/>
      <c r="AL1920" s="35"/>
      <c r="AM1920" s="35"/>
      <c r="AN1920" s="35"/>
      <c r="AO1920" s="35"/>
      <c r="AP1920" s="35"/>
      <c r="AQ1920" s="35"/>
      <c r="AR1920" s="35"/>
      <c r="AS1920" s="35"/>
      <c r="AT1920" s="35"/>
      <c r="AU1920" s="35"/>
      <c r="AV1920" s="35"/>
      <c r="AW1920" s="35"/>
      <c r="AX1920" s="35"/>
      <c r="AY1920" s="35"/>
      <c r="AZ1920" s="35"/>
      <c r="BA1920" s="35"/>
      <c r="BB1920" s="35"/>
      <c r="BC1920" s="35"/>
      <c r="BD1920" s="35"/>
      <c r="BE1920" s="35"/>
      <c r="BF1920" s="35"/>
      <c r="BG1920" s="35"/>
    </row>
    <row r="1921" ht="15.75" customHeight="1">
      <c r="A1921" s="35"/>
      <c r="B1921" s="35"/>
      <c r="C1921" s="35"/>
      <c r="D1921" s="35"/>
      <c r="E1921" s="35"/>
      <c r="F1921" s="35"/>
      <c r="G1921" s="35"/>
      <c r="H1921" s="35"/>
      <c r="I1921" s="35"/>
      <c r="J1921" s="35"/>
      <c r="K1921" s="35"/>
      <c r="L1921" s="35"/>
      <c r="M1921" s="35"/>
      <c r="N1921" s="35"/>
      <c r="O1921" s="35"/>
      <c r="P1921" s="35"/>
      <c r="Q1921" s="35"/>
      <c r="R1921" s="35"/>
      <c r="S1921" s="35"/>
      <c r="T1921" s="35"/>
      <c r="U1921" s="35"/>
      <c r="V1921" s="35"/>
      <c r="W1921" s="35"/>
      <c r="X1921" s="35"/>
      <c r="Y1921" s="35"/>
      <c r="Z1921" s="35"/>
      <c r="AA1921" s="35"/>
      <c r="AB1921" s="35"/>
      <c r="AC1921" s="35"/>
      <c r="AD1921" s="35"/>
      <c r="AE1921" s="35"/>
      <c r="AF1921" s="35"/>
      <c r="AG1921" s="35"/>
      <c r="AH1921" s="35"/>
      <c r="AI1921" s="35"/>
      <c r="AJ1921" s="35"/>
      <c r="AK1921" s="35"/>
      <c r="AL1921" s="35"/>
      <c r="AM1921" s="35"/>
      <c r="AN1921" s="35"/>
      <c r="AO1921" s="35"/>
      <c r="AP1921" s="35"/>
      <c r="AQ1921" s="35"/>
      <c r="AR1921" s="35"/>
      <c r="AS1921" s="35"/>
      <c r="AT1921" s="35"/>
      <c r="AU1921" s="35"/>
      <c r="AV1921" s="35"/>
      <c r="AW1921" s="35"/>
      <c r="AX1921" s="35"/>
      <c r="AY1921" s="35"/>
      <c r="AZ1921" s="35"/>
      <c r="BA1921" s="35"/>
      <c r="BB1921" s="35"/>
      <c r="BC1921" s="35"/>
      <c r="BD1921" s="35"/>
      <c r="BE1921" s="35"/>
      <c r="BF1921" s="35"/>
      <c r="BG1921" s="35"/>
    </row>
    <row r="1922" ht="15.75" customHeight="1">
      <c r="A1922" s="35"/>
      <c r="B1922" s="35"/>
      <c r="C1922" s="35"/>
      <c r="D1922" s="35"/>
      <c r="E1922" s="35"/>
      <c r="F1922" s="35"/>
      <c r="G1922" s="35"/>
      <c r="H1922" s="35"/>
      <c r="I1922" s="35"/>
      <c r="J1922" s="35"/>
      <c r="K1922" s="35"/>
      <c r="L1922" s="35"/>
      <c r="M1922" s="35"/>
      <c r="N1922" s="35"/>
      <c r="O1922" s="35"/>
      <c r="P1922" s="35"/>
      <c r="Q1922" s="35"/>
      <c r="R1922" s="35"/>
      <c r="S1922" s="35"/>
      <c r="T1922" s="35"/>
      <c r="U1922" s="35"/>
      <c r="V1922" s="35"/>
      <c r="W1922" s="35"/>
      <c r="X1922" s="35"/>
      <c r="Y1922" s="35"/>
      <c r="Z1922" s="35"/>
      <c r="AA1922" s="35"/>
      <c r="AB1922" s="35"/>
      <c r="AC1922" s="35"/>
      <c r="AD1922" s="35"/>
      <c r="AE1922" s="35"/>
      <c r="AF1922" s="35"/>
      <c r="AG1922" s="35"/>
      <c r="AH1922" s="35"/>
      <c r="AI1922" s="35"/>
      <c r="AJ1922" s="35"/>
      <c r="AK1922" s="35"/>
      <c r="AL1922" s="35"/>
      <c r="AM1922" s="35"/>
      <c r="AN1922" s="35"/>
      <c r="AO1922" s="35"/>
      <c r="AP1922" s="35"/>
      <c r="AQ1922" s="35"/>
      <c r="AR1922" s="35"/>
      <c r="AS1922" s="35"/>
      <c r="AT1922" s="35"/>
      <c r="AU1922" s="35"/>
      <c r="AV1922" s="35"/>
      <c r="AW1922" s="35"/>
      <c r="AX1922" s="35"/>
      <c r="AY1922" s="35"/>
      <c r="AZ1922" s="35"/>
      <c r="BA1922" s="35"/>
      <c r="BB1922" s="35"/>
      <c r="BC1922" s="35"/>
      <c r="BD1922" s="35"/>
      <c r="BE1922" s="35"/>
      <c r="BF1922" s="35"/>
      <c r="BG1922" s="35"/>
    </row>
    <row r="1923" ht="15.75" customHeight="1">
      <c r="A1923" s="35"/>
      <c r="B1923" s="35"/>
      <c r="C1923" s="35"/>
      <c r="D1923" s="35"/>
      <c r="E1923" s="35"/>
      <c r="F1923" s="35"/>
      <c r="G1923" s="35"/>
      <c r="H1923" s="35"/>
      <c r="I1923" s="35"/>
      <c r="J1923" s="35"/>
      <c r="K1923" s="35"/>
      <c r="L1923" s="35"/>
      <c r="M1923" s="35"/>
      <c r="N1923" s="35"/>
      <c r="O1923" s="35"/>
      <c r="P1923" s="35"/>
      <c r="Q1923" s="35"/>
      <c r="R1923" s="35"/>
      <c r="S1923" s="35"/>
      <c r="T1923" s="35"/>
      <c r="U1923" s="35"/>
      <c r="V1923" s="35"/>
      <c r="W1923" s="35"/>
      <c r="X1923" s="35"/>
      <c r="Y1923" s="35"/>
      <c r="Z1923" s="35"/>
      <c r="AA1923" s="35"/>
      <c r="AB1923" s="35"/>
      <c r="AC1923" s="35"/>
      <c r="AD1923" s="35"/>
      <c r="AE1923" s="35"/>
      <c r="AF1923" s="35"/>
      <c r="AG1923" s="35"/>
      <c r="AH1923" s="35"/>
      <c r="AI1923" s="35"/>
      <c r="AJ1923" s="35"/>
      <c r="AK1923" s="35"/>
      <c r="AL1923" s="35"/>
      <c r="AM1923" s="35"/>
      <c r="AN1923" s="35"/>
      <c r="AO1923" s="35"/>
      <c r="AP1923" s="35"/>
      <c r="AQ1923" s="35"/>
      <c r="AR1923" s="35"/>
      <c r="AS1923" s="35"/>
      <c r="AT1923" s="35"/>
      <c r="AU1923" s="35"/>
      <c r="AV1923" s="35"/>
      <c r="AW1923" s="35"/>
      <c r="AX1923" s="35"/>
      <c r="AY1923" s="35"/>
      <c r="AZ1923" s="35"/>
      <c r="BA1923" s="35"/>
      <c r="BB1923" s="35"/>
      <c r="BC1923" s="35"/>
      <c r="BD1923" s="35"/>
      <c r="BE1923" s="35"/>
      <c r="BF1923" s="35"/>
      <c r="BG1923" s="35"/>
    </row>
    <row r="1924" ht="15.75" customHeight="1">
      <c r="A1924" s="35"/>
      <c r="B1924" s="35"/>
      <c r="C1924" s="35"/>
      <c r="D1924" s="35"/>
      <c r="E1924" s="35"/>
      <c r="F1924" s="35"/>
      <c r="G1924" s="35"/>
      <c r="H1924" s="35"/>
      <c r="I1924" s="35"/>
      <c r="J1924" s="35"/>
      <c r="K1924" s="35"/>
      <c r="L1924" s="35"/>
      <c r="M1924" s="35"/>
      <c r="N1924" s="35"/>
      <c r="O1924" s="35"/>
      <c r="P1924" s="35"/>
      <c r="Q1924" s="35"/>
      <c r="R1924" s="35"/>
      <c r="S1924" s="35"/>
      <c r="T1924" s="35"/>
      <c r="U1924" s="35"/>
      <c r="V1924" s="35"/>
      <c r="W1924" s="35"/>
      <c r="X1924" s="35"/>
      <c r="Y1924" s="35"/>
      <c r="Z1924" s="35"/>
      <c r="AA1924" s="35"/>
      <c r="AB1924" s="35"/>
      <c r="AC1924" s="35"/>
      <c r="AD1924" s="35"/>
      <c r="AE1924" s="35"/>
      <c r="AF1924" s="35"/>
      <c r="AG1924" s="35"/>
      <c r="AH1924" s="35"/>
      <c r="AI1924" s="35"/>
      <c r="AJ1924" s="35"/>
      <c r="AK1924" s="35"/>
      <c r="AL1924" s="35"/>
      <c r="AM1924" s="35"/>
      <c r="AN1924" s="35"/>
      <c r="AO1924" s="35"/>
      <c r="AP1924" s="35"/>
      <c r="AQ1924" s="35"/>
      <c r="AR1924" s="35"/>
      <c r="AS1924" s="35"/>
      <c r="AT1924" s="35"/>
      <c r="AU1924" s="35"/>
      <c r="AV1924" s="35"/>
      <c r="AW1924" s="35"/>
      <c r="AX1924" s="35"/>
      <c r="AY1924" s="35"/>
      <c r="AZ1924" s="35"/>
      <c r="BA1924" s="35"/>
      <c r="BB1924" s="35"/>
      <c r="BC1924" s="35"/>
      <c r="BD1924" s="35"/>
      <c r="BE1924" s="35"/>
      <c r="BF1924" s="35"/>
      <c r="BG1924" s="35"/>
    </row>
    <row r="1925" ht="15.75" customHeight="1">
      <c r="A1925" s="35"/>
      <c r="B1925" s="35"/>
      <c r="C1925" s="35"/>
      <c r="D1925" s="35"/>
      <c r="E1925" s="35"/>
      <c r="F1925" s="35"/>
      <c r="G1925" s="35"/>
      <c r="H1925" s="35"/>
      <c r="I1925" s="35"/>
      <c r="J1925" s="35"/>
      <c r="K1925" s="35"/>
      <c r="L1925" s="35"/>
      <c r="M1925" s="35"/>
      <c r="N1925" s="35"/>
      <c r="O1925" s="35"/>
      <c r="P1925" s="35"/>
      <c r="Q1925" s="35"/>
      <c r="R1925" s="35"/>
      <c r="S1925" s="35"/>
      <c r="T1925" s="35"/>
      <c r="U1925" s="35"/>
      <c r="V1925" s="35"/>
      <c r="W1925" s="35"/>
      <c r="X1925" s="35"/>
      <c r="Y1925" s="35"/>
      <c r="Z1925" s="35"/>
      <c r="AA1925" s="35"/>
      <c r="AB1925" s="35"/>
      <c r="AC1925" s="35"/>
      <c r="AD1925" s="35"/>
      <c r="AE1925" s="35"/>
      <c r="AF1925" s="35"/>
      <c r="AG1925" s="35"/>
      <c r="AH1925" s="35"/>
      <c r="AI1925" s="35"/>
      <c r="AJ1925" s="35"/>
      <c r="AK1925" s="35"/>
      <c r="AL1925" s="35"/>
      <c r="AM1925" s="35"/>
      <c r="AN1925" s="35"/>
      <c r="AO1925" s="35"/>
      <c r="AP1925" s="35"/>
      <c r="AQ1925" s="35"/>
      <c r="AR1925" s="35"/>
      <c r="AS1925" s="35"/>
      <c r="AT1925" s="35"/>
      <c r="AU1925" s="35"/>
      <c r="AV1925" s="35"/>
      <c r="AW1925" s="35"/>
      <c r="AX1925" s="35"/>
      <c r="AY1925" s="35"/>
      <c r="AZ1925" s="35"/>
      <c r="BA1925" s="35"/>
      <c r="BB1925" s="35"/>
      <c r="BC1925" s="35"/>
      <c r="BD1925" s="35"/>
      <c r="BE1925" s="35"/>
      <c r="BF1925" s="35"/>
      <c r="BG1925" s="35"/>
    </row>
    <row r="1926" ht="15.75" customHeight="1">
      <c r="A1926" s="35"/>
      <c r="B1926" s="35"/>
      <c r="C1926" s="35"/>
      <c r="D1926" s="35"/>
      <c r="E1926" s="35"/>
      <c r="F1926" s="35"/>
      <c r="G1926" s="35"/>
      <c r="H1926" s="35"/>
      <c r="I1926" s="35"/>
      <c r="J1926" s="35"/>
      <c r="K1926" s="35"/>
      <c r="L1926" s="35"/>
      <c r="M1926" s="35"/>
      <c r="N1926" s="35"/>
      <c r="O1926" s="35"/>
      <c r="P1926" s="35"/>
      <c r="Q1926" s="35"/>
      <c r="R1926" s="35"/>
      <c r="S1926" s="35"/>
      <c r="T1926" s="35"/>
      <c r="U1926" s="35"/>
      <c r="V1926" s="35"/>
      <c r="W1926" s="35"/>
      <c r="X1926" s="35"/>
      <c r="Y1926" s="35"/>
      <c r="Z1926" s="35"/>
      <c r="AA1926" s="35"/>
      <c r="AB1926" s="35"/>
      <c r="AC1926" s="35"/>
      <c r="AD1926" s="35"/>
      <c r="AE1926" s="35"/>
      <c r="AF1926" s="35"/>
      <c r="AG1926" s="35"/>
      <c r="AH1926" s="35"/>
      <c r="AI1926" s="35"/>
      <c r="AJ1926" s="35"/>
      <c r="AK1926" s="35"/>
      <c r="AL1926" s="35"/>
      <c r="AM1926" s="35"/>
      <c r="AN1926" s="35"/>
      <c r="AO1926" s="35"/>
      <c r="AP1926" s="35"/>
      <c r="AQ1926" s="35"/>
      <c r="AR1926" s="35"/>
      <c r="AS1926" s="35"/>
      <c r="AT1926" s="35"/>
      <c r="AU1926" s="35"/>
      <c r="AV1926" s="35"/>
      <c r="AW1926" s="35"/>
      <c r="AX1926" s="35"/>
      <c r="AY1926" s="35"/>
      <c r="AZ1926" s="35"/>
      <c r="BA1926" s="35"/>
      <c r="BB1926" s="35"/>
      <c r="BC1926" s="35"/>
      <c r="BD1926" s="35"/>
      <c r="BE1926" s="35"/>
      <c r="BF1926" s="35"/>
      <c r="BG1926" s="35"/>
    </row>
    <row r="1927" ht="15.75" customHeight="1">
      <c r="A1927" s="35"/>
      <c r="B1927" s="35"/>
      <c r="C1927" s="35"/>
      <c r="D1927" s="35"/>
      <c r="E1927" s="35"/>
      <c r="F1927" s="35"/>
      <c r="G1927" s="35"/>
      <c r="H1927" s="35"/>
      <c r="I1927" s="35"/>
      <c r="J1927" s="35"/>
      <c r="K1927" s="35"/>
      <c r="L1927" s="35"/>
      <c r="M1927" s="35"/>
      <c r="N1927" s="35"/>
      <c r="O1927" s="35"/>
      <c r="P1927" s="35"/>
      <c r="Q1927" s="35"/>
      <c r="R1927" s="35"/>
      <c r="S1927" s="35"/>
      <c r="T1927" s="35"/>
      <c r="U1927" s="35"/>
      <c r="V1927" s="35"/>
      <c r="W1927" s="35"/>
      <c r="X1927" s="35"/>
      <c r="Y1927" s="35"/>
      <c r="Z1927" s="35"/>
      <c r="AA1927" s="35"/>
      <c r="AB1927" s="35"/>
      <c r="AC1927" s="35"/>
      <c r="AD1927" s="35"/>
      <c r="AE1927" s="35"/>
      <c r="AF1927" s="35"/>
      <c r="AG1927" s="35"/>
      <c r="AH1927" s="35"/>
      <c r="AI1927" s="35"/>
      <c r="AJ1927" s="35"/>
      <c r="AK1927" s="35"/>
      <c r="AL1927" s="35"/>
      <c r="AM1927" s="35"/>
      <c r="AN1927" s="35"/>
      <c r="AO1927" s="35"/>
      <c r="AP1927" s="35"/>
      <c r="AQ1927" s="35"/>
      <c r="AR1927" s="35"/>
      <c r="AS1927" s="35"/>
      <c r="AT1927" s="35"/>
      <c r="AU1927" s="35"/>
      <c r="AV1927" s="35"/>
      <c r="AW1927" s="35"/>
      <c r="AX1927" s="35"/>
      <c r="AY1927" s="35"/>
      <c r="AZ1927" s="35"/>
      <c r="BA1927" s="35"/>
      <c r="BB1927" s="35"/>
      <c r="BC1927" s="35"/>
      <c r="BD1927" s="35"/>
      <c r="BE1927" s="35"/>
      <c r="BF1927" s="35"/>
      <c r="BG1927" s="35"/>
    </row>
    <row r="1928" ht="15.75" customHeight="1">
      <c r="A1928" s="35"/>
      <c r="B1928" s="35"/>
      <c r="C1928" s="35"/>
      <c r="D1928" s="35"/>
      <c r="E1928" s="35"/>
      <c r="F1928" s="35"/>
      <c r="G1928" s="35"/>
      <c r="H1928" s="35"/>
      <c r="I1928" s="35"/>
      <c r="J1928" s="35"/>
      <c r="K1928" s="35"/>
      <c r="L1928" s="35"/>
      <c r="M1928" s="35"/>
      <c r="N1928" s="35"/>
      <c r="O1928" s="35"/>
      <c r="P1928" s="35"/>
      <c r="Q1928" s="35"/>
      <c r="R1928" s="35"/>
      <c r="S1928" s="35"/>
      <c r="T1928" s="35"/>
      <c r="U1928" s="35"/>
      <c r="V1928" s="35"/>
      <c r="W1928" s="35"/>
      <c r="X1928" s="35"/>
      <c r="Y1928" s="35"/>
      <c r="Z1928" s="35"/>
      <c r="AA1928" s="35"/>
      <c r="AB1928" s="35"/>
      <c r="AC1928" s="35"/>
      <c r="AD1928" s="35"/>
      <c r="AE1928" s="35"/>
      <c r="AF1928" s="35"/>
      <c r="AG1928" s="35"/>
      <c r="AH1928" s="35"/>
      <c r="AI1928" s="35"/>
      <c r="AJ1928" s="35"/>
      <c r="AK1928" s="35"/>
      <c r="AL1928" s="35"/>
      <c r="AM1928" s="35"/>
      <c r="AN1928" s="35"/>
      <c r="AO1928" s="35"/>
      <c r="AP1928" s="35"/>
      <c r="AQ1928" s="35"/>
      <c r="AR1928" s="35"/>
      <c r="AS1928" s="35"/>
      <c r="AT1928" s="35"/>
      <c r="AU1928" s="35"/>
      <c r="AV1928" s="35"/>
      <c r="AW1928" s="35"/>
      <c r="AX1928" s="35"/>
      <c r="AY1928" s="35"/>
      <c r="AZ1928" s="35"/>
      <c r="BA1928" s="35"/>
      <c r="BB1928" s="35"/>
      <c r="BC1928" s="35"/>
      <c r="BD1928" s="35"/>
      <c r="BE1928" s="35"/>
      <c r="BF1928" s="35"/>
      <c r="BG1928" s="35"/>
    </row>
    <row r="1929" ht="15.75" customHeight="1">
      <c r="A1929" s="35"/>
      <c r="B1929" s="35"/>
      <c r="C1929" s="35"/>
      <c r="D1929" s="35"/>
      <c r="E1929" s="35"/>
      <c r="F1929" s="35"/>
      <c r="G1929" s="35"/>
      <c r="H1929" s="35"/>
      <c r="I1929" s="35"/>
      <c r="J1929" s="35"/>
      <c r="K1929" s="35"/>
      <c r="L1929" s="35"/>
      <c r="M1929" s="35"/>
      <c r="N1929" s="35"/>
      <c r="O1929" s="35"/>
      <c r="P1929" s="35"/>
      <c r="Q1929" s="35"/>
      <c r="R1929" s="35"/>
      <c r="S1929" s="35"/>
      <c r="T1929" s="35"/>
      <c r="U1929" s="35"/>
      <c r="V1929" s="35"/>
      <c r="W1929" s="35"/>
      <c r="X1929" s="35"/>
      <c r="Y1929" s="35"/>
      <c r="Z1929" s="35"/>
      <c r="AA1929" s="35"/>
      <c r="AB1929" s="35"/>
      <c r="AC1929" s="35"/>
      <c r="AD1929" s="35"/>
      <c r="AE1929" s="35"/>
      <c r="AF1929" s="35"/>
      <c r="AG1929" s="35"/>
      <c r="AH1929" s="35"/>
      <c r="AI1929" s="35"/>
      <c r="AJ1929" s="35"/>
      <c r="AK1929" s="35"/>
      <c r="AL1929" s="35"/>
      <c r="AM1929" s="35"/>
      <c r="AN1929" s="35"/>
      <c r="AO1929" s="35"/>
      <c r="AP1929" s="35"/>
      <c r="AQ1929" s="35"/>
      <c r="AR1929" s="35"/>
      <c r="AS1929" s="35"/>
      <c r="AT1929" s="35"/>
      <c r="AU1929" s="35"/>
      <c r="AV1929" s="35"/>
      <c r="AW1929" s="35"/>
      <c r="AX1929" s="35"/>
      <c r="AY1929" s="35"/>
      <c r="AZ1929" s="35"/>
      <c r="BA1929" s="35"/>
      <c r="BB1929" s="35"/>
      <c r="BC1929" s="35"/>
      <c r="BD1929" s="35"/>
      <c r="BE1929" s="35"/>
      <c r="BF1929" s="35"/>
      <c r="BG1929" s="35"/>
    </row>
    <row r="1930" ht="15.75" customHeight="1">
      <c r="A1930" s="35"/>
      <c r="B1930" s="35"/>
      <c r="C1930" s="35"/>
      <c r="D1930" s="35"/>
      <c r="E1930" s="35"/>
      <c r="F1930" s="35"/>
      <c r="G1930" s="35"/>
      <c r="H1930" s="35"/>
      <c r="I1930" s="35"/>
      <c r="J1930" s="35"/>
      <c r="K1930" s="35"/>
      <c r="L1930" s="35"/>
      <c r="M1930" s="35"/>
      <c r="N1930" s="35"/>
      <c r="O1930" s="35"/>
      <c r="P1930" s="35"/>
      <c r="Q1930" s="35"/>
      <c r="R1930" s="35"/>
      <c r="S1930" s="35"/>
      <c r="T1930" s="35"/>
      <c r="U1930" s="35"/>
      <c r="V1930" s="35"/>
      <c r="W1930" s="35"/>
      <c r="X1930" s="35"/>
      <c r="Y1930" s="35"/>
      <c r="Z1930" s="35"/>
      <c r="AA1930" s="35"/>
      <c r="AB1930" s="35"/>
      <c r="AC1930" s="35"/>
      <c r="AD1930" s="35"/>
      <c r="AE1930" s="35"/>
      <c r="AF1930" s="35"/>
      <c r="AG1930" s="35"/>
      <c r="AH1930" s="35"/>
      <c r="AI1930" s="35"/>
      <c r="AJ1930" s="35"/>
      <c r="AK1930" s="35"/>
      <c r="AL1930" s="35"/>
      <c r="AM1930" s="35"/>
      <c r="AN1930" s="35"/>
      <c r="AO1930" s="35"/>
      <c r="AP1930" s="35"/>
      <c r="AQ1930" s="35"/>
      <c r="AR1930" s="35"/>
      <c r="AS1930" s="35"/>
      <c r="AT1930" s="35"/>
      <c r="AU1930" s="35"/>
      <c r="AV1930" s="35"/>
      <c r="AW1930" s="35"/>
      <c r="AX1930" s="35"/>
      <c r="AY1930" s="35"/>
      <c r="AZ1930" s="35"/>
      <c r="BA1930" s="35"/>
      <c r="BB1930" s="35"/>
      <c r="BC1930" s="35"/>
      <c r="BD1930" s="35"/>
      <c r="BE1930" s="35"/>
      <c r="BF1930" s="35"/>
      <c r="BG1930" s="35"/>
    </row>
    <row r="1931" ht="15.75" customHeight="1">
      <c r="A1931" s="35"/>
      <c r="B1931" s="35"/>
      <c r="C1931" s="35"/>
      <c r="D1931" s="35"/>
      <c r="E1931" s="35"/>
      <c r="F1931" s="35"/>
      <c r="G1931" s="35"/>
      <c r="H1931" s="35"/>
      <c r="I1931" s="35"/>
      <c r="J1931" s="35"/>
      <c r="K1931" s="35"/>
      <c r="L1931" s="35"/>
      <c r="M1931" s="35"/>
      <c r="N1931" s="35"/>
      <c r="O1931" s="35"/>
      <c r="P1931" s="35"/>
      <c r="Q1931" s="35"/>
      <c r="R1931" s="35"/>
      <c r="S1931" s="35"/>
      <c r="T1931" s="35"/>
      <c r="U1931" s="35"/>
      <c r="V1931" s="35"/>
      <c r="W1931" s="35"/>
      <c r="X1931" s="35"/>
      <c r="Y1931" s="35"/>
      <c r="Z1931" s="35"/>
      <c r="AA1931" s="35"/>
      <c r="AB1931" s="35"/>
      <c r="AC1931" s="35"/>
      <c r="AD1931" s="35"/>
      <c r="AE1931" s="35"/>
      <c r="AF1931" s="35"/>
      <c r="AG1931" s="35"/>
      <c r="AH1931" s="35"/>
      <c r="AI1931" s="35"/>
      <c r="AJ1931" s="35"/>
      <c r="AK1931" s="35"/>
      <c r="AL1931" s="35"/>
      <c r="AM1931" s="35"/>
      <c r="AN1931" s="35"/>
      <c r="AO1931" s="35"/>
      <c r="AP1931" s="35"/>
      <c r="AQ1931" s="35"/>
      <c r="AR1931" s="35"/>
      <c r="AS1931" s="35"/>
      <c r="AT1931" s="35"/>
      <c r="AU1931" s="35"/>
      <c r="AV1931" s="35"/>
      <c r="AW1931" s="35"/>
      <c r="AX1931" s="35"/>
      <c r="AY1931" s="35"/>
      <c r="AZ1931" s="35"/>
      <c r="BA1931" s="35"/>
      <c r="BB1931" s="35"/>
      <c r="BC1931" s="35"/>
      <c r="BD1931" s="35"/>
      <c r="BE1931" s="35"/>
      <c r="BF1931" s="35"/>
      <c r="BG1931" s="35"/>
    </row>
    <row r="1932" ht="15.75" customHeight="1">
      <c r="A1932" s="35"/>
      <c r="B1932" s="35"/>
      <c r="C1932" s="35"/>
      <c r="D1932" s="35"/>
      <c r="E1932" s="35"/>
      <c r="F1932" s="35"/>
      <c r="G1932" s="35"/>
      <c r="H1932" s="35"/>
      <c r="I1932" s="35"/>
      <c r="J1932" s="35"/>
      <c r="K1932" s="35"/>
      <c r="L1932" s="35"/>
      <c r="M1932" s="35"/>
      <c r="N1932" s="35"/>
      <c r="O1932" s="35"/>
      <c r="P1932" s="35"/>
      <c r="Q1932" s="35"/>
      <c r="R1932" s="35"/>
      <c r="S1932" s="35"/>
      <c r="T1932" s="35"/>
      <c r="U1932" s="35"/>
      <c r="V1932" s="35"/>
      <c r="W1932" s="35"/>
      <c r="X1932" s="35"/>
      <c r="Y1932" s="35"/>
      <c r="Z1932" s="35"/>
      <c r="AA1932" s="35"/>
      <c r="AB1932" s="35"/>
      <c r="AC1932" s="35"/>
      <c r="AD1932" s="35"/>
      <c r="AE1932" s="35"/>
      <c r="AF1932" s="35"/>
      <c r="AG1932" s="35"/>
      <c r="AH1932" s="35"/>
      <c r="AI1932" s="35"/>
      <c r="AJ1932" s="35"/>
      <c r="AK1932" s="35"/>
      <c r="AL1932" s="35"/>
      <c r="AM1932" s="35"/>
      <c r="AN1932" s="35"/>
      <c r="AO1932" s="35"/>
      <c r="AP1932" s="35"/>
      <c r="AQ1932" s="35"/>
      <c r="AR1932" s="35"/>
      <c r="AS1932" s="35"/>
      <c r="AT1932" s="35"/>
      <c r="AU1932" s="35"/>
      <c r="AV1932" s="35"/>
      <c r="AW1932" s="35"/>
      <c r="AX1932" s="35"/>
      <c r="AY1932" s="35"/>
      <c r="AZ1932" s="35"/>
      <c r="BA1932" s="35"/>
      <c r="BB1932" s="35"/>
      <c r="BC1932" s="35"/>
      <c r="BD1932" s="35"/>
      <c r="BE1932" s="35"/>
      <c r="BF1932" s="35"/>
      <c r="BG1932" s="35"/>
    </row>
    <row r="1933" ht="15.75" customHeight="1">
      <c r="A1933" s="35"/>
      <c r="B1933" s="35"/>
      <c r="C1933" s="35"/>
      <c r="D1933" s="35"/>
      <c r="E1933" s="35"/>
      <c r="F1933" s="35"/>
      <c r="G1933" s="35"/>
      <c r="H1933" s="35"/>
      <c r="I1933" s="35"/>
      <c r="J1933" s="35"/>
      <c r="K1933" s="35"/>
      <c r="L1933" s="35"/>
      <c r="M1933" s="35"/>
      <c r="N1933" s="35"/>
      <c r="O1933" s="35"/>
      <c r="P1933" s="35"/>
      <c r="Q1933" s="35"/>
      <c r="R1933" s="35"/>
      <c r="S1933" s="35"/>
      <c r="T1933" s="35"/>
      <c r="U1933" s="35"/>
      <c r="V1933" s="35"/>
      <c r="W1933" s="35"/>
      <c r="X1933" s="35"/>
      <c r="Y1933" s="35"/>
      <c r="Z1933" s="35"/>
      <c r="AA1933" s="35"/>
      <c r="AB1933" s="35"/>
      <c r="AC1933" s="35"/>
      <c r="AD1933" s="35"/>
      <c r="AE1933" s="35"/>
      <c r="AF1933" s="35"/>
      <c r="AG1933" s="35"/>
      <c r="AH1933" s="35"/>
      <c r="AI1933" s="35"/>
      <c r="AJ1933" s="35"/>
      <c r="AK1933" s="35"/>
      <c r="AL1933" s="35"/>
      <c r="AM1933" s="35"/>
      <c r="AN1933" s="35"/>
      <c r="AO1933" s="35"/>
      <c r="AP1933" s="35"/>
      <c r="AQ1933" s="35"/>
      <c r="AR1933" s="35"/>
      <c r="AS1933" s="35"/>
      <c r="AT1933" s="35"/>
      <c r="AU1933" s="35"/>
      <c r="AV1933" s="35"/>
      <c r="AW1933" s="35"/>
      <c r="AX1933" s="35"/>
      <c r="AY1933" s="35"/>
      <c r="AZ1933" s="35"/>
      <c r="BA1933" s="35"/>
      <c r="BB1933" s="35"/>
      <c r="BC1933" s="35"/>
      <c r="BD1933" s="35"/>
      <c r="BE1933" s="35"/>
      <c r="BF1933" s="35"/>
      <c r="BG1933" s="35"/>
    </row>
    <row r="1934" ht="15.75" customHeight="1">
      <c r="A1934" s="35"/>
      <c r="B1934" s="35"/>
      <c r="C1934" s="35"/>
      <c r="D1934" s="35"/>
      <c r="E1934" s="35"/>
      <c r="F1934" s="35"/>
      <c r="G1934" s="35"/>
      <c r="H1934" s="35"/>
      <c r="I1934" s="35"/>
      <c r="J1934" s="35"/>
      <c r="K1934" s="35"/>
      <c r="L1934" s="35"/>
      <c r="M1934" s="35"/>
      <c r="N1934" s="35"/>
      <c r="O1934" s="35"/>
      <c r="P1934" s="35"/>
      <c r="Q1934" s="35"/>
      <c r="R1934" s="35"/>
      <c r="S1934" s="35"/>
      <c r="T1934" s="35"/>
      <c r="U1934" s="35"/>
      <c r="V1934" s="35"/>
      <c r="W1934" s="35"/>
      <c r="X1934" s="35"/>
      <c r="Y1934" s="35"/>
      <c r="Z1934" s="35"/>
      <c r="AA1934" s="35"/>
      <c r="AB1934" s="35"/>
      <c r="AC1934" s="35"/>
      <c r="AD1934" s="35"/>
      <c r="AE1934" s="35"/>
      <c r="AF1934" s="35"/>
      <c r="AG1934" s="35"/>
      <c r="AH1934" s="35"/>
      <c r="AI1934" s="35"/>
      <c r="AJ1934" s="35"/>
      <c r="AK1934" s="35"/>
      <c r="AL1934" s="35"/>
      <c r="AM1934" s="35"/>
      <c r="AN1934" s="35"/>
      <c r="AO1934" s="35"/>
      <c r="AP1934" s="35"/>
      <c r="AQ1934" s="35"/>
      <c r="AR1934" s="35"/>
      <c r="AS1934" s="35"/>
      <c r="AT1934" s="35"/>
      <c r="AU1934" s="35"/>
      <c r="AV1934" s="35"/>
      <c r="AW1934" s="35"/>
      <c r="AX1934" s="35"/>
      <c r="AY1934" s="35"/>
      <c r="AZ1934" s="35"/>
      <c r="BA1934" s="35"/>
      <c r="BB1934" s="35"/>
      <c r="BC1934" s="35"/>
      <c r="BD1934" s="35"/>
      <c r="BE1934" s="35"/>
      <c r="BF1934" s="35"/>
      <c r="BG1934" s="35"/>
    </row>
    <row r="1935" ht="15.75" customHeight="1">
      <c r="A1935" s="35"/>
      <c r="B1935" s="35"/>
      <c r="C1935" s="35"/>
      <c r="D1935" s="35"/>
      <c r="E1935" s="35"/>
      <c r="F1935" s="35"/>
      <c r="G1935" s="35"/>
      <c r="H1935" s="35"/>
      <c r="I1935" s="35"/>
      <c r="J1935" s="35"/>
      <c r="K1935" s="35"/>
      <c r="L1935" s="35"/>
      <c r="M1935" s="35"/>
      <c r="N1935" s="35"/>
      <c r="O1935" s="35"/>
      <c r="P1935" s="35"/>
      <c r="Q1935" s="35"/>
      <c r="R1935" s="35"/>
      <c r="S1935" s="35"/>
      <c r="T1935" s="35"/>
      <c r="U1935" s="35"/>
      <c r="V1935" s="35"/>
      <c r="W1935" s="35"/>
      <c r="X1935" s="35"/>
      <c r="Y1935" s="35"/>
      <c r="Z1935" s="35"/>
      <c r="AA1935" s="35"/>
      <c r="AB1935" s="35"/>
      <c r="AC1935" s="35"/>
      <c r="AD1935" s="35"/>
      <c r="AE1935" s="35"/>
      <c r="AF1935" s="35"/>
      <c r="AG1935" s="35"/>
      <c r="AH1935" s="35"/>
      <c r="AI1935" s="35"/>
      <c r="AJ1935" s="35"/>
      <c r="AK1935" s="35"/>
      <c r="AL1935" s="35"/>
      <c r="AM1935" s="35"/>
      <c r="AN1935" s="35"/>
      <c r="AO1935" s="35"/>
      <c r="AP1935" s="35"/>
      <c r="AQ1935" s="35"/>
      <c r="AR1935" s="35"/>
      <c r="AS1935" s="35"/>
      <c r="AT1935" s="35"/>
      <c r="AU1935" s="35"/>
      <c r="AV1935" s="35"/>
      <c r="AW1935" s="35"/>
      <c r="AX1935" s="35"/>
      <c r="AY1935" s="35"/>
      <c r="AZ1935" s="35"/>
      <c r="BA1935" s="35"/>
      <c r="BB1935" s="35"/>
      <c r="BC1935" s="35"/>
      <c r="BD1935" s="35"/>
      <c r="BE1935" s="35"/>
      <c r="BF1935" s="35"/>
      <c r="BG1935" s="35"/>
    </row>
    <row r="1936" ht="15.75" customHeight="1">
      <c r="A1936" s="35"/>
      <c r="B1936" s="35"/>
      <c r="C1936" s="35"/>
      <c r="D1936" s="35"/>
      <c r="E1936" s="35"/>
      <c r="F1936" s="35"/>
      <c r="G1936" s="35"/>
      <c r="H1936" s="35"/>
      <c r="I1936" s="35"/>
      <c r="J1936" s="35"/>
      <c r="K1936" s="35"/>
      <c r="L1936" s="35"/>
      <c r="M1936" s="35"/>
      <c r="N1936" s="35"/>
      <c r="O1936" s="35"/>
      <c r="P1936" s="35"/>
      <c r="Q1936" s="35"/>
      <c r="R1936" s="35"/>
      <c r="S1936" s="35"/>
      <c r="T1936" s="35"/>
      <c r="U1936" s="35"/>
      <c r="V1936" s="35"/>
      <c r="W1936" s="35"/>
      <c r="X1936" s="35"/>
      <c r="Y1936" s="35"/>
      <c r="Z1936" s="35"/>
      <c r="AA1936" s="35"/>
      <c r="AB1936" s="35"/>
      <c r="AC1936" s="35"/>
      <c r="AD1936" s="35"/>
      <c r="AE1936" s="35"/>
      <c r="AF1936" s="35"/>
      <c r="AG1936" s="35"/>
      <c r="AH1936" s="35"/>
      <c r="AI1936" s="35"/>
      <c r="AJ1936" s="35"/>
      <c r="AK1936" s="35"/>
      <c r="AL1936" s="35"/>
      <c r="AM1936" s="35"/>
      <c r="AN1936" s="35"/>
      <c r="AO1936" s="35"/>
      <c r="AP1936" s="35"/>
      <c r="AQ1936" s="35"/>
      <c r="AR1936" s="35"/>
      <c r="AS1936" s="35"/>
      <c r="AT1936" s="35"/>
      <c r="AU1936" s="35"/>
      <c r="AV1936" s="35"/>
      <c r="AW1936" s="35"/>
      <c r="AX1936" s="35"/>
      <c r="AY1936" s="35"/>
      <c r="AZ1936" s="35"/>
      <c r="BA1936" s="35"/>
      <c r="BB1936" s="35"/>
      <c r="BC1936" s="35"/>
      <c r="BD1936" s="35"/>
      <c r="BE1936" s="35"/>
      <c r="BF1936" s="35"/>
      <c r="BG1936" s="35"/>
    </row>
    <row r="1937" ht="15.75" customHeight="1">
      <c r="A1937" s="35"/>
      <c r="B1937" s="35"/>
      <c r="C1937" s="35"/>
      <c r="D1937" s="35"/>
      <c r="E1937" s="35"/>
      <c r="F1937" s="35"/>
      <c r="G1937" s="35"/>
      <c r="H1937" s="35"/>
      <c r="I1937" s="35"/>
      <c r="J1937" s="35"/>
      <c r="K1937" s="35"/>
      <c r="L1937" s="35"/>
      <c r="M1937" s="35"/>
      <c r="N1937" s="35"/>
      <c r="O1937" s="35"/>
      <c r="P1937" s="35"/>
      <c r="Q1937" s="35"/>
      <c r="R1937" s="35"/>
      <c r="S1937" s="35"/>
      <c r="T1937" s="35"/>
      <c r="U1937" s="35"/>
      <c r="V1937" s="35"/>
      <c r="W1937" s="35"/>
      <c r="X1937" s="35"/>
      <c r="Y1937" s="35"/>
      <c r="Z1937" s="35"/>
      <c r="AA1937" s="35"/>
      <c r="AB1937" s="35"/>
      <c r="AC1937" s="35"/>
      <c r="AD1937" s="35"/>
      <c r="AE1937" s="35"/>
      <c r="AF1937" s="35"/>
      <c r="AG1937" s="35"/>
      <c r="AH1937" s="35"/>
      <c r="AI1937" s="35"/>
      <c r="AJ1937" s="35"/>
      <c r="AK1937" s="35"/>
      <c r="AL1937" s="35"/>
      <c r="AM1937" s="35"/>
      <c r="AN1937" s="35"/>
      <c r="AO1937" s="35"/>
      <c r="AP1937" s="35"/>
      <c r="AQ1937" s="35"/>
      <c r="AR1937" s="35"/>
      <c r="AS1937" s="35"/>
      <c r="AT1937" s="35"/>
      <c r="AU1937" s="35"/>
      <c r="AV1937" s="35"/>
      <c r="AW1937" s="35"/>
      <c r="AX1937" s="35"/>
      <c r="AY1937" s="35"/>
      <c r="AZ1937" s="35"/>
      <c r="BA1937" s="35"/>
      <c r="BB1937" s="35"/>
      <c r="BC1937" s="35"/>
      <c r="BD1937" s="35"/>
      <c r="BE1937" s="35"/>
      <c r="BF1937" s="35"/>
      <c r="BG1937" s="35"/>
    </row>
    <row r="1938" ht="15.75" customHeight="1">
      <c r="A1938" s="35"/>
      <c r="B1938" s="35"/>
      <c r="C1938" s="35"/>
      <c r="D1938" s="35"/>
      <c r="E1938" s="35"/>
      <c r="F1938" s="35"/>
      <c r="G1938" s="35"/>
      <c r="H1938" s="35"/>
      <c r="I1938" s="35"/>
      <c r="J1938" s="35"/>
      <c r="K1938" s="35"/>
      <c r="L1938" s="35"/>
      <c r="M1938" s="35"/>
      <c r="N1938" s="35"/>
      <c r="O1938" s="35"/>
      <c r="P1938" s="35"/>
      <c r="Q1938" s="35"/>
      <c r="R1938" s="35"/>
      <c r="S1938" s="35"/>
      <c r="T1938" s="35"/>
      <c r="U1938" s="35"/>
      <c r="V1938" s="35"/>
      <c r="W1938" s="35"/>
      <c r="X1938" s="35"/>
      <c r="Y1938" s="35"/>
      <c r="Z1938" s="35"/>
      <c r="AA1938" s="35"/>
      <c r="AB1938" s="35"/>
      <c r="AC1938" s="35"/>
      <c r="AD1938" s="35"/>
      <c r="AE1938" s="35"/>
      <c r="AF1938" s="35"/>
      <c r="AG1938" s="35"/>
      <c r="AH1938" s="35"/>
      <c r="AI1938" s="35"/>
      <c r="AJ1938" s="35"/>
      <c r="AK1938" s="35"/>
      <c r="AL1938" s="35"/>
      <c r="AM1938" s="35"/>
      <c r="AN1938" s="35"/>
      <c r="AO1938" s="35"/>
      <c r="AP1938" s="35"/>
      <c r="AQ1938" s="35"/>
      <c r="AR1938" s="35"/>
      <c r="AS1938" s="35"/>
      <c r="AT1938" s="35"/>
      <c r="AU1938" s="35"/>
      <c r="AV1938" s="35"/>
      <c r="AW1938" s="35"/>
      <c r="AX1938" s="35"/>
      <c r="AY1938" s="35"/>
      <c r="AZ1938" s="35"/>
      <c r="BA1938" s="35"/>
      <c r="BB1938" s="35"/>
      <c r="BC1938" s="35"/>
      <c r="BD1938" s="35"/>
      <c r="BE1938" s="35"/>
      <c r="BF1938" s="35"/>
      <c r="BG1938" s="35"/>
    </row>
    <row r="1939" ht="15.75" customHeight="1">
      <c r="A1939" s="35"/>
      <c r="B1939" s="35"/>
      <c r="C1939" s="35"/>
      <c r="D1939" s="35"/>
      <c r="E1939" s="35"/>
      <c r="F1939" s="35"/>
      <c r="G1939" s="35"/>
      <c r="H1939" s="35"/>
      <c r="I1939" s="35"/>
      <c r="J1939" s="35"/>
      <c r="K1939" s="35"/>
      <c r="L1939" s="35"/>
      <c r="M1939" s="35"/>
      <c r="N1939" s="35"/>
      <c r="O1939" s="35"/>
      <c r="P1939" s="35"/>
      <c r="Q1939" s="35"/>
      <c r="R1939" s="35"/>
      <c r="S1939" s="35"/>
      <c r="T1939" s="35"/>
      <c r="U1939" s="35"/>
      <c r="V1939" s="35"/>
      <c r="W1939" s="35"/>
      <c r="X1939" s="35"/>
      <c r="Y1939" s="35"/>
      <c r="Z1939" s="35"/>
      <c r="AA1939" s="35"/>
      <c r="AB1939" s="35"/>
      <c r="AC1939" s="35"/>
      <c r="AD1939" s="35"/>
      <c r="AE1939" s="35"/>
      <c r="AF1939" s="35"/>
      <c r="AG1939" s="35"/>
      <c r="AH1939" s="35"/>
      <c r="AI1939" s="35"/>
      <c r="AJ1939" s="35"/>
      <c r="AK1939" s="35"/>
      <c r="AL1939" s="35"/>
      <c r="AM1939" s="35"/>
      <c r="AN1939" s="35"/>
      <c r="AO1939" s="35"/>
      <c r="AP1939" s="35"/>
      <c r="AQ1939" s="35"/>
      <c r="AR1939" s="35"/>
      <c r="AS1939" s="35"/>
      <c r="AT1939" s="35"/>
      <c r="AU1939" s="35"/>
      <c r="AV1939" s="35"/>
      <c r="AW1939" s="35"/>
      <c r="AX1939" s="35"/>
      <c r="AY1939" s="35"/>
      <c r="AZ1939" s="35"/>
      <c r="BA1939" s="35"/>
      <c r="BB1939" s="35"/>
      <c r="BC1939" s="35"/>
      <c r="BD1939" s="35"/>
      <c r="BE1939" s="35"/>
      <c r="BF1939" s="35"/>
      <c r="BG1939" s="35"/>
    </row>
    <row r="1940" ht="15.75" customHeight="1">
      <c r="A1940" s="35"/>
      <c r="B1940" s="35"/>
      <c r="C1940" s="35"/>
      <c r="D1940" s="35"/>
      <c r="E1940" s="35"/>
      <c r="F1940" s="35"/>
      <c r="G1940" s="35"/>
      <c r="H1940" s="35"/>
      <c r="I1940" s="35"/>
      <c r="J1940" s="35"/>
      <c r="K1940" s="35"/>
      <c r="L1940" s="35"/>
      <c r="M1940" s="35"/>
      <c r="N1940" s="35"/>
      <c r="O1940" s="35"/>
      <c r="P1940" s="35"/>
      <c r="Q1940" s="35"/>
      <c r="R1940" s="35"/>
      <c r="S1940" s="35"/>
      <c r="T1940" s="35"/>
      <c r="U1940" s="35"/>
      <c r="V1940" s="35"/>
      <c r="W1940" s="35"/>
      <c r="X1940" s="35"/>
      <c r="Y1940" s="35"/>
      <c r="Z1940" s="35"/>
      <c r="AA1940" s="35"/>
      <c r="AB1940" s="35"/>
      <c r="AC1940" s="35"/>
      <c r="AD1940" s="35"/>
      <c r="AE1940" s="35"/>
      <c r="AF1940" s="35"/>
      <c r="AG1940" s="35"/>
      <c r="AH1940" s="35"/>
      <c r="AI1940" s="35"/>
      <c r="AJ1940" s="35"/>
      <c r="AK1940" s="35"/>
      <c r="AL1940" s="35"/>
      <c r="AM1940" s="35"/>
      <c r="AN1940" s="35"/>
      <c r="AO1940" s="35"/>
      <c r="AP1940" s="35"/>
      <c r="AQ1940" s="35"/>
      <c r="AR1940" s="35"/>
      <c r="AS1940" s="35"/>
      <c r="AT1940" s="35"/>
      <c r="AU1940" s="35"/>
      <c r="AV1940" s="35"/>
      <c r="AW1940" s="35"/>
      <c r="AX1940" s="35"/>
      <c r="AY1940" s="35"/>
      <c r="AZ1940" s="35"/>
      <c r="BA1940" s="35"/>
      <c r="BB1940" s="35"/>
      <c r="BC1940" s="35"/>
      <c r="BD1940" s="35"/>
      <c r="BE1940" s="35"/>
      <c r="BF1940" s="35"/>
      <c r="BG1940" s="35"/>
    </row>
    <row r="1941" ht="15.75" customHeight="1">
      <c r="A1941" s="35"/>
      <c r="B1941" s="35"/>
      <c r="C1941" s="35"/>
      <c r="D1941" s="35"/>
      <c r="E1941" s="35"/>
      <c r="F1941" s="35"/>
      <c r="G1941" s="35"/>
      <c r="H1941" s="35"/>
      <c r="I1941" s="35"/>
      <c r="J1941" s="35"/>
      <c r="K1941" s="35"/>
      <c r="L1941" s="35"/>
      <c r="M1941" s="35"/>
      <c r="N1941" s="35"/>
      <c r="O1941" s="35"/>
      <c r="P1941" s="35"/>
      <c r="Q1941" s="35"/>
      <c r="R1941" s="35"/>
      <c r="S1941" s="35"/>
      <c r="T1941" s="35"/>
      <c r="U1941" s="35"/>
      <c r="V1941" s="35"/>
      <c r="W1941" s="35"/>
      <c r="X1941" s="35"/>
      <c r="Y1941" s="35"/>
      <c r="Z1941" s="35"/>
      <c r="AA1941" s="35"/>
      <c r="AB1941" s="35"/>
      <c r="AC1941" s="35"/>
      <c r="AD1941" s="35"/>
      <c r="AE1941" s="35"/>
      <c r="AF1941" s="35"/>
      <c r="AG1941" s="35"/>
      <c r="AH1941" s="35"/>
      <c r="AI1941" s="35"/>
      <c r="AJ1941" s="35"/>
      <c r="AK1941" s="35"/>
      <c r="AL1941" s="35"/>
      <c r="AM1941" s="35"/>
      <c r="AN1941" s="35"/>
      <c r="AO1941" s="35"/>
      <c r="AP1941" s="35"/>
      <c r="AQ1941" s="35"/>
      <c r="AR1941" s="35"/>
      <c r="AS1941" s="35"/>
      <c r="AT1941" s="35"/>
      <c r="AU1941" s="35"/>
      <c r="AV1941" s="35"/>
      <c r="AW1941" s="35"/>
      <c r="AX1941" s="35"/>
      <c r="AY1941" s="35"/>
      <c r="AZ1941" s="35"/>
      <c r="BA1941" s="35"/>
      <c r="BB1941" s="35"/>
      <c r="BC1941" s="35"/>
      <c r="BD1941" s="35"/>
      <c r="BE1941" s="35"/>
      <c r="BF1941" s="35"/>
      <c r="BG1941" s="35"/>
    </row>
    <row r="1942" ht="15.75" customHeight="1">
      <c r="A1942" s="35"/>
      <c r="B1942" s="35"/>
      <c r="C1942" s="35"/>
      <c r="D1942" s="35"/>
      <c r="E1942" s="35"/>
      <c r="F1942" s="35"/>
      <c r="G1942" s="35"/>
      <c r="H1942" s="35"/>
      <c r="I1942" s="35"/>
      <c r="J1942" s="35"/>
      <c r="K1942" s="35"/>
      <c r="L1942" s="35"/>
      <c r="M1942" s="35"/>
      <c r="N1942" s="35"/>
      <c r="O1942" s="35"/>
      <c r="P1942" s="35"/>
      <c r="Q1942" s="35"/>
      <c r="R1942" s="35"/>
      <c r="S1942" s="35"/>
      <c r="T1942" s="35"/>
      <c r="U1942" s="35"/>
      <c r="V1942" s="35"/>
      <c r="W1942" s="35"/>
      <c r="X1942" s="35"/>
      <c r="Y1942" s="35"/>
      <c r="Z1942" s="35"/>
      <c r="AA1942" s="35"/>
      <c r="AB1942" s="35"/>
      <c r="AC1942" s="35"/>
      <c r="AD1942" s="35"/>
      <c r="AE1942" s="35"/>
      <c r="AF1942" s="35"/>
      <c r="AG1942" s="35"/>
      <c r="AH1942" s="35"/>
      <c r="AI1942" s="35"/>
      <c r="AJ1942" s="35"/>
      <c r="AK1942" s="35"/>
      <c r="AL1942" s="35"/>
      <c r="AM1942" s="35"/>
      <c r="AN1942" s="35"/>
      <c r="AO1942" s="35"/>
      <c r="AP1942" s="35"/>
      <c r="AQ1942" s="35"/>
      <c r="AR1942" s="35"/>
      <c r="AS1942" s="35"/>
      <c r="AT1942" s="35"/>
      <c r="AU1942" s="35"/>
      <c r="AV1942" s="35"/>
      <c r="AW1942" s="35"/>
      <c r="AX1942" s="35"/>
      <c r="AY1942" s="35"/>
      <c r="AZ1942" s="35"/>
      <c r="BA1942" s="35"/>
      <c r="BB1942" s="35"/>
      <c r="BC1942" s="35"/>
      <c r="BD1942" s="35"/>
      <c r="BE1942" s="35"/>
      <c r="BF1942" s="35"/>
      <c r="BG1942" s="35"/>
    </row>
    <row r="1943" ht="15.75" customHeight="1">
      <c r="A1943" s="35"/>
      <c r="B1943" s="35"/>
      <c r="C1943" s="35"/>
      <c r="D1943" s="35"/>
      <c r="E1943" s="35"/>
      <c r="F1943" s="35"/>
      <c r="G1943" s="35"/>
      <c r="H1943" s="35"/>
      <c r="I1943" s="35"/>
      <c r="J1943" s="35"/>
      <c r="K1943" s="35"/>
      <c r="L1943" s="35"/>
      <c r="M1943" s="35"/>
      <c r="N1943" s="35"/>
      <c r="O1943" s="35"/>
      <c r="P1943" s="35"/>
      <c r="Q1943" s="35"/>
      <c r="R1943" s="35"/>
      <c r="S1943" s="35"/>
      <c r="T1943" s="35"/>
      <c r="U1943" s="35"/>
      <c r="V1943" s="35"/>
      <c r="W1943" s="35"/>
      <c r="X1943" s="35"/>
      <c r="Y1943" s="35"/>
      <c r="Z1943" s="35"/>
      <c r="AA1943" s="35"/>
      <c r="AB1943" s="35"/>
      <c r="AC1943" s="35"/>
      <c r="AD1943" s="35"/>
      <c r="AE1943" s="35"/>
      <c r="AF1943" s="35"/>
      <c r="AG1943" s="35"/>
      <c r="AH1943" s="35"/>
      <c r="AI1943" s="35"/>
      <c r="AJ1943" s="35"/>
      <c r="AK1943" s="35"/>
      <c r="AL1943" s="35"/>
      <c r="AM1943" s="35"/>
      <c r="AN1943" s="35"/>
      <c r="AO1943" s="35"/>
      <c r="AP1943" s="35"/>
      <c r="AQ1943" s="35"/>
      <c r="AR1943" s="35"/>
      <c r="AS1943" s="35"/>
      <c r="AT1943" s="35"/>
      <c r="AU1943" s="35"/>
      <c r="AV1943" s="35"/>
      <c r="AW1943" s="35"/>
      <c r="AX1943" s="35"/>
      <c r="AY1943" s="35"/>
      <c r="AZ1943" s="35"/>
      <c r="BA1943" s="35"/>
      <c r="BB1943" s="35"/>
      <c r="BC1943" s="35"/>
      <c r="BD1943" s="35"/>
      <c r="BE1943" s="35"/>
      <c r="BF1943" s="35"/>
      <c r="BG1943" s="35"/>
    </row>
    <row r="1944" ht="15.75" customHeight="1">
      <c r="A1944" s="35"/>
      <c r="B1944" s="35"/>
      <c r="C1944" s="35"/>
      <c r="D1944" s="35"/>
      <c r="E1944" s="35"/>
      <c r="F1944" s="35"/>
      <c r="G1944" s="35"/>
      <c r="H1944" s="35"/>
      <c r="I1944" s="35"/>
      <c r="J1944" s="35"/>
      <c r="K1944" s="35"/>
      <c r="L1944" s="35"/>
      <c r="M1944" s="35"/>
      <c r="N1944" s="35"/>
      <c r="O1944" s="35"/>
      <c r="P1944" s="35"/>
      <c r="Q1944" s="35"/>
      <c r="R1944" s="35"/>
      <c r="S1944" s="35"/>
      <c r="T1944" s="35"/>
      <c r="U1944" s="35"/>
      <c r="V1944" s="35"/>
      <c r="W1944" s="35"/>
      <c r="X1944" s="35"/>
      <c r="Y1944" s="35"/>
      <c r="Z1944" s="35"/>
      <c r="AA1944" s="35"/>
      <c r="AB1944" s="35"/>
      <c r="AC1944" s="35"/>
      <c r="AD1944" s="35"/>
      <c r="AE1944" s="35"/>
      <c r="AF1944" s="35"/>
      <c r="AG1944" s="35"/>
      <c r="AH1944" s="35"/>
      <c r="AI1944" s="35"/>
      <c r="AJ1944" s="35"/>
      <c r="AK1944" s="35"/>
      <c r="AL1944" s="35"/>
      <c r="AM1944" s="35"/>
      <c r="AN1944" s="35"/>
      <c r="AO1944" s="35"/>
      <c r="AP1944" s="35"/>
      <c r="AQ1944" s="35"/>
      <c r="AR1944" s="35"/>
      <c r="AS1944" s="35"/>
      <c r="AT1944" s="35"/>
      <c r="AU1944" s="35"/>
      <c r="AV1944" s="35"/>
      <c r="AW1944" s="35"/>
      <c r="AX1944" s="35"/>
      <c r="AY1944" s="35"/>
      <c r="AZ1944" s="35"/>
      <c r="BA1944" s="35"/>
      <c r="BB1944" s="35"/>
      <c r="BC1944" s="35"/>
      <c r="BD1944" s="35"/>
      <c r="BE1944" s="35"/>
      <c r="BF1944" s="35"/>
      <c r="BG1944" s="35"/>
    </row>
    <row r="1945" ht="15.75" customHeight="1">
      <c r="A1945" s="35"/>
      <c r="B1945" s="35"/>
      <c r="C1945" s="35"/>
      <c r="D1945" s="35"/>
      <c r="E1945" s="35"/>
      <c r="F1945" s="35"/>
      <c r="G1945" s="35"/>
      <c r="H1945" s="35"/>
      <c r="I1945" s="35"/>
      <c r="J1945" s="35"/>
      <c r="K1945" s="35"/>
      <c r="L1945" s="35"/>
      <c r="M1945" s="35"/>
      <c r="N1945" s="35"/>
      <c r="O1945" s="35"/>
      <c r="P1945" s="35"/>
      <c r="Q1945" s="35"/>
      <c r="R1945" s="35"/>
      <c r="S1945" s="35"/>
      <c r="T1945" s="35"/>
      <c r="U1945" s="35"/>
      <c r="V1945" s="35"/>
      <c r="W1945" s="35"/>
      <c r="X1945" s="35"/>
      <c r="Y1945" s="35"/>
      <c r="Z1945" s="35"/>
      <c r="AA1945" s="35"/>
      <c r="AB1945" s="35"/>
      <c r="AC1945" s="35"/>
      <c r="AD1945" s="35"/>
      <c r="AE1945" s="35"/>
      <c r="AF1945" s="35"/>
      <c r="AG1945" s="35"/>
      <c r="AH1945" s="35"/>
      <c r="AI1945" s="35"/>
      <c r="AJ1945" s="35"/>
      <c r="AK1945" s="35"/>
      <c r="AL1945" s="35"/>
      <c r="AM1945" s="35"/>
      <c r="AN1945" s="35"/>
      <c r="AO1945" s="35"/>
      <c r="AP1945" s="35"/>
      <c r="AQ1945" s="35"/>
      <c r="AR1945" s="35"/>
      <c r="AS1945" s="35"/>
      <c r="AT1945" s="35"/>
      <c r="AU1945" s="35"/>
      <c r="AV1945" s="35"/>
      <c r="AW1945" s="35"/>
      <c r="AX1945" s="35"/>
      <c r="AY1945" s="35"/>
      <c r="AZ1945" s="35"/>
      <c r="BA1945" s="35"/>
      <c r="BB1945" s="35"/>
      <c r="BC1945" s="35"/>
      <c r="BD1945" s="35"/>
      <c r="BE1945" s="35"/>
      <c r="BF1945" s="35"/>
      <c r="BG1945" s="35"/>
    </row>
    <row r="1946" ht="15.75" customHeight="1">
      <c r="A1946" s="35"/>
      <c r="B1946" s="35"/>
      <c r="C1946" s="35"/>
      <c r="D1946" s="35"/>
      <c r="E1946" s="35"/>
      <c r="F1946" s="35"/>
      <c r="G1946" s="35"/>
      <c r="H1946" s="35"/>
      <c r="I1946" s="35"/>
      <c r="J1946" s="35"/>
      <c r="K1946" s="35"/>
      <c r="L1946" s="35"/>
      <c r="M1946" s="35"/>
      <c r="N1946" s="35"/>
      <c r="O1946" s="35"/>
      <c r="P1946" s="35"/>
      <c r="Q1946" s="35"/>
      <c r="R1946" s="35"/>
      <c r="S1946" s="35"/>
      <c r="T1946" s="35"/>
      <c r="U1946" s="35"/>
      <c r="V1946" s="35"/>
      <c r="W1946" s="35"/>
      <c r="X1946" s="35"/>
      <c r="Y1946" s="35"/>
      <c r="Z1946" s="35"/>
      <c r="AA1946" s="35"/>
      <c r="AB1946" s="35"/>
      <c r="AC1946" s="35"/>
      <c r="AD1946" s="35"/>
      <c r="AE1946" s="35"/>
      <c r="AF1946" s="35"/>
      <c r="AG1946" s="35"/>
      <c r="AH1946" s="35"/>
      <c r="AI1946" s="35"/>
      <c r="AJ1946" s="35"/>
      <c r="AK1946" s="35"/>
      <c r="AL1946" s="35"/>
      <c r="AM1946" s="35"/>
      <c r="AN1946" s="35"/>
      <c r="AO1946" s="35"/>
      <c r="AP1946" s="35"/>
      <c r="AQ1946" s="35"/>
      <c r="AR1946" s="35"/>
      <c r="AS1946" s="35"/>
      <c r="AT1946" s="35"/>
      <c r="AU1946" s="35"/>
      <c r="AV1946" s="35"/>
      <c r="AW1946" s="35"/>
      <c r="AX1946" s="35"/>
      <c r="AY1946" s="35"/>
      <c r="AZ1946" s="35"/>
      <c r="BA1946" s="35"/>
      <c r="BB1946" s="35"/>
      <c r="BC1946" s="35"/>
      <c r="BD1946" s="35"/>
      <c r="BE1946" s="35"/>
      <c r="BF1946" s="35"/>
      <c r="BG1946" s="35"/>
    </row>
    <row r="1947" ht="15.75" customHeight="1">
      <c r="A1947" s="35"/>
      <c r="B1947" s="35"/>
      <c r="C1947" s="35"/>
      <c r="D1947" s="35"/>
      <c r="E1947" s="35"/>
      <c r="F1947" s="35"/>
      <c r="G1947" s="35"/>
      <c r="H1947" s="35"/>
      <c r="I1947" s="35"/>
      <c r="J1947" s="35"/>
      <c r="K1947" s="35"/>
      <c r="L1947" s="35"/>
      <c r="M1947" s="35"/>
      <c r="N1947" s="35"/>
      <c r="O1947" s="35"/>
      <c r="P1947" s="35"/>
      <c r="Q1947" s="35"/>
      <c r="R1947" s="35"/>
      <c r="S1947" s="35"/>
      <c r="T1947" s="35"/>
      <c r="U1947" s="35"/>
      <c r="V1947" s="35"/>
      <c r="W1947" s="35"/>
      <c r="X1947" s="35"/>
      <c r="Y1947" s="35"/>
      <c r="Z1947" s="35"/>
      <c r="AA1947" s="35"/>
      <c r="AB1947" s="35"/>
      <c r="AC1947" s="35"/>
      <c r="AD1947" s="35"/>
      <c r="AE1947" s="35"/>
      <c r="AF1947" s="35"/>
      <c r="AG1947" s="35"/>
      <c r="AH1947" s="35"/>
      <c r="AI1947" s="35"/>
      <c r="AJ1947" s="35"/>
      <c r="AK1947" s="35"/>
      <c r="AL1947" s="35"/>
      <c r="AM1947" s="35"/>
      <c r="AN1947" s="35"/>
      <c r="AO1947" s="35"/>
      <c r="AP1947" s="35"/>
      <c r="AQ1947" s="35"/>
      <c r="AR1947" s="35"/>
      <c r="AS1947" s="35"/>
      <c r="AT1947" s="35"/>
      <c r="AU1947" s="35"/>
      <c r="AV1947" s="35"/>
      <c r="AW1947" s="35"/>
      <c r="AX1947" s="35"/>
      <c r="AY1947" s="35"/>
      <c r="AZ1947" s="35"/>
      <c r="BA1947" s="35"/>
      <c r="BB1947" s="35"/>
      <c r="BC1947" s="35"/>
      <c r="BD1947" s="35"/>
      <c r="BE1947" s="35"/>
      <c r="BF1947" s="35"/>
      <c r="BG1947" s="35"/>
    </row>
    <row r="1948" ht="15.75" customHeight="1">
      <c r="A1948" s="35"/>
      <c r="B1948" s="35"/>
      <c r="C1948" s="35"/>
      <c r="D1948" s="35"/>
      <c r="E1948" s="35"/>
      <c r="F1948" s="35"/>
      <c r="G1948" s="35"/>
      <c r="H1948" s="35"/>
      <c r="I1948" s="35"/>
      <c r="J1948" s="35"/>
      <c r="K1948" s="35"/>
      <c r="L1948" s="35"/>
      <c r="M1948" s="35"/>
      <c r="N1948" s="35"/>
      <c r="O1948" s="35"/>
      <c r="P1948" s="35"/>
      <c r="Q1948" s="35"/>
      <c r="R1948" s="35"/>
      <c r="S1948" s="35"/>
      <c r="T1948" s="35"/>
      <c r="U1948" s="35"/>
      <c r="V1948" s="35"/>
      <c r="W1948" s="35"/>
      <c r="X1948" s="35"/>
      <c r="Y1948" s="35"/>
      <c r="Z1948" s="35"/>
      <c r="AA1948" s="35"/>
      <c r="AB1948" s="35"/>
      <c r="AC1948" s="35"/>
      <c r="AD1948" s="35"/>
      <c r="AE1948" s="35"/>
      <c r="AF1948" s="35"/>
      <c r="AG1948" s="35"/>
      <c r="AH1948" s="35"/>
      <c r="AI1948" s="35"/>
      <c r="AJ1948" s="35"/>
      <c r="AK1948" s="35"/>
      <c r="AL1948" s="35"/>
      <c r="AM1948" s="35"/>
      <c r="AN1948" s="35"/>
      <c r="AO1948" s="35"/>
      <c r="AP1948" s="35"/>
      <c r="AQ1948" s="35"/>
      <c r="AR1948" s="35"/>
      <c r="AS1948" s="35"/>
      <c r="AT1948" s="35"/>
      <c r="AU1948" s="35"/>
      <c r="AV1948" s="35"/>
      <c r="AW1948" s="35"/>
      <c r="AX1948" s="35"/>
      <c r="AY1948" s="35"/>
      <c r="AZ1948" s="35"/>
      <c r="BA1948" s="35"/>
      <c r="BB1948" s="35"/>
      <c r="BC1948" s="35"/>
      <c r="BD1948" s="35"/>
      <c r="BE1948" s="35"/>
      <c r="BF1948" s="35"/>
      <c r="BG1948" s="35"/>
    </row>
    <row r="1949" ht="15.75" customHeight="1">
      <c r="A1949" s="35"/>
      <c r="B1949" s="35"/>
      <c r="C1949" s="35"/>
      <c r="D1949" s="35"/>
      <c r="E1949" s="35"/>
      <c r="F1949" s="35"/>
      <c r="G1949" s="35"/>
      <c r="H1949" s="35"/>
      <c r="I1949" s="35"/>
      <c r="J1949" s="35"/>
      <c r="K1949" s="35"/>
      <c r="L1949" s="35"/>
      <c r="M1949" s="35"/>
      <c r="N1949" s="35"/>
      <c r="O1949" s="35"/>
      <c r="P1949" s="35"/>
      <c r="Q1949" s="35"/>
      <c r="R1949" s="35"/>
      <c r="S1949" s="35"/>
      <c r="T1949" s="35"/>
      <c r="U1949" s="35"/>
      <c r="V1949" s="35"/>
      <c r="W1949" s="35"/>
      <c r="X1949" s="35"/>
      <c r="Y1949" s="35"/>
      <c r="Z1949" s="35"/>
      <c r="AA1949" s="35"/>
      <c r="AB1949" s="35"/>
      <c r="AC1949" s="35"/>
      <c r="AD1949" s="35"/>
      <c r="AE1949" s="35"/>
      <c r="AF1949" s="35"/>
      <c r="AG1949" s="35"/>
      <c r="AH1949" s="35"/>
      <c r="AI1949" s="35"/>
      <c r="AJ1949" s="35"/>
      <c r="AK1949" s="35"/>
      <c r="AL1949" s="35"/>
      <c r="AM1949" s="35"/>
      <c r="AN1949" s="35"/>
      <c r="AO1949" s="35"/>
      <c r="AP1949" s="35"/>
      <c r="AQ1949" s="35"/>
      <c r="AR1949" s="35"/>
      <c r="AS1949" s="35"/>
      <c r="AT1949" s="35"/>
      <c r="AU1949" s="35"/>
      <c r="AV1949" s="35"/>
      <c r="AW1949" s="35"/>
      <c r="AX1949" s="35"/>
      <c r="AY1949" s="35"/>
      <c r="AZ1949" s="35"/>
      <c r="BA1949" s="35"/>
      <c r="BB1949" s="35"/>
      <c r="BC1949" s="35"/>
      <c r="BD1949" s="35"/>
      <c r="BE1949" s="35"/>
      <c r="BF1949" s="35"/>
      <c r="BG1949" s="35"/>
    </row>
    <row r="1950" ht="15.75" customHeight="1">
      <c r="A1950" s="35"/>
      <c r="B1950" s="35"/>
      <c r="C1950" s="35"/>
      <c r="D1950" s="35"/>
      <c r="E1950" s="35"/>
      <c r="F1950" s="35"/>
      <c r="G1950" s="35"/>
      <c r="H1950" s="35"/>
      <c r="I1950" s="35"/>
      <c r="J1950" s="35"/>
      <c r="K1950" s="35"/>
      <c r="L1950" s="35"/>
      <c r="M1950" s="35"/>
      <c r="N1950" s="35"/>
      <c r="O1950" s="35"/>
      <c r="P1950" s="35"/>
      <c r="Q1950" s="35"/>
      <c r="R1950" s="35"/>
      <c r="S1950" s="35"/>
      <c r="T1950" s="35"/>
      <c r="U1950" s="35"/>
      <c r="V1950" s="35"/>
      <c r="W1950" s="35"/>
      <c r="X1950" s="35"/>
      <c r="Y1950" s="35"/>
      <c r="Z1950" s="35"/>
      <c r="AA1950" s="35"/>
      <c r="AB1950" s="35"/>
      <c r="AC1950" s="35"/>
      <c r="AD1950" s="35"/>
      <c r="AE1950" s="35"/>
      <c r="AF1950" s="35"/>
      <c r="AG1950" s="35"/>
      <c r="AH1950" s="35"/>
      <c r="AI1950" s="35"/>
      <c r="AJ1950" s="35"/>
      <c r="AK1950" s="35"/>
      <c r="AL1950" s="35"/>
      <c r="AM1950" s="35"/>
      <c r="AN1950" s="35"/>
      <c r="AO1950" s="35"/>
      <c r="AP1950" s="35"/>
      <c r="AQ1950" s="35"/>
      <c r="AR1950" s="35"/>
      <c r="AS1950" s="35"/>
      <c r="AT1950" s="35"/>
      <c r="AU1950" s="35"/>
      <c r="AV1950" s="35"/>
      <c r="AW1950" s="35"/>
      <c r="AX1950" s="35"/>
      <c r="AY1950" s="35"/>
      <c r="AZ1950" s="35"/>
      <c r="BA1950" s="35"/>
      <c r="BB1950" s="35"/>
      <c r="BC1950" s="35"/>
      <c r="BD1950" s="35"/>
      <c r="BE1950" s="35"/>
      <c r="BF1950" s="35"/>
      <c r="BG1950" s="35"/>
    </row>
    <row r="1951" ht="15.75" customHeight="1">
      <c r="A1951" s="35"/>
      <c r="B1951" s="35"/>
      <c r="C1951" s="35"/>
      <c r="D1951" s="35"/>
      <c r="E1951" s="35"/>
      <c r="F1951" s="35"/>
      <c r="G1951" s="35"/>
      <c r="H1951" s="35"/>
      <c r="I1951" s="35"/>
      <c r="J1951" s="35"/>
      <c r="K1951" s="35"/>
      <c r="L1951" s="35"/>
      <c r="M1951" s="35"/>
      <c r="N1951" s="35"/>
      <c r="O1951" s="35"/>
      <c r="P1951" s="35"/>
      <c r="Q1951" s="35"/>
      <c r="R1951" s="35"/>
      <c r="S1951" s="35"/>
      <c r="T1951" s="35"/>
      <c r="U1951" s="35"/>
      <c r="V1951" s="35"/>
      <c r="W1951" s="35"/>
      <c r="X1951" s="35"/>
      <c r="Y1951" s="35"/>
      <c r="Z1951" s="35"/>
      <c r="AA1951" s="35"/>
      <c r="AB1951" s="35"/>
      <c r="AC1951" s="35"/>
      <c r="AD1951" s="35"/>
      <c r="AE1951" s="35"/>
      <c r="AF1951" s="35"/>
      <c r="AG1951" s="35"/>
      <c r="AH1951" s="35"/>
      <c r="AI1951" s="35"/>
      <c r="AJ1951" s="35"/>
      <c r="AK1951" s="35"/>
      <c r="AL1951" s="35"/>
      <c r="AM1951" s="35"/>
      <c r="AN1951" s="35"/>
      <c r="AO1951" s="35"/>
      <c r="AP1951" s="35"/>
      <c r="AQ1951" s="35"/>
      <c r="AR1951" s="35"/>
      <c r="AS1951" s="35"/>
      <c r="AT1951" s="35"/>
      <c r="AU1951" s="35"/>
      <c r="AV1951" s="35"/>
      <c r="AW1951" s="35"/>
      <c r="AX1951" s="35"/>
      <c r="AY1951" s="35"/>
      <c r="AZ1951" s="35"/>
      <c r="BA1951" s="35"/>
      <c r="BB1951" s="35"/>
      <c r="BC1951" s="35"/>
      <c r="BD1951" s="35"/>
      <c r="BE1951" s="35"/>
      <c r="BF1951" s="35"/>
      <c r="BG1951" s="35"/>
    </row>
    <row r="1952" ht="15.75" customHeight="1">
      <c r="A1952" s="35"/>
      <c r="B1952" s="35"/>
      <c r="C1952" s="35"/>
      <c r="D1952" s="35"/>
      <c r="E1952" s="35"/>
      <c r="F1952" s="35"/>
      <c r="G1952" s="35"/>
      <c r="H1952" s="35"/>
      <c r="I1952" s="35"/>
      <c r="J1952" s="35"/>
      <c r="K1952" s="35"/>
      <c r="L1952" s="35"/>
      <c r="M1952" s="35"/>
      <c r="N1952" s="35"/>
      <c r="O1952" s="35"/>
      <c r="P1952" s="35"/>
      <c r="Q1952" s="35"/>
      <c r="R1952" s="35"/>
      <c r="S1952" s="35"/>
      <c r="T1952" s="35"/>
      <c r="U1952" s="35"/>
      <c r="V1952" s="35"/>
      <c r="W1952" s="35"/>
      <c r="X1952" s="35"/>
      <c r="Y1952" s="35"/>
      <c r="Z1952" s="35"/>
      <c r="AA1952" s="35"/>
      <c r="AB1952" s="35"/>
      <c r="AC1952" s="35"/>
      <c r="AD1952" s="35"/>
      <c r="AE1952" s="35"/>
      <c r="AF1952" s="35"/>
      <c r="AG1952" s="35"/>
      <c r="AH1952" s="35"/>
      <c r="AI1952" s="35"/>
      <c r="AJ1952" s="35"/>
      <c r="AK1952" s="35"/>
      <c r="AL1952" s="35"/>
      <c r="AM1952" s="35"/>
      <c r="AN1952" s="35"/>
      <c r="AO1952" s="35"/>
      <c r="AP1952" s="35"/>
      <c r="AQ1952" s="35"/>
      <c r="AR1952" s="35"/>
      <c r="AS1952" s="35"/>
      <c r="AT1952" s="35"/>
      <c r="AU1952" s="35"/>
      <c r="AV1952" s="35"/>
      <c r="AW1952" s="35"/>
      <c r="AX1952" s="35"/>
      <c r="AY1952" s="35"/>
      <c r="AZ1952" s="35"/>
      <c r="BA1952" s="35"/>
      <c r="BB1952" s="35"/>
      <c r="BC1952" s="35"/>
      <c r="BD1952" s="35"/>
      <c r="BE1952" s="35"/>
      <c r="BF1952" s="35"/>
      <c r="BG1952" s="35"/>
    </row>
    <row r="1953" ht="15.75" customHeight="1">
      <c r="A1953" s="35"/>
      <c r="B1953" s="35"/>
      <c r="C1953" s="35"/>
      <c r="D1953" s="35"/>
      <c r="E1953" s="35"/>
      <c r="F1953" s="35"/>
      <c r="G1953" s="35"/>
      <c r="H1953" s="35"/>
      <c r="I1953" s="35"/>
      <c r="J1953" s="35"/>
      <c r="K1953" s="35"/>
      <c r="L1953" s="35"/>
      <c r="M1953" s="35"/>
      <c r="N1953" s="35"/>
      <c r="O1953" s="35"/>
      <c r="P1953" s="35"/>
      <c r="Q1953" s="35"/>
      <c r="R1953" s="35"/>
      <c r="S1953" s="35"/>
      <c r="T1953" s="35"/>
      <c r="U1953" s="35"/>
      <c r="V1953" s="35"/>
      <c r="W1953" s="35"/>
      <c r="X1953" s="35"/>
      <c r="Y1953" s="35"/>
      <c r="Z1953" s="35"/>
      <c r="AA1953" s="35"/>
      <c r="AB1953" s="35"/>
      <c r="AC1953" s="35"/>
      <c r="AD1953" s="35"/>
      <c r="AE1953" s="35"/>
      <c r="AF1953" s="35"/>
      <c r="AG1953" s="35"/>
      <c r="AH1953" s="35"/>
      <c r="AI1953" s="35"/>
      <c r="AJ1953" s="35"/>
      <c r="AK1953" s="35"/>
      <c r="AL1953" s="35"/>
      <c r="AM1953" s="35"/>
      <c r="AN1953" s="35"/>
      <c r="AO1953" s="35"/>
      <c r="AP1953" s="35"/>
      <c r="AQ1953" s="35"/>
      <c r="AR1953" s="35"/>
      <c r="AS1953" s="35"/>
      <c r="AT1953" s="35"/>
      <c r="AU1953" s="35"/>
      <c r="AV1953" s="35"/>
      <c r="AW1953" s="35"/>
      <c r="AX1953" s="35"/>
      <c r="AY1953" s="35"/>
      <c r="AZ1953" s="35"/>
      <c r="BA1953" s="35"/>
      <c r="BB1953" s="35"/>
      <c r="BC1953" s="35"/>
      <c r="BD1953" s="35"/>
      <c r="BE1953" s="35"/>
      <c r="BF1953" s="35"/>
      <c r="BG1953" s="35"/>
    </row>
    <row r="1954" ht="15.75" customHeight="1">
      <c r="A1954" s="35"/>
      <c r="B1954" s="35"/>
      <c r="C1954" s="35"/>
      <c r="D1954" s="35"/>
      <c r="E1954" s="35"/>
      <c r="F1954" s="35"/>
      <c r="G1954" s="35"/>
      <c r="H1954" s="35"/>
      <c r="I1954" s="35"/>
      <c r="J1954" s="35"/>
      <c r="K1954" s="35"/>
      <c r="L1954" s="35"/>
      <c r="M1954" s="35"/>
      <c r="N1954" s="35"/>
      <c r="O1954" s="35"/>
      <c r="P1954" s="35"/>
      <c r="Q1954" s="35"/>
      <c r="R1954" s="35"/>
      <c r="S1954" s="35"/>
      <c r="T1954" s="35"/>
      <c r="U1954" s="35"/>
      <c r="V1954" s="35"/>
      <c r="W1954" s="35"/>
      <c r="X1954" s="35"/>
      <c r="Y1954" s="35"/>
      <c r="Z1954" s="35"/>
      <c r="AA1954" s="35"/>
      <c r="AB1954" s="35"/>
      <c r="AC1954" s="35"/>
      <c r="AD1954" s="35"/>
      <c r="AE1954" s="35"/>
      <c r="AF1954" s="35"/>
      <c r="AG1954" s="35"/>
      <c r="AH1954" s="35"/>
      <c r="AI1954" s="35"/>
      <c r="AJ1954" s="35"/>
      <c r="AK1954" s="35"/>
      <c r="AL1954" s="35"/>
      <c r="AM1954" s="35"/>
      <c r="AN1954" s="35"/>
      <c r="AO1954" s="35"/>
      <c r="AP1954" s="35"/>
      <c r="AQ1954" s="35"/>
      <c r="AR1954" s="35"/>
      <c r="AS1954" s="35"/>
      <c r="AT1954" s="35"/>
      <c r="AU1954" s="35"/>
      <c r="AV1954" s="35"/>
      <c r="AW1954" s="35"/>
      <c r="AX1954" s="35"/>
      <c r="AY1954" s="35"/>
      <c r="AZ1954" s="35"/>
      <c r="BA1954" s="35"/>
      <c r="BB1954" s="35"/>
      <c r="BC1954" s="35"/>
      <c r="BD1954" s="35"/>
      <c r="BE1954" s="35"/>
      <c r="BF1954" s="35"/>
      <c r="BG1954" s="35"/>
    </row>
    <row r="1955" ht="15.75" customHeight="1">
      <c r="A1955" s="35"/>
      <c r="B1955" s="35"/>
      <c r="C1955" s="35"/>
      <c r="D1955" s="35"/>
      <c r="E1955" s="35"/>
      <c r="F1955" s="35"/>
      <c r="G1955" s="35"/>
      <c r="H1955" s="35"/>
      <c r="I1955" s="35"/>
      <c r="J1955" s="35"/>
      <c r="K1955" s="35"/>
      <c r="L1955" s="35"/>
      <c r="M1955" s="35"/>
      <c r="N1955" s="35"/>
      <c r="O1955" s="35"/>
      <c r="P1955" s="35"/>
      <c r="Q1955" s="35"/>
      <c r="R1955" s="35"/>
      <c r="S1955" s="35"/>
      <c r="T1955" s="35"/>
      <c r="U1955" s="35"/>
      <c r="V1955" s="35"/>
      <c r="W1955" s="35"/>
      <c r="X1955" s="35"/>
      <c r="Y1955" s="35"/>
      <c r="Z1955" s="35"/>
      <c r="AA1955" s="35"/>
      <c r="AB1955" s="35"/>
      <c r="AC1955" s="35"/>
      <c r="AD1955" s="35"/>
      <c r="AE1955" s="35"/>
      <c r="AF1955" s="35"/>
      <c r="AG1955" s="35"/>
      <c r="AH1955" s="35"/>
      <c r="AI1955" s="35"/>
      <c r="AJ1955" s="35"/>
      <c r="AK1955" s="35"/>
      <c r="AL1955" s="35"/>
      <c r="AM1955" s="35"/>
      <c r="AN1955" s="35"/>
      <c r="AO1955" s="35"/>
      <c r="AP1955" s="35"/>
      <c r="AQ1955" s="35"/>
      <c r="AR1955" s="35"/>
      <c r="AS1955" s="35"/>
      <c r="AT1955" s="35"/>
      <c r="AU1955" s="35"/>
      <c r="AV1955" s="35"/>
      <c r="AW1955" s="35"/>
      <c r="AX1955" s="35"/>
      <c r="AY1955" s="35"/>
      <c r="AZ1955" s="35"/>
      <c r="BA1955" s="35"/>
      <c r="BB1955" s="35"/>
      <c r="BC1955" s="35"/>
      <c r="BD1955" s="35"/>
      <c r="BE1955" s="35"/>
      <c r="BF1955" s="35"/>
      <c r="BG1955" s="35"/>
    </row>
    <row r="1956" ht="15.75" customHeight="1">
      <c r="A1956" s="35"/>
      <c r="B1956" s="35"/>
      <c r="C1956" s="35"/>
      <c r="D1956" s="35"/>
      <c r="E1956" s="35"/>
      <c r="F1956" s="35"/>
      <c r="G1956" s="35"/>
      <c r="H1956" s="35"/>
      <c r="I1956" s="35"/>
      <c r="J1956" s="35"/>
      <c r="K1956" s="35"/>
      <c r="L1956" s="35"/>
      <c r="M1956" s="35"/>
      <c r="N1956" s="35"/>
      <c r="O1956" s="35"/>
      <c r="P1956" s="35"/>
      <c r="Q1956" s="35"/>
      <c r="R1956" s="35"/>
      <c r="S1956" s="35"/>
      <c r="T1956" s="35"/>
      <c r="U1956" s="35"/>
      <c r="V1956" s="35"/>
      <c r="W1956" s="35"/>
      <c r="X1956" s="35"/>
      <c r="Y1956" s="35"/>
      <c r="Z1956" s="35"/>
      <c r="AA1956" s="35"/>
      <c r="AB1956" s="35"/>
      <c r="AC1956" s="35"/>
      <c r="AD1956" s="35"/>
      <c r="AE1956" s="35"/>
      <c r="AF1956" s="35"/>
      <c r="AG1956" s="35"/>
      <c r="AH1956" s="35"/>
      <c r="AI1956" s="35"/>
      <c r="AJ1956" s="35"/>
      <c r="AK1956" s="35"/>
      <c r="AL1956" s="35"/>
      <c r="AM1956" s="35"/>
      <c r="AN1956" s="35"/>
      <c r="AO1956" s="35"/>
      <c r="AP1956" s="35"/>
      <c r="AQ1956" s="35"/>
      <c r="AR1956" s="35"/>
      <c r="AS1956" s="35"/>
      <c r="AT1956" s="35"/>
      <c r="AU1956" s="35"/>
      <c r="AV1956" s="35"/>
      <c r="AW1956" s="35"/>
      <c r="AX1956" s="35"/>
      <c r="AY1956" s="35"/>
      <c r="AZ1956" s="35"/>
      <c r="BA1956" s="35"/>
      <c r="BB1956" s="35"/>
      <c r="BC1956" s="35"/>
      <c r="BD1956" s="35"/>
      <c r="BE1956" s="35"/>
      <c r="BF1956" s="35"/>
      <c r="BG1956" s="35"/>
    </row>
    <row r="1957" ht="15.75" customHeight="1">
      <c r="A1957" s="35"/>
      <c r="B1957" s="35"/>
      <c r="C1957" s="35"/>
      <c r="D1957" s="35"/>
      <c r="E1957" s="35"/>
      <c r="F1957" s="35"/>
      <c r="G1957" s="35"/>
      <c r="H1957" s="35"/>
      <c r="I1957" s="35"/>
      <c r="J1957" s="35"/>
      <c r="K1957" s="35"/>
      <c r="L1957" s="35"/>
      <c r="M1957" s="35"/>
      <c r="N1957" s="35"/>
      <c r="O1957" s="35"/>
      <c r="P1957" s="35"/>
      <c r="Q1957" s="35"/>
      <c r="R1957" s="35"/>
      <c r="S1957" s="35"/>
      <c r="T1957" s="35"/>
      <c r="U1957" s="35"/>
      <c r="V1957" s="35"/>
      <c r="W1957" s="35"/>
      <c r="X1957" s="35"/>
      <c r="Y1957" s="35"/>
      <c r="Z1957" s="35"/>
      <c r="AA1957" s="35"/>
      <c r="AB1957" s="35"/>
      <c r="AC1957" s="35"/>
      <c r="AD1957" s="35"/>
      <c r="AE1957" s="35"/>
      <c r="AF1957" s="35"/>
      <c r="AG1957" s="35"/>
      <c r="AH1957" s="35"/>
      <c r="AI1957" s="35"/>
      <c r="AJ1957" s="35"/>
      <c r="AK1957" s="35"/>
      <c r="AL1957" s="35"/>
      <c r="AM1957" s="35"/>
      <c r="AN1957" s="35"/>
      <c r="AO1957" s="35"/>
      <c r="AP1957" s="35"/>
      <c r="AQ1957" s="35"/>
      <c r="AR1957" s="35"/>
      <c r="AS1957" s="35"/>
      <c r="AT1957" s="35"/>
      <c r="AU1957" s="35"/>
      <c r="AV1957" s="35"/>
      <c r="AW1957" s="35"/>
      <c r="AX1957" s="35"/>
      <c r="AY1957" s="35"/>
      <c r="AZ1957" s="35"/>
      <c r="BA1957" s="35"/>
      <c r="BB1957" s="35"/>
      <c r="BC1957" s="35"/>
      <c r="BD1957" s="35"/>
      <c r="BE1957" s="35"/>
      <c r="BF1957" s="35"/>
      <c r="BG1957" s="35"/>
    </row>
    <row r="1958" ht="15.75" customHeight="1">
      <c r="A1958" s="35"/>
      <c r="B1958" s="35"/>
      <c r="C1958" s="35"/>
      <c r="D1958" s="35"/>
      <c r="E1958" s="35"/>
      <c r="F1958" s="35"/>
      <c r="G1958" s="35"/>
      <c r="H1958" s="35"/>
      <c r="I1958" s="35"/>
      <c r="J1958" s="35"/>
      <c r="K1958" s="35"/>
      <c r="L1958" s="35"/>
      <c r="M1958" s="35"/>
      <c r="N1958" s="35"/>
      <c r="O1958" s="35"/>
      <c r="P1958" s="35"/>
      <c r="Q1958" s="35"/>
      <c r="R1958" s="35"/>
      <c r="S1958" s="35"/>
      <c r="T1958" s="35"/>
      <c r="U1958" s="35"/>
      <c r="V1958" s="35"/>
      <c r="W1958" s="35"/>
      <c r="X1958" s="35"/>
      <c r="Y1958" s="35"/>
      <c r="Z1958" s="35"/>
      <c r="AA1958" s="35"/>
      <c r="AB1958" s="35"/>
      <c r="AC1958" s="35"/>
      <c r="AD1958" s="35"/>
      <c r="AE1958" s="35"/>
      <c r="AF1958" s="35"/>
      <c r="AG1958" s="35"/>
      <c r="AH1958" s="35"/>
      <c r="AI1958" s="35"/>
      <c r="AJ1958" s="35"/>
      <c r="AK1958" s="35"/>
      <c r="AL1958" s="35"/>
      <c r="AM1958" s="35"/>
      <c r="AN1958" s="35"/>
      <c r="AO1958" s="35"/>
      <c r="AP1958" s="35"/>
      <c r="AQ1958" s="35"/>
      <c r="AR1958" s="35"/>
      <c r="AS1958" s="35"/>
      <c r="AT1958" s="35"/>
      <c r="AU1958" s="35"/>
      <c r="AV1958" s="35"/>
      <c r="AW1958" s="35"/>
      <c r="AX1958" s="35"/>
      <c r="AY1958" s="35"/>
      <c r="AZ1958" s="35"/>
      <c r="BA1958" s="35"/>
      <c r="BB1958" s="35"/>
      <c r="BC1958" s="35"/>
      <c r="BD1958" s="35"/>
      <c r="BE1958" s="35"/>
      <c r="BF1958" s="35"/>
      <c r="BG1958" s="35"/>
    </row>
    <row r="1959" ht="15.75" customHeight="1">
      <c r="A1959" s="35"/>
      <c r="B1959" s="35"/>
      <c r="C1959" s="35"/>
      <c r="D1959" s="35"/>
      <c r="E1959" s="35"/>
      <c r="F1959" s="35"/>
      <c r="G1959" s="35"/>
      <c r="H1959" s="35"/>
      <c r="I1959" s="35"/>
      <c r="J1959" s="35"/>
      <c r="K1959" s="35"/>
      <c r="L1959" s="35"/>
      <c r="M1959" s="35"/>
      <c r="N1959" s="35"/>
      <c r="O1959" s="35"/>
      <c r="P1959" s="35"/>
      <c r="Q1959" s="35"/>
      <c r="R1959" s="35"/>
      <c r="S1959" s="35"/>
      <c r="T1959" s="35"/>
      <c r="U1959" s="35"/>
      <c r="V1959" s="35"/>
      <c r="W1959" s="35"/>
      <c r="X1959" s="35"/>
      <c r="Y1959" s="35"/>
      <c r="Z1959" s="35"/>
      <c r="AA1959" s="35"/>
      <c r="AB1959" s="35"/>
      <c r="AC1959" s="35"/>
      <c r="AD1959" s="35"/>
      <c r="AE1959" s="35"/>
      <c r="AF1959" s="35"/>
      <c r="AG1959" s="35"/>
      <c r="AH1959" s="35"/>
      <c r="AI1959" s="35"/>
      <c r="AJ1959" s="35"/>
      <c r="AK1959" s="35"/>
      <c r="AL1959" s="35"/>
      <c r="AM1959" s="35"/>
      <c r="AN1959" s="35"/>
      <c r="AO1959" s="35"/>
      <c r="AP1959" s="35"/>
      <c r="AQ1959" s="35"/>
      <c r="AR1959" s="35"/>
      <c r="AS1959" s="35"/>
      <c r="AT1959" s="35"/>
      <c r="AU1959" s="35"/>
      <c r="AV1959" s="35"/>
      <c r="AW1959" s="35"/>
      <c r="AX1959" s="35"/>
      <c r="AY1959" s="35"/>
      <c r="AZ1959" s="35"/>
      <c r="BA1959" s="35"/>
      <c r="BB1959" s="35"/>
      <c r="BC1959" s="35"/>
      <c r="BD1959" s="35"/>
      <c r="BE1959" s="35"/>
      <c r="BF1959" s="35"/>
      <c r="BG1959" s="35"/>
    </row>
    <row r="1960" ht="15.75" customHeight="1">
      <c r="A1960" s="35"/>
      <c r="B1960" s="35"/>
      <c r="C1960" s="35"/>
      <c r="D1960" s="35"/>
      <c r="E1960" s="35"/>
      <c r="F1960" s="35"/>
      <c r="G1960" s="35"/>
      <c r="H1960" s="35"/>
      <c r="I1960" s="35"/>
      <c r="J1960" s="35"/>
      <c r="K1960" s="35"/>
      <c r="L1960" s="35"/>
      <c r="M1960" s="35"/>
      <c r="N1960" s="35"/>
      <c r="O1960" s="35"/>
      <c r="P1960" s="35"/>
      <c r="Q1960" s="35"/>
      <c r="R1960" s="35"/>
      <c r="S1960" s="35"/>
      <c r="T1960" s="35"/>
      <c r="U1960" s="35"/>
      <c r="V1960" s="35"/>
      <c r="W1960" s="35"/>
      <c r="X1960" s="35"/>
      <c r="Y1960" s="35"/>
      <c r="Z1960" s="35"/>
      <c r="AA1960" s="35"/>
      <c r="AB1960" s="35"/>
      <c r="AC1960" s="35"/>
      <c r="AD1960" s="35"/>
      <c r="AE1960" s="35"/>
      <c r="AF1960" s="35"/>
      <c r="AG1960" s="35"/>
      <c r="AH1960" s="35"/>
      <c r="AI1960" s="35"/>
      <c r="AJ1960" s="35"/>
      <c r="AK1960" s="35"/>
      <c r="AL1960" s="35"/>
      <c r="AM1960" s="35"/>
      <c r="AN1960" s="35"/>
      <c r="AO1960" s="35"/>
      <c r="AP1960" s="35"/>
      <c r="AQ1960" s="35"/>
      <c r="AR1960" s="35"/>
      <c r="AS1960" s="35"/>
      <c r="AT1960" s="35"/>
      <c r="AU1960" s="35"/>
      <c r="AV1960" s="35"/>
      <c r="AW1960" s="35"/>
      <c r="AX1960" s="35"/>
      <c r="AY1960" s="35"/>
      <c r="AZ1960" s="35"/>
      <c r="BA1960" s="35"/>
      <c r="BB1960" s="35"/>
      <c r="BC1960" s="35"/>
      <c r="BD1960" s="35"/>
      <c r="BE1960" s="35"/>
      <c r="BF1960" s="35"/>
      <c r="BG1960" s="35"/>
    </row>
    <row r="1961" ht="15.75" customHeight="1">
      <c r="A1961" s="35"/>
      <c r="B1961" s="35"/>
      <c r="C1961" s="35"/>
      <c r="D1961" s="35"/>
      <c r="E1961" s="35"/>
      <c r="F1961" s="35"/>
      <c r="G1961" s="35"/>
      <c r="H1961" s="35"/>
      <c r="I1961" s="35"/>
      <c r="J1961" s="35"/>
      <c r="K1961" s="35"/>
      <c r="L1961" s="35"/>
      <c r="M1961" s="35"/>
      <c r="N1961" s="35"/>
      <c r="O1961" s="35"/>
      <c r="P1961" s="35"/>
      <c r="Q1961" s="35"/>
      <c r="R1961" s="35"/>
      <c r="S1961" s="35"/>
      <c r="T1961" s="35"/>
      <c r="U1961" s="35"/>
      <c r="V1961" s="35"/>
      <c r="W1961" s="35"/>
      <c r="X1961" s="35"/>
      <c r="Y1961" s="35"/>
      <c r="Z1961" s="35"/>
      <c r="AA1961" s="35"/>
      <c r="AB1961" s="35"/>
      <c r="AC1961" s="35"/>
      <c r="AD1961" s="35"/>
      <c r="AE1961" s="35"/>
      <c r="AF1961" s="35"/>
      <c r="AG1961" s="35"/>
      <c r="AH1961" s="35"/>
      <c r="AI1961" s="35"/>
      <c r="AJ1961" s="35"/>
      <c r="AK1961" s="35"/>
      <c r="AL1961" s="35"/>
      <c r="AM1961" s="35"/>
      <c r="AN1961" s="35"/>
      <c r="AO1961" s="35"/>
      <c r="AP1961" s="35"/>
      <c r="AQ1961" s="35"/>
      <c r="AR1961" s="35"/>
      <c r="AS1961" s="35"/>
      <c r="AT1961" s="35"/>
      <c r="AU1961" s="35"/>
      <c r="AV1961" s="35"/>
      <c r="AW1961" s="35"/>
      <c r="AX1961" s="35"/>
      <c r="AY1961" s="35"/>
      <c r="AZ1961" s="35"/>
      <c r="BA1961" s="35"/>
      <c r="BB1961" s="35"/>
      <c r="BC1961" s="35"/>
      <c r="BD1961" s="35"/>
      <c r="BE1961" s="35"/>
      <c r="BF1961" s="35"/>
      <c r="BG1961" s="35"/>
    </row>
    <row r="1962" ht="15.75" customHeight="1">
      <c r="A1962" s="35"/>
      <c r="B1962" s="35"/>
      <c r="C1962" s="35"/>
      <c r="D1962" s="35"/>
      <c r="E1962" s="35"/>
      <c r="F1962" s="35"/>
      <c r="G1962" s="35"/>
      <c r="H1962" s="35"/>
      <c r="I1962" s="35"/>
      <c r="J1962" s="35"/>
      <c r="K1962" s="35"/>
      <c r="L1962" s="35"/>
      <c r="M1962" s="35"/>
      <c r="N1962" s="35"/>
      <c r="O1962" s="35"/>
      <c r="P1962" s="35"/>
      <c r="Q1962" s="35"/>
      <c r="R1962" s="35"/>
      <c r="S1962" s="35"/>
      <c r="T1962" s="35"/>
      <c r="U1962" s="35"/>
      <c r="V1962" s="35"/>
      <c r="W1962" s="35"/>
      <c r="X1962" s="35"/>
      <c r="Y1962" s="35"/>
      <c r="Z1962" s="35"/>
      <c r="AA1962" s="35"/>
      <c r="AB1962" s="35"/>
      <c r="AC1962" s="35"/>
      <c r="AD1962" s="35"/>
      <c r="AE1962" s="35"/>
      <c r="AF1962" s="35"/>
      <c r="AG1962" s="35"/>
      <c r="AH1962" s="35"/>
      <c r="AI1962" s="35"/>
      <c r="AJ1962" s="35"/>
      <c r="AK1962" s="35"/>
      <c r="AL1962" s="35"/>
      <c r="AM1962" s="35"/>
      <c r="AN1962" s="35"/>
      <c r="AO1962" s="35"/>
      <c r="AP1962" s="35"/>
      <c r="AQ1962" s="35"/>
      <c r="AR1962" s="35"/>
      <c r="AS1962" s="35"/>
      <c r="AT1962" s="35"/>
      <c r="AU1962" s="35"/>
      <c r="AV1962" s="35"/>
      <c r="AW1962" s="35"/>
      <c r="AX1962" s="35"/>
      <c r="AY1962" s="35"/>
      <c r="AZ1962" s="35"/>
      <c r="BA1962" s="35"/>
      <c r="BB1962" s="35"/>
      <c r="BC1962" s="35"/>
      <c r="BD1962" s="35"/>
      <c r="BE1962" s="35"/>
      <c r="BF1962" s="35"/>
      <c r="BG1962" s="35"/>
    </row>
    <row r="1963" ht="15.75" customHeight="1">
      <c r="A1963" s="35"/>
      <c r="B1963" s="35"/>
      <c r="C1963" s="35"/>
      <c r="D1963" s="35"/>
      <c r="E1963" s="35"/>
      <c r="F1963" s="35"/>
      <c r="G1963" s="35"/>
      <c r="H1963" s="35"/>
      <c r="I1963" s="35"/>
      <c r="J1963" s="35"/>
      <c r="K1963" s="35"/>
      <c r="L1963" s="35"/>
      <c r="M1963" s="35"/>
      <c r="N1963" s="35"/>
      <c r="O1963" s="35"/>
      <c r="P1963" s="35"/>
      <c r="Q1963" s="35"/>
      <c r="R1963" s="35"/>
      <c r="S1963" s="35"/>
      <c r="T1963" s="35"/>
      <c r="U1963" s="35"/>
      <c r="V1963" s="35"/>
      <c r="W1963" s="35"/>
      <c r="X1963" s="35"/>
      <c r="Y1963" s="35"/>
      <c r="Z1963" s="35"/>
      <c r="AA1963" s="35"/>
      <c r="AB1963" s="35"/>
      <c r="AC1963" s="35"/>
      <c r="AD1963" s="35"/>
      <c r="AE1963" s="35"/>
      <c r="AF1963" s="35"/>
      <c r="AG1963" s="35"/>
      <c r="AH1963" s="35"/>
      <c r="AI1963" s="35"/>
      <c r="AJ1963" s="35"/>
      <c r="AK1963" s="35"/>
      <c r="AL1963" s="35"/>
      <c r="AM1963" s="35"/>
      <c r="AN1963" s="35"/>
      <c r="AO1963" s="35"/>
      <c r="AP1963" s="35"/>
      <c r="AQ1963" s="35"/>
      <c r="AR1963" s="35"/>
      <c r="AS1963" s="35"/>
      <c r="AT1963" s="35"/>
      <c r="AU1963" s="35"/>
      <c r="AV1963" s="35"/>
      <c r="AW1963" s="35"/>
      <c r="AX1963" s="35"/>
      <c r="AY1963" s="35"/>
      <c r="AZ1963" s="35"/>
      <c r="BA1963" s="35"/>
      <c r="BB1963" s="35"/>
      <c r="BC1963" s="35"/>
      <c r="BD1963" s="35"/>
      <c r="BE1963" s="35"/>
      <c r="BF1963" s="35"/>
      <c r="BG1963" s="35"/>
    </row>
    <row r="1964" ht="15.75" customHeight="1">
      <c r="A1964" s="35"/>
      <c r="B1964" s="35"/>
      <c r="C1964" s="35"/>
      <c r="D1964" s="35"/>
      <c r="E1964" s="35"/>
      <c r="F1964" s="35"/>
      <c r="G1964" s="35"/>
      <c r="H1964" s="35"/>
      <c r="I1964" s="35"/>
      <c r="J1964" s="35"/>
      <c r="K1964" s="35"/>
      <c r="L1964" s="35"/>
      <c r="M1964" s="35"/>
      <c r="N1964" s="35"/>
      <c r="O1964" s="35"/>
      <c r="P1964" s="35"/>
      <c r="Q1964" s="35"/>
      <c r="R1964" s="35"/>
      <c r="S1964" s="35"/>
      <c r="T1964" s="35"/>
      <c r="U1964" s="35"/>
      <c r="V1964" s="35"/>
      <c r="W1964" s="35"/>
      <c r="X1964" s="35"/>
      <c r="Y1964" s="35"/>
      <c r="Z1964" s="35"/>
      <c r="AA1964" s="35"/>
      <c r="AB1964" s="35"/>
      <c r="AC1964" s="35"/>
      <c r="AD1964" s="35"/>
      <c r="AE1964" s="35"/>
      <c r="AF1964" s="35"/>
      <c r="AG1964" s="35"/>
      <c r="AH1964" s="35"/>
      <c r="AI1964" s="35"/>
      <c r="AJ1964" s="35"/>
      <c r="AK1964" s="35"/>
      <c r="AL1964" s="35"/>
      <c r="AM1964" s="35"/>
      <c r="AN1964" s="35"/>
      <c r="AO1964" s="35"/>
      <c r="AP1964" s="35"/>
      <c r="AQ1964" s="35"/>
      <c r="AR1964" s="35"/>
      <c r="AS1964" s="35"/>
      <c r="AT1964" s="35"/>
      <c r="AU1964" s="35"/>
      <c r="AV1964" s="35"/>
      <c r="AW1964" s="35"/>
      <c r="AX1964" s="35"/>
      <c r="AY1964" s="35"/>
      <c r="AZ1964" s="35"/>
      <c r="BA1964" s="35"/>
      <c r="BB1964" s="35"/>
      <c r="BC1964" s="35"/>
      <c r="BD1964" s="35"/>
      <c r="BE1964" s="35"/>
      <c r="BF1964" s="35"/>
      <c r="BG1964" s="35"/>
    </row>
    <row r="1965" ht="15.75" customHeight="1">
      <c r="A1965" s="35"/>
      <c r="B1965" s="35"/>
      <c r="C1965" s="35"/>
      <c r="D1965" s="35"/>
      <c r="E1965" s="35"/>
      <c r="F1965" s="35"/>
      <c r="G1965" s="35"/>
      <c r="H1965" s="35"/>
      <c r="I1965" s="35"/>
      <c r="J1965" s="35"/>
      <c r="K1965" s="35"/>
      <c r="L1965" s="35"/>
      <c r="M1965" s="35"/>
      <c r="N1965" s="35"/>
      <c r="O1965" s="35"/>
      <c r="P1965" s="35"/>
      <c r="Q1965" s="35"/>
      <c r="R1965" s="35"/>
      <c r="S1965" s="35"/>
      <c r="T1965" s="35"/>
      <c r="U1965" s="35"/>
      <c r="V1965" s="35"/>
      <c r="W1965" s="35"/>
      <c r="X1965" s="35"/>
      <c r="Y1965" s="35"/>
      <c r="Z1965" s="35"/>
      <c r="AA1965" s="35"/>
      <c r="AB1965" s="35"/>
      <c r="AC1965" s="35"/>
      <c r="AD1965" s="35"/>
      <c r="AE1965" s="35"/>
      <c r="AF1965" s="35"/>
      <c r="AG1965" s="35"/>
      <c r="AH1965" s="35"/>
      <c r="AI1965" s="35"/>
      <c r="AJ1965" s="35"/>
      <c r="AK1965" s="35"/>
      <c r="AL1965" s="35"/>
      <c r="AM1965" s="35"/>
      <c r="AN1965" s="35"/>
      <c r="AO1965" s="35"/>
      <c r="AP1965" s="35"/>
      <c r="AQ1965" s="35"/>
      <c r="AR1965" s="35"/>
      <c r="AS1965" s="35"/>
      <c r="AT1965" s="35"/>
      <c r="AU1965" s="35"/>
      <c r="AV1965" s="35"/>
      <c r="AW1965" s="35"/>
      <c r="AX1965" s="35"/>
      <c r="AY1965" s="35"/>
      <c r="AZ1965" s="35"/>
      <c r="BA1965" s="35"/>
      <c r="BB1965" s="35"/>
      <c r="BC1965" s="35"/>
      <c r="BD1965" s="35"/>
      <c r="BE1965" s="35"/>
      <c r="BF1965" s="35"/>
      <c r="BG1965" s="35"/>
    </row>
    <row r="1966" ht="15.75" customHeight="1">
      <c r="A1966" s="35"/>
      <c r="B1966" s="35"/>
      <c r="C1966" s="35"/>
      <c r="D1966" s="35"/>
      <c r="E1966" s="35"/>
      <c r="F1966" s="35"/>
      <c r="G1966" s="35"/>
      <c r="H1966" s="35"/>
      <c r="I1966" s="35"/>
      <c r="J1966" s="35"/>
      <c r="K1966" s="35"/>
      <c r="L1966" s="35"/>
      <c r="M1966" s="35"/>
      <c r="N1966" s="35"/>
      <c r="O1966" s="35"/>
      <c r="P1966" s="35"/>
      <c r="Q1966" s="35"/>
      <c r="R1966" s="35"/>
      <c r="S1966" s="35"/>
      <c r="T1966" s="35"/>
      <c r="U1966" s="35"/>
      <c r="V1966" s="35"/>
      <c r="W1966" s="35"/>
      <c r="X1966" s="35"/>
      <c r="Y1966" s="35"/>
      <c r="Z1966" s="35"/>
      <c r="AA1966" s="35"/>
      <c r="AB1966" s="35"/>
      <c r="AC1966" s="35"/>
      <c r="AD1966" s="35"/>
      <c r="AE1966" s="35"/>
      <c r="AF1966" s="35"/>
      <c r="AG1966" s="35"/>
      <c r="AH1966" s="35"/>
      <c r="AI1966" s="35"/>
      <c r="AJ1966" s="35"/>
      <c r="AK1966" s="35"/>
      <c r="AL1966" s="35"/>
      <c r="AM1966" s="35"/>
      <c r="AN1966" s="35"/>
      <c r="AO1966" s="35"/>
      <c r="AP1966" s="35"/>
      <c r="AQ1966" s="35"/>
      <c r="AR1966" s="35"/>
      <c r="AS1966" s="35"/>
      <c r="AT1966" s="35"/>
      <c r="AU1966" s="35"/>
      <c r="AV1966" s="35"/>
      <c r="AW1966" s="35"/>
      <c r="AX1966" s="35"/>
      <c r="AY1966" s="35"/>
      <c r="AZ1966" s="35"/>
      <c r="BA1966" s="35"/>
      <c r="BB1966" s="35"/>
      <c r="BC1966" s="35"/>
      <c r="BD1966" s="35"/>
      <c r="BE1966" s="35"/>
      <c r="BF1966" s="35"/>
      <c r="BG1966" s="35"/>
    </row>
    <row r="1967" ht="15.75" customHeight="1">
      <c r="A1967" s="35"/>
      <c r="B1967" s="35"/>
      <c r="C1967" s="35"/>
      <c r="D1967" s="35"/>
      <c r="E1967" s="35"/>
      <c r="F1967" s="35"/>
      <c r="G1967" s="35"/>
      <c r="H1967" s="35"/>
      <c r="I1967" s="35"/>
      <c r="J1967" s="35"/>
      <c r="K1967" s="35"/>
      <c r="L1967" s="35"/>
      <c r="M1967" s="35"/>
      <c r="N1967" s="35"/>
      <c r="O1967" s="35"/>
      <c r="P1967" s="35"/>
      <c r="Q1967" s="35"/>
      <c r="R1967" s="35"/>
      <c r="S1967" s="35"/>
      <c r="T1967" s="35"/>
      <c r="U1967" s="35"/>
      <c r="V1967" s="35"/>
      <c r="W1967" s="35"/>
      <c r="X1967" s="35"/>
      <c r="Y1967" s="35"/>
      <c r="Z1967" s="35"/>
      <c r="AA1967" s="35"/>
      <c r="AB1967" s="35"/>
      <c r="AC1967" s="35"/>
      <c r="AD1967" s="35"/>
      <c r="AE1967" s="35"/>
      <c r="AF1967" s="35"/>
      <c r="AG1967" s="35"/>
      <c r="AH1967" s="35"/>
      <c r="AI1967" s="35"/>
      <c r="AJ1967" s="35"/>
      <c r="AK1967" s="35"/>
      <c r="AL1967" s="35"/>
      <c r="AM1967" s="35"/>
      <c r="AN1967" s="35"/>
      <c r="AO1967" s="35"/>
      <c r="AP1967" s="35"/>
      <c r="AQ1967" s="35"/>
      <c r="AR1967" s="35"/>
      <c r="AS1967" s="35"/>
      <c r="AT1967" s="35"/>
      <c r="AU1967" s="35"/>
      <c r="AV1967" s="35"/>
      <c r="AW1967" s="35"/>
      <c r="AX1967" s="35"/>
      <c r="AY1967" s="35"/>
      <c r="AZ1967" s="35"/>
      <c r="BA1967" s="35"/>
      <c r="BB1967" s="35"/>
      <c r="BC1967" s="35"/>
      <c r="BD1967" s="35"/>
      <c r="BE1967" s="35"/>
      <c r="BF1967" s="35"/>
      <c r="BG1967" s="35"/>
    </row>
    <row r="1968" ht="15.75" customHeight="1">
      <c r="A1968" s="35"/>
      <c r="B1968" s="35"/>
      <c r="C1968" s="35"/>
      <c r="D1968" s="35"/>
      <c r="E1968" s="35"/>
      <c r="F1968" s="35"/>
      <c r="G1968" s="35"/>
      <c r="H1968" s="35"/>
      <c r="I1968" s="35"/>
      <c r="J1968" s="35"/>
      <c r="K1968" s="35"/>
      <c r="L1968" s="35"/>
      <c r="M1968" s="35"/>
      <c r="N1968" s="35"/>
      <c r="O1968" s="35"/>
      <c r="P1968" s="35"/>
      <c r="Q1968" s="35"/>
      <c r="R1968" s="35"/>
      <c r="S1968" s="35"/>
      <c r="T1968" s="35"/>
      <c r="U1968" s="35"/>
      <c r="V1968" s="35"/>
      <c r="W1968" s="35"/>
      <c r="X1968" s="35"/>
      <c r="Y1968" s="35"/>
      <c r="Z1968" s="35"/>
      <c r="AA1968" s="35"/>
      <c r="AB1968" s="35"/>
      <c r="AC1968" s="35"/>
      <c r="AD1968" s="35"/>
      <c r="AE1968" s="35"/>
      <c r="AF1968" s="35"/>
      <c r="AG1968" s="35"/>
      <c r="AH1968" s="35"/>
      <c r="AI1968" s="35"/>
      <c r="AJ1968" s="35"/>
      <c r="AK1968" s="35"/>
      <c r="AL1968" s="35"/>
      <c r="AM1968" s="35"/>
      <c r="AN1968" s="35"/>
      <c r="AO1968" s="35"/>
      <c r="AP1968" s="35"/>
      <c r="AQ1968" s="35"/>
      <c r="AR1968" s="35"/>
      <c r="AS1968" s="35"/>
      <c r="AT1968" s="35"/>
      <c r="AU1968" s="35"/>
      <c r="AV1968" s="35"/>
      <c r="AW1968" s="35"/>
      <c r="AX1968" s="35"/>
      <c r="AY1968" s="35"/>
      <c r="AZ1968" s="35"/>
      <c r="BA1968" s="35"/>
      <c r="BB1968" s="35"/>
      <c r="BC1968" s="35"/>
      <c r="BD1968" s="35"/>
      <c r="BE1968" s="35"/>
      <c r="BF1968" s="35"/>
      <c r="BG1968" s="35"/>
    </row>
    <row r="1969" ht="15.75" customHeight="1">
      <c r="A1969" s="35"/>
      <c r="B1969" s="35"/>
      <c r="C1969" s="35"/>
      <c r="D1969" s="35"/>
      <c r="E1969" s="35"/>
      <c r="F1969" s="35"/>
      <c r="G1969" s="35"/>
      <c r="H1969" s="35"/>
      <c r="I1969" s="35"/>
      <c r="J1969" s="35"/>
      <c r="K1969" s="35"/>
      <c r="L1969" s="35"/>
      <c r="M1969" s="35"/>
      <c r="N1969" s="35"/>
      <c r="O1969" s="35"/>
      <c r="P1969" s="35"/>
      <c r="Q1969" s="35"/>
      <c r="R1969" s="35"/>
      <c r="S1969" s="35"/>
      <c r="T1969" s="35"/>
      <c r="U1969" s="35"/>
      <c r="V1969" s="35"/>
      <c r="W1969" s="35"/>
      <c r="X1969" s="35"/>
      <c r="Y1969" s="35"/>
      <c r="Z1969" s="35"/>
      <c r="AA1969" s="35"/>
      <c r="AB1969" s="35"/>
      <c r="AC1969" s="35"/>
      <c r="AD1969" s="35"/>
      <c r="AE1969" s="35"/>
      <c r="AF1969" s="35"/>
      <c r="AG1969" s="35"/>
      <c r="AH1969" s="35"/>
      <c r="AI1969" s="35"/>
      <c r="AJ1969" s="35"/>
      <c r="AK1969" s="35"/>
      <c r="AL1969" s="35"/>
      <c r="AM1969" s="35"/>
      <c r="AN1969" s="35"/>
      <c r="AO1969" s="35"/>
      <c r="AP1969" s="35"/>
      <c r="AQ1969" s="35"/>
      <c r="AR1969" s="35"/>
      <c r="AS1969" s="35"/>
      <c r="AT1969" s="35"/>
      <c r="AU1969" s="35"/>
      <c r="AV1969" s="35"/>
      <c r="AW1969" s="35"/>
      <c r="AX1969" s="35"/>
      <c r="AY1969" s="35"/>
      <c r="AZ1969" s="35"/>
      <c r="BA1969" s="35"/>
      <c r="BB1969" s="35"/>
      <c r="BC1969" s="35"/>
      <c r="BD1969" s="35"/>
      <c r="BE1969" s="35"/>
      <c r="BF1969" s="35"/>
      <c r="BG1969" s="35"/>
    </row>
    <row r="1970" ht="15.75" customHeight="1">
      <c r="A1970" s="35"/>
      <c r="B1970" s="35"/>
      <c r="C1970" s="35"/>
      <c r="D1970" s="35"/>
      <c r="E1970" s="35"/>
      <c r="F1970" s="35"/>
      <c r="G1970" s="35"/>
      <c r="H1970" s="35"/>
      <c r="I1970" s="35"/>
      <c r="J1970" s="35"/>
      <c r="K1970" s="35"/>
      <c r="L1970" s="35"/>
      <c r="M1970" s="35"/>
      <c r="N1970" s="35"/>
      <c r="O1970" s="35"/>
      <c r="P1970" s="35"/>
      <c r="Q1970" s="35"/>
      <c r="R1970" s="35"/>
      <c r="S1970" s="35"/>
      <c r="T1970" s="35"/>
      <c r="U1970" s="35"/>
      <c r="V1970" s="35"/>
      <c r="W1970" s="35"/>
      <c r="X1970" s="35"/>
      <c r="Y1970" s="35"/>
      <c r="Z1970" s="35"/>
      <c r="AA1970" s="35"/>
      <c r="AB1970" s="35"/>
      <c r="AC1970" s="35"/>
      <c r="AD1970" s="35"/>
      <c r="AE1970" s="35"/>
      <c r="AF1970" s="35"/>
      <c r="AG1970" s="35"/>
      <c r="AH1970" s="35"/>
      <c r="AI1970" s="35"/>
      <c r="AJ1970" s="35"/>
      <c r="AK1970" s="35"/>
      <c r="AL1970" s="35"/>
      <c r="AM1970" s="35"/>
      <c r="AN1970" s="35"/>
      <c r="AO1970" s="35"/>
      <c r="AP1970" s="35"/>
      <c r="AQ1970" s="35"/>
      <c r="AR1970" s="35"/>
      <c r="AS1970" s="35"/>
      <c r="AT1970" s="35"/>
      <c r="AU1970" s="35"/>
      <c r="AV1970" s="35"/>
      <c r="AW1970" s="35"/>
      <c r="AX1970" s="35"/>
      <c r="AY1970" s="35"/>
      <c r="AZ1970" s="35"/>
      <c r="BA1970" s="35"/>
      <c r="BB1970" s="35"/>
      <c r="BC1970" s="35"/>
      <c r="BD1970" s="35"/>
      <c r="BE1970" s="35"/>
      <c r="BF1970" s="35"/>
      <c r="BG1970" s="35"/>
    </row>
    <row r="1971" ht="15.75" customHeight="1">
      <c r="A1971" s="35"/>
      <c r="B1971" s="35"/>
      <c r="C1971" s="35"/>
      <c r="D1971" s="35"/>
      <c r="E1971" s="35"/>
      <c r="F1971" s="35"/>
      <c r="G1971" s="35"/>
      <c r="H1971" s="35"/>
      <c r="I1971" s="35"/>
      <c r="J1971" s="35"/>
      <c r="K1971" s="35"/>
      <c r="L1971" s="35"/>
      <c r="M1971" s="35"/>
      <c r="N1971" s="35"/>
      <c r="O1971" s="35"/>
      <c r="P1971" s="35"/>
      <c r="Q1971" s="35"/>
      <c r="R1971" s="35"/>
      <c r="S1971" s="35"/>
      <c r="T1971" s="35"/>
      <c r="U1971" s="35"/>
      <c r="V1971" s="35"/>
      <c r="W1971" s="35"/>
      <c r="X1971" s="35"/>
      <c r="Y1971" s="35"/>
      <c r="Z1971" s="35"/>
      <c r="AA1971" s="35"/>
      <c r="AB1971" s="35"/>
      <c r="AC1971" s="35"/>
      <c r="AD1971" s="35"/>
      <c r="AE1971" s="35"/>
      <c r="AF1971" s="35"/>
      <c r="AG1971" s="35"/>
      <c r="AH1971" s="35"/>
      <c r="AI1971" s="35"/>
      <c r="AJ1971" s="35"/>
      <c r="AK1971" s="35"/>
      <c r="AL1971" s="35"/>
      <c r="AM1971" s="35"/>
      <c r="AN1971" s="35"/>
      <c r="AO1971" s="35"/>
      <c r="AP1971" s="35"/>
      <c r="AQ1971" s="35"/>
      <c r="AR1971" s="35"/>
      <c r="AS1971" s="35"/>
      <c r="AT1971" s="35"/>
      <c r="AU1971" s="35"/>
      <c r="AV1971" s="35"/>
      <c r="AW1971" s="35"/>
      <c r="AX1971" s="35"/>
      <c r="AY1971" s="35"/>
      <c r="AZ1971" s="35"/>
      <c r="BA1971" s="35"/>
      <c r="BB1971" s="35"/>
      <c r="BC1971" s="35"/>
      <c r="BD1971" s="35"/>
      <c r="BE1971" s="35"/>
      <c r="BF1971" s="35"/>
      <c r="BG1971" s="35"/>
    </row>
    <row r="1972" ht="15.75" customHeight="1">
      <c r="A1972" s="35"/>
      <c r="B1972" s="35"/>
      <c r="C1972" s="35"/>
      <c r="D1972" s="35"/>
      <c r="E1972" s="35"/>
      <c r="F1972" s="35"/>
      <c r="G1972" s="35"/>
      <c r="H1972" s="35"/>
      <c r="I1972" s="35"/>
      <c r="J1972" s="35"/>
      <c r="K1972" s="35"/>
      <c r="L1972" s="35"/>
      <c r="M1972" s="35"/>
      <c r="N1972" s="35"/>
      <c r="O1972" s="35"/>
      <c r="P1972" s="35"/>
      <c r="Q1972" s="35"/>
      <c r="R1972" s="35"/>
      <c r="S1972" s="35"/>
      <c r="T1972" s="35"/>
      <c r="U1972" s="35"/>
      <c r="V1972" s="35"/>
      <c r="W1972" s="35"/>
      <c r="X1972" s="35"/>
      <c r="Y1972" s="35"/>
      <c r="Z1972" s="35"/>
      <c r="AA1972" s="35"/>
      <c r="AB1972" s="35"/>
      <c r="AC1972" s="35"/>
      <c r="AD1972" s="35"/>
      <c r="AE1972" s="35"/>
      <c r="AF1972" s="35"/>
      <c r="AG1972" s="35"/>
      <c r="AH1972" s="35"/>
      <c r="AI1972" s="35"/>
      <c r="AJ1972" s="35"/>
      <c r="AK1972" s="35"/>
      <c r="AL1972" s="35"/>
      <c r="AM1972" s="35"/>
      <c r="AN1972" s="35"/>
      <c r="AO1972" s="35"/>
      <c r="AP1972" s="35"/>
      <c r="AQ1972" s="35"/>
      <c r="AR1972" s="35"/>
      <c r="AS1972" s="35"/>
      <c r="AT1972" s="35"/>
      <c r="AU1972" s="35"/>
      <c r="AV1972" s="35"/>
      <c r="AW1972" s="35"/>
      <c r="AX1972" s="35"/>
      <c r="AY1972" s="35"/>
      <c r="AZ1972" s="35"/>
      <c r="BA1972" s="35"/>
      <c r="BB1972" s="35"/>
      <c r="BC1972" s="35"/>
      <c r="BD1972" s="35"/>
      <c r="BE1972" s="35"/>
      <c r="BF1972" s="35"/>
      <c r="BG1972" s="35"/>
    </row>
    <row r="1973" ht="15.75" customHeight="1">
      <c r="A1973" s="35"/>
      <c r="B1973" s="35"/>
      <c r="C1973" s="35"/>
      <c r="D1973" s="35"/>
      <c r="E1973" s="35"/>
      <c r="F1973" s="35"/>
      <c r="G1973" s="35"/>
      <c r="H1973" s="35"/>
      <c r="I1973" s="35"/>
      <c r="J1973" s="35"/>
      <c r="K1973" s="35"/>
      <c r="L1973" s="35"/>
      <c r="M1973" s="35"/>
      <c r="N1973" s="35"/>
      <c r="O1973" s="35"/>
      <c r="P1973" s="35"/>
      <c r="Q1973" s="35"/>
      <c r="R1973" s="35"/>
      <c r="S1973" s="35"/>
      <c r="T1973" s="35"/>
      <c r="U1973" s="35"/>
      <c r="V1973" s="35"/>
      <c r="W1973" s="35"/>
      <c r="X1973" s="35"/>
      <c r="Y1973" s="35"/>
      <c r="Z1973" s="35"/>
      <c r="AA1973" s="35"/>
      <c r="AB1973" s="35"/>
      <c r="AC1973" s="35"/>
      <c r="AD1973" s="35"/>
      <c r="AE1973" s="35"/>
      <c r="AF1973" s="35"/>
      <c r="AG1973" s="35"/>
      <c r="AH1973" s="35"/>
      <c r="AI1973" s="35"/>
      <c r="AJ1973" s="35"/>
      <c r="AK1973" s="35"/>
      <c r="AL1973" s="35"/>
      <c r="AM1973" s="35"/>
      <c r="AN1973" s="35"/>
      <c r="AO1973" s="35"/>
      <c r="AP1973" s="35"/>
      <c r="AQ1973" s="35"/>
      <c r="AR1973" s="35"/>
      <c r="AS1973" s="35"/>
      <c r="AT1973" s="35"/>
      <c r="AU1973" s="35"/>
      <c r="AV1973" s="35"/>
      <c r="AW1973" s="35"/>
      <c r="AX1973" s="35"/>
      <c r="AY1973" s="35"/>
      <c r="AZ1973" s="35"/>
      <c r="BA1973" s="35"/>
      <c r="BB1973" s="35"/>
      <c r="BC1973" s="35"/>
      <c r="BD1973" s="35"/>
      <c r="BE1973" s="35"/>
      <c r="BF1973" s="35"/>
      <c r="BG1973" s="35"/>
    </row>
    <row r="1974" ht="15.75" customHeight="1">
      <c r="A1974" s="35"/>
      <c r="B1974" s="35"/>
      <c r="C1974" s="35"/>
      <c r="D1974" s="35"/>
      <c r="E1974" s="35"/>
      <c r="F1974" s="35"/>
      <c r="G1974" s="35"/>
      <c r="H1974" s="35"/>
      <c r="I1974" s="35"/>
      <c r="J1974" s="35"/>
      <c r="K1974" s="35"/>
      <c r="L1974" s="35"/>
      <c r="M1974" s="35"/>
      <c r="N1974" s="35"/>
      <c r="O1974" s="35"/>
      <c r="P1974" s="35"/>
      <c r="Q1974" s="35"/>
      <c r="R1974" s="35"/>
      <c r="S1974" s="35"/>
      <c r="T1974" s="35"/>
      <c r="U1974" s="35"/>
      <c r="V1974" s="35"/>
      <c r="W1974" s="35"/>
      <c r="X1974" s="35"/>
      <c r="Y1974" s="35"/>
      <c r="Z1974" s="35"/>
      <c r="AA1974" s="35"/>
      <c r="AB1974" s="35"/>
      <c r="AC1974" s="35"/>
      <c r="AD1974" s="35"/>
      <c r="AE1974" s="35"/>
      <c r="AF1974" s="35"/>
      <c r="AG1974" s="35"/>
      <c r="AH1974" s="35"/>
      <c r="AI1974" s="35"/>
      <c r="AJ1974" s="35"/>
      <c r="AK1974" s="35"/>
      <c r="AL1974" s="35"/>
      <c r="AM1974" s="35"/>
      <c r="AN1974" s="35"/>
      <c r="AO1974" s="35"/>
      <c r="AP1974" s="35"/>
      <c r="AQ1974" s="35"/>
      <c r="AR1974" s="35"/>
      <c r="AS1974" s="35"/>
      <c r="AT1974" s="35"/>
      <c r="AU1974" s="35"/>
      <c r="AV1974" s="35"/>
      <c r="AW1974" s="35"/>
      <c r="AX1974" s="35"/>
      <c r="AY1974" s="35"/>
      <c r="AZ1974" s="35"/>
      <c r="BA1974" s="35"/>
      <c r="BB1974" s="35"/>
      <c r="BC1974" s="35"/>
      <c r="BD1974" s="35"/>
      <c r="BE1974" s="35"/>
      <c r="BF1974" s="35"/>
      <c r="BG1974" s="35"/>
    </row>
    <row r="1975" ht="15.75" customHeight="1">
      <c r="A1975" s="35"/>
      <c r="B1975" s="35"/>
      <c r="C1975" s="35"/>
      <c r="D1975" s="35"/>
      <c r="E1975" s="35"/>
      <c r="F1975" s="35"/>
      <c r="G1975" s="35"/>
      <c r="H1975" s="35"/>
      <c r="I1975" s="35"/>
      <c r="J1975" s="35"/>
      <c r="K1975" s="35"/>
      <c r="L1975" s="35"/>
      <c r="M1975" s="35"/>
      <c r="N1975" s="35"/>
      <c r="O1975" s="35"/>
      <c r="P1975" s="35"/>
      <c r="Q1975" s="35"/>
      <c r="R1975" s="35"/>
      <c r="S1975" s="35"/>
      <c r="T1975" s="35"/>
      <c r="U1975" s="35"/>
      <c r="V1975" s="35"/>
      <c r="W1975" s="35"/>
      <c r="X1975" s="35"/>
      <c r="Y1975" s="35"/>
      <c r="Z1975" s="35"/>
      <c r="AA1975" s="35"/>
      <c r="AB1975" s="35"/>
      <c r="AC1975" s="35"/>
      <c r="AD1975" s="35"/>
      <c r="AE1975" s="35"/>
      <c r="AF1975" s="35"/>
      <c r="AG1975" s="35"/>
      <c r="AH1975" s="35"/>
      <c r="AI1975" s="35"/>
      <c r="AJ1975" s="35"/>
      <c r="AK1975" s="35"/>
      <c r="AL1975" s="35"/>
      <c r="AM1975" s="35"/>
      <c r="AN1975" s="35"/>
      <c r="AO1975" s="35"/>
      <c r="AP1975" s="35"/>
      <c r="AQ1975" s="35"/>
      <c r="AR1975" s="35"/>
      <c r="AS1975" s="35"/>
      <c r="AT1975" s="35"/>
      <c r="AU1975" s="35"/>
      <c r="AV1975" s="35"/>
      <c r="AW1975" s="35"/>
      <c r="AX1975" s="35"/>
      <c r="AY1975" s="35"/>
      <c r="AZ1975" s="35"/>
      <c r="BA1975" s="35"/>
      <c r="BB1975" s="35"/>
      <c r="BC1975" s="35"/>
      <c r="BD1975" s="35"/>
      <c r="BE1975" s="35"/>
      <c r="BF1975" s="35"/>
      <c r="BG1975" s="35"/>
    </row>
    <row r="1976" ht="15.75" customHeight="1">
      <c r="A1976" s="35"/>
      <c r="B1976" s="35"/>
      <c r="C1976" s="35"/>
      <c r="D1976" s="35"/>
      <c r="E1976" s="35"/>
      <c r="F1976" s="35"/>
      <c r="G1976" s="35"/>
      <c r="H1976" s="35"/>
      <c r="I1976" s="35"/>
      <c r="J1976" s="35"/>
      <c r="K1976" s="35"/>
      <c r="L1976" s="35"/>
      <c r="M1976" s="35"/>
      <c r="N1976" s="35"/>
      <c r="O1976" s="35"/>
      <c r="P1976" s="35"/>
      <c r="Q1976" s="35"/>
      <c r="R1976" s="35"/>
      <c r="S1976" s="35"/>
      <c r="T1976" s="35"/>
      <c r="U1976" s="35"/>
      <c r="V1976" s="35"/>
      <c r="W1976" s="35"/>
      <c r="X1976" s="35"/>
      <c r="Y1976" s="35"/>
      <c r="Z1976" s="35"/>
      <c r="AA1976" s="35"/>
      <c r="AB1976" s="35"/>
      <c r="AC1976" s="35"/>
      <c r="AD1976" s="35"/>
      <c r="AE1976" s="35"/>
      <c r="AF1976" s="35"/>
      <c r="AG1976" s="35"/>
      <c r="AH1976" s="35"/>
      <c r="AI1976" s="35"/>
      <c r="AJ1976" s="35"/>
      <c r="AK1976" s="35"/>
      <c r="AL1976" s="35"/>
      <c r="AM1976" s="35"/>
      <c r="AN1976" s="35"/>
      <c r="AO1976" s="35"/>
      <c r="AP1976" s="35"/>
      <c r="AQ1976" s="35"/>
      <c r="AR1976" s="35"/>
      <c r="AS1976" s="35"/>
      <c r="AT1976" s="35"/>
      <c r="AU1976" s="35"/>
      <c r="AV1976" s="35"/>
      <c r="AW1976" s="35"/>
      <c r="AX1976" s="35"/>
      <c r="AY1976" s="35"/>
      <c r="AZ1976" s="35"/>
      <c r="BA1976" s="35"/>
      <c r="BB1976" s="35"/>
      <c r="BC1976" s="35"/>
      <c r="BD1976" s="35"/>
      <c r="BE1976" s="35"/>
      <c r="BF1976" s="35"/>
      <c r="BG1976" s="35"/>
    </row>
    <row r="1977" ht="15.75" customHeight="1">
      <c r="A1977" s="35"/>
      <c r="B1977" s="35"/>
      <c r="C1977" s="35"/>
      <c r="D1977" s="35"/>
      <c r="E1977" s="35"/>
      <c r="F1977" s="35"/>
      <c r="G1977" s="35"/>
      <c r="H1977" s="35"/>
      <c r="I1977" s="35"/>
      <c r="J1977" s="35"/>
      <c r="K1977" s="35"/>
      <c r="L1977" s="35"/>
      <c r="M1977" s="35"/>
      <c r="N1977" s="35"/>
      <c r="O1977" s="35"/>
      <c r="P1977" s="35"/>
      <c r="Q1977" s="35"/>
      <c r="R1977" s="35"/>
      <c r="S1977" s="35"/>
      <c r="T1977" s="35"/>
      <c r="U1977" s="35"/>
      <c r="V1977" s="35"/>
      <c r="W1977" s="35"/>
      <c r="X1977" s="35"/>
      <c r="Y1977" s="35"/>
      <c r="Z1977" s="35"/>
      <c r="AA1977" s="35"/>
      <c r="AB1977" s="35"/>
      <c r="AC1977" s="35"/>
      <c r="AD1977" s="35"/>
      <c r="AE1977" s="35"/>
      <c r="AF1977" s="35"/>
      <c r="AG1977" s="35"/>
      <c r="AH1977" s="35"/>
      <c r="AI1977" s="35"/>
      <c r="AJ1977" s="35"/>
      <c r="AK1977" s="35"/>
      <c r="AL1977" s="35"/>
      <c r="AM1977" s="35"/>
      <c r="AN1977" s="35"/>
      <c r="AO1977" s="35"/>
      <c r="AP1977" s="35"/>
      <c r="AQ1977" s="35"/>
      <c r="AR1977" s="35"/>
      <c r="AS1977" s="35"/>
      <c r="AT1977" s="35"/>
      <c r="AU1977" s="35"/>
      <c r="AV1977" s="35"/>
      <c r="AW1977" s="35"/>
      <c r="AX1977" s="35"/>
      <c r="AY1977" s="35"/>
      <c r="AZ1977" s="35"/>
      <c r="BA1977" s="35"/>
      <c r="BB1977" s="35"/>
      <c r="BC1977" s="35"/>
      <c r="BD1977" s="35"/>
      <c r="BE1977" s="35"/>
      <c r="BF1977" s="35"/>
      <c r="BG1977" s="35"/>
    </row>
    <row r="1978" ht="15.75" customHeight="1">
      <c r="A1978" s="35"/>
      <c r="B1978" s="35"/>
      <c r="C1978" s="35"/>
      <c r="D1978" s="35"/>
      <c r="E1978" s="35"/>
      <c r="F1978" s="35"/>
      <c r="G1978" s="35"/>
      <c r="H1978" s="35"/>
      <c r="I1978" s="35"/>
      <c r="J1978" s="35"/>
      <c r="K1978" s="35"/>
      <c r="L1978" s="35"/>
      <c r="M1978" s="35"/>
      <c r="N1978" s="35"/>
      <c r="O1978" s="35"/>
      <c r="P1978" s="35"/>
      <c r="Q1978" s="35"/>
      <c r="R1978" s="35"/>
      <c r="S1978" s="35"/>
      <c r="T1978" s="35"/>
      <c r="U1978" s="35"/>
      <c r="V1978" s="35"/>
      <c r="W1978" s="35"/>
      <c r="X1978" s="35"/>
      <c r="Y1978" s="35"/>
      <c r="Z1978" s="35"/>
      <c r="AA1978" s="35"/>
      <c r="AB1978" s="35"/>
      <c r="AC1978" s="35"/>
      <c r="AD1978" s="35"/>
      <c r="AE1978" s="35"/>
      <c r="AF1978" s="35"/>
      <c r="AG1978" s="35"/>
      <c r="AH1978" s="35"/>
      <c r="AI1978" s="35"/>
      <c r="AJ1978" s="35"/>
      <c r="AK1978" s="35"/>
      <c r="AL1978" s="35"/>
      <c r="AM1978" s="35"/>
      <c r="AN1978" s="35"/>
      <c r="AO1978" s="35"/>
      <c r="AP1978" s="35"/>
      <c r="AQ1978" s="35"/>
      <c r="AR1978" s="35"/>
      <c r="AS1978" s="35"/>
      <c r="AT1978" s="35"/>
      <c r="AU1978" s="35"/>
      <c r="AV1978" s="35"/>
      <c r="AW1978" s="35"/>
      <c r="AX1978" s="35"/>
      <c r="AY1978" s="35"/>
      <c r="AZ1978" s="35"/>
      <c r="BA1978" s="35"/>
      <c r="BB1978" s="35"/>
      <c r="BC1978" s="35"/>
      <c r="BD1978" s="35"/>
      <c r="BE1978" s="35"/>
      <c r="BF1978" s="35"/>
      <c r="BG1978" s="35"/>
    </row>
    <row r="1979" ht="15.75" customHeight="1">
      <c r="A1979" s="35"/>
      <c r="B1979" s="35"/>
      <c r="C1979" s="35"/>
      <c r="D1979" s="35"/>
      <c r="E1979" s="35"/>
      <c r="F1979" s="35"/>
      <c r="G1979" s="35"/>
      <c r="H1979" s="35"/>
      <c r="I1979" s="35"/>
      <c r="J1979" s="35"/>
      <c r="K1979" s="35"/>
      <c r="L1979" s="35"/>
      <c r="M1979" s="35"/>
      <c r="N1979" s="35"/>
      <c r="O1979" s="35"/>
      <c r="P1979" s="35"/>
      <c r="Q1979" s="35"/>
      <c r="R1979" s="35"/>
      <c r="S1979" s="35"/>
      <c r="T1979" s="35"/>
      <c r="U1979" s="35"/>
      <c r="V1979" s="35"/>
      <c r="W1979" s="35"/>
      <c r="X1979" s="35"/>
      <c r="Y1979" s="35"/>
      <c r="Z1979" s="35"/>
      <c r="AA1979" s="35"/>
      <c r="AB1979" s="35"/>
      <c r="AC1979" s="35"/>
      <c r="AD1979" s="35"/>
      <c r="AE1979" s="35"/>
      <c r="AF1979" s="35"/>
      <c r="AG1979" s="35"/>
      <c r="AH1979" s="35"/>
      <c r="AI1979" s="35"/>
      <c r="AJ1979" s="35"/>
      <c r="AK1979" s="35"/>
      <c r="AL1979" s="35"/>
      <c r="AM1979" s="35"/>
      <c r="AN1979" s="35"/>
      <c r="AO1979" s="35"/>
      <c r="AP1979" s="35"/>
      <c r="AQ1979" s="35"/>
      <c r="AR1979" s="35"/>
      <c r="AS1979" s="35"/>
      <c r="AT1979" s="35"/>
      <c r="AU1979" s="35"/>
      <c r="AV1979" s="35"/>
      <c r="AW1979" s="35"/>
      <c r="AX1979" s="35"/>
      <c r="AY1979" s="35"/>
      <c r="AZ1979" s="35"/>
      <c r="BA1979" s="35"/>
      <c r="BB1979" s="35"/>
      <c r="BC1979" s="35"/>
      <c r="BD1979" s="35"/>
      <c r="BE1979" s="35"/>
      <c r="BF1979" s="35"/>
      <c r="BG1979" s="35"/>
    </row>
    <row r="1980" ht="15.75" customHeight="1">
      <c r="A1980" s="35"/>
      <c r="B1980" s="35"/>
      <c r="C1980" s="35"/>
      <c r="D1980" s="35"/>
      <c r="E1980" s="35"/>
      <c r="F1980" s="35"/>
      <c r="G1980" s="35"/>
      <c r="H1980" s="35"/>
      <c r="I1980" s="35"/>
      <c r="J1980" s="35"/>
      <c r="K1980" s="35"/>
      <c r="L1980" s="35"/>
      <c r="M1980" s="35"/>
      <c r="N1980" s="35"/>
      <c r="O1980" s="35"/>
      <c r="P1980" s="35"/>
      <c r="Q1980" s="35"/>
      <c r="R1980" s="35"/>
      <c r="S1980" s="35"/>
      <c r="T1980" s="35"/>
      <c r="U1980" s="35"/>
      <c r="V1980" s="35"/>
      <c r="W1980" s="35"/>
      <c r="X1980" s="35"/>
      <c r="Y1980" s="35"/>
      <c r="Z1980" s="35"/>
      <c r="AA1980" s="35"/>
      <c r="AB1980" s="35"/>
      <c r="AC1980" s="35"/>
      <c r="AD1980" s="35"/>
      <c r="AE1980" s="35"/>
      <c r="AF1980" s="35"/>
      <c r="AG1980" s="35"/>
      <c r="AH1980" s="35"/>
      <c r="AI1980" s="35"/>
      <c r="AJ1980" s="35"/>
      <c r="AK1980" s="35"/>
      <c r="AL1980" s="35"/>
      <c r="AM1980" s="35"/>
      <c r="AN1980" s="35"/>
      <c r="AO1980" s="35"/>
      <c r="AP1980" s="35"/>
      <c r="AQ1980" s="35"/>
      <c r="AR1980" s="35"/>
      <c r="AS1980" s="35"/>
      <c r="AT1980" s="35"/>
      <c r="AU1980" s="35"/>
      <c r="AV1980" s="35"/>
      <c r="AW1980" s="35"/>
      <c r="AX1980" s="35"/>
      <c r="AY1980" s="35"/>
      <c r="AZ1980" s="35"/>
      <c r="BA1980" s="35"/>
      <c r="BB1980" s="35"/>
      <c r="BC1980" s="35"/>
      <c r="BD1980" s="35"/>
      <c r="BE1980" s="35"/>
      <c r="BF1980" s="35"/>
      <c r="BG1980" s="35"/>
    </row>
    <row r="1981" ht="15.75" customHeight="1">
      <c r="A1981" s="35"/>
      <c r="B1981" s="35"/>
      <c r="C1981" s="35"/>
      <c r="D1981" s="35"/>
      <c r="E1981" s="35"/>
      <c r="F1981" s="35"/>
      <c r="G1981" s="35"/>
      <c r="H1981" s="35"/>
      <c r="I1981" s="35"/>
      <c r="J1981" s="35"/>
      <c r="K1981" s="35"/>
      <c r="L1981" s="35"/>
      <c r="M1981" s="35"/>
      <c r="N1981" s="35"/>
      <c r="O1981" s="35"/>
      <c r="P1981" s="35"/>
      <c r="Q1981" s="35"/>
      <c r="R1981" s="35"/>
      <c r="S1981" s="35"/>
      <c r="T1981" s="35"/>
      <c r="U1981" s="35"/>
      <c r="V1981" s="35"/>
      <c r="W1981" s="35"/>
      <c r="X1981" s="35"/>
      <c r="Y1981" s="35"/>
      <c r="Z1981" s="35"/>
      <c r="AA1981" s="35"/>
      <c r="AB1981" s="35"/>
      <c r="AC1981" s="35"/>
      <c r="AD1981" s="35"/>
      <c r="AE1981" s="35"/>
      <c r="AF1981" s="35"/>
      <c r="AG1981" s="35"/>
      <c r="AH1981" s="35"/>
      <c r="AI1981" s="35"/>
      <c r="AJ1981" s="35"/>
      <c r="AK1981" s="35"/>
      <c r="AL1981" s="35"/>
      <c r="AM1981" s="35"/>
      <c r="AN1981" s="35"/>
      <c r="AO1981" s="35"/>
      <c r="AP1981" s="35"/>
      <c r="AQ1981" s="35"/>
      <c r="AR1981" s="35"/>
      <c r="AS1981" s="35"/>
      <c r="AT1981" s="35"/>
      <c r="AU1981" s="35"/>
      <c r="AV1981" s="35"/>
      <c r="AW1981" s="35"/>
      <c r="AX1981" s="35"/>
      <c r="AY1981" s="35"/>
      <c r="AZ1981" s="35"/>
      <c r="BA1981" s="35"/>
      <c r="BB1981" s="35"/>
      <c r="BC1981" s="35"/>
      <c r="BD1981" s="35"/>
      <c r="BE1981" s="35"/>
      <c r="BF1981" s="35"/>
      <c r="BG1981" s="35"/>
    </row>
    <row r="1982" ht="15.75" customHeight="1">
      <c r="A1982" s="35"/>
      <c r="B1982" s="35"/>
      <c r="C1982" s="35"/>
      <c r="D1982" s="35"/>
      <c r="E1982" s="35"/>
      <c r="F1982" s="35"/>
      <c r="G1982" s="35"/>
      <c r="H1982" s="35"/>
      <c r="I1982" s="35"/>
      <c r="J1982" s="35"/>
      <c r="K1982" s="35"/>
      <c r="L1982" s="35"/>
      <c r="M1982" s="35"/>
      <c r="N1982" s="35"/>
      <c r="O1982" s="35"/>
      <c r="P1982" s="35"/>
      <c r="Q1982" s="35"/>
      <c r="R1982" s="35"/>
      <c r="S1982" s="35"/>
      <c r="T1982" s="35"/>
      <c r="U1982" s="35"/>
      <c r="V1982" s="35"/>
      <c r="W1982" s="35"/>
      <c r="X1982" s="35"/>
      <c r="Y1982" s="35"/>
      <c r="Z1982" s="35"/>
      <c r="AA1982" s="35"/>
      <c r="AB1982" s="35"/>
      <c r="AC1982" s="35"/>
      <c r="AD1982" s="35"/>
      <c r="AE1982" s="35"/>
      <c r="AF1982" s="35"/>
      <c r="AG1982" s="35"/>
      <c r="AH1982" s="35"/>
      <c r="AI1982" s="35"/>
      <c r="AJ1982" s="35"/>
      <c r="AK1982" s="35"/>
      <c r="AL1982" s="35"/>
      <c r="AM1982" s="35"/>
      <c r="AN1982" s="35"/>
      <c r="AO1982" s="35"/>
      <c r="AP1982" s="35"/>
      <c r="AQ1982" s="35"/>
      <c r="AR1982" s="35"/>
      <c r="AS1982" s="35"/>
      <c r="AT1982" s="35"/>
      <c r="AU1982" s="35"/>
      <c r="AV1982" s="35"/>
      <c r="AW1982" s="35"/>
      <c r="AX1982" s="35"/>
      <c r="AY1982" s="35"/>
      <c r="AZ1982" s="35"/>
      <c r="BA1982" s="35"/>
      <c r="BB1982" s="35"/>
      <c r="BC1982" s="35"/>
      <c r="BD1982" s="35"/>
      <c r="BE1982" s="35"/>
      <c r="BF1982" s="35"/>
      <c r="BG1982" s="35"/>
    </row>
    <row r="1983" ht="15.75" customHeight="1">
      <c r="A1983" s="35"/>
      <c r="B1983" s="35"/>
      <c r="C1983" s="35"/>
      <c r="D1983" s="35"/>
      <c r="E1983" s="35"/>
      <c r="F1983" s="35"/>
      <c r="G1983" s="35"/>
      <c r="H1983" s="35"/>
      <c r="I1983" s="35"/>
      <c r="J1983" s="35"/>
      <c r="K1983" s="35"/>
      <c r="L1983" s="35"/>
      <c r="M1983" s="35"/>
      <c r="N1983" s="35"/>
      <c r="O1983" s="35"/>
      <c r="P1983" s="35"/>
      <c r="Q1983" s="35"/>
      <c r="R1983" s="35"/>
      <c r="S1983" s="35"/>
      <c r="T1983" s="35"/>
      <c r="U1983" s="35"/>
      <c r="V1983" s="35"/>
      <c r="W1983" s="35"/>
      <c r="X1983" s="35"/>
      <c r="Y1983" s="35"/>
      <c r="Z1983" s="35"/>
      <c r="AA1983" s="35"/>
      <c r="AB1983" s="35"/>
      <c r="AC1983" s="35"/>
      <c r="AD1983" s="35"/>
      <c r="AE1983" s="35"/>
      <c r="AF1983" s="35"/>
      <c r="AG1983" s="35"/>
      <c r="AH1983" s="35"/>
      <c r="AI1983" s="35"/>
      <c r="AJ1983" s="35"/>
      <c r="AK1983" s="35"/>
      <c r="AL1983" s="35"/>
      <c r="AM1983" s="35"/>
      <c r="AN1983" s="35"/>
      <c r="AO1983" s="35"/>
      <c r="AP1983" s="35"/>
      <c r="AQ1983" s="35"/>
      <c r="AR1983" s="35"/>
      <c r="AS1983" s="35"/>
      <c r="AT1983" s="35"/>
      <c r="AU1983" s="35"/>
      <c r="AV1983" s="35"/>
      <c r="AW1983" s="35"/>
      <c r="AX1983" s="35"/>
      <c r="AY1983" s="35"/>
      <c r="AZ1983" s="35"/>
      <c r="BA1983" s="35"/>
      <c r="BB1983" s="35"/>
      <c r="BC1983" s="35"/>
      <c r="BD1983" s="35"/>
      <c r="BE1983" s="35"/>
      <c r="BF1983" s="35"/>
      <c r="BG1983" s="35"/>
    </row>
    <row r="1984" ht="15.75" customHeight="1">
      <c r="A1984" s="35"/>
      <c r="B1984" s="35"/>
      <c r="C1984" s="35"/>
      <c r="D1984" s="35"/>
      <c r="E1984" s="35"/>
      <c r="F1984" s="35"/>
      <c r="G1984" s="35"/>
      <c r="H1984" s="35"/>
      <c r="I1984" s="35"/>
      <c r="J1984" s="35"/>
      <c r="K1984" s="35"/>
      <c r="L1984" s="35"/>
      <c r="M1984" s="35"/>
      <c r="N1984" s="35"/>
      <c r="O1984" s="35"/>
      <c r="P1984" s="35"/>
      <c r="Q1984" s="35"/>
      <c r="R1984" s="35"/>
      <c r="S1984" s="35"/>
      <c r="T1984" s="35"/>
      <c r="U1984" s="35"/>
      <c r="V1984" s="35"/>
      <c r="W1984" s="35"/>
      <c r="X1984" s="35"/>
      <c r="Y1984" s="35"/>
      <c r="Z1984" s="35"/>
      <c r="AA1984" s="35"/>
      <c r="AB1984" s="35"/>
      <c r="AC1984" s="35"/>
      <c r="AD1984" s="35"/>
      <c r="AE1984" s="35"/>
      <c r="AF1984" s="35"/>
      <c r="AG1984" s="35"/>
      <c r="AH1984" s="35"/>
      <c r="AI1984" s="35"/>
      <c r="AJ1984" s="35"/>
      <c r="AK1984" s="35"/>
      <c r="AL1984" s="35"/>
      <c r="AM1984" s="35"/>
      <c r="AN1984" s="35"/>
      <c r="AO1984" s="35"/>
      <c r="AP1984" s="35"/>
      <c r="AQ1984" s="35"/>
      <c r="AR1984" s="35"/>
      <c r="AS1984" s="35"/>
      <c r="AT1984" s="35"/>
      <c r="AU1984" s="35"/>
      <c r="AV1984" s="35"/>
      <c r="AW1984" s="35"/>
      <c r="AX1984" s="35"/>
      <c r="AY1984" s="35"/>
      <c r="AZ1984" s="35"/>
      <c r="BA1984" s="35"/>
      <c r="BB1984" s="35"/>
      <c r="BC1984" s="35"/>
      <c r="BD1984" s="35"/>
      <c r="BE1984" s="35"/>
      <c r="BF1984" s="35"/>
      <c r="BG1984" s="35"/>
    </row>
    <row r="1985" ht="15.75" customHeight="1">
      <c r="A1985" s="35"/>
      <c r="B1985" s="35"/>
      <c r="C1985" s="35"/>
      <c r="D1985" s="35"/>
      <c r="E1985" s="35"/>
      <c r="F1985" s="35"/>
      <c r="G1985" s="35"/>
      <c r="H1985" s="35"/>
      <c r="I1985" s="35"/>
      <c r="J1985" s="35"/>
      <c r="K1985" s="35"/>
      <c r="L1985" s="35"/>
      <c r="M1985" s="35"/>
      <c r="N1985" s="35"/>
      <c r="O1985" s="35"/>
      <c r="P1985" s="35"/>
      <c r="Q1985" s="35"/>
      <c r="R1985" s="35"/>
      <c r="S1985" s="35"/>
      <c r="T1985" s="35"/>
      <c r="U1985" s="35"/>
      <c r="V1985" s="35"/>
      <c r="W1985" s="35"/>
      <c r="X1985" s="35"/>
      <c r="Y1985" s="35"/>
      <c r="Z1985" s="35"/>
      <c r="AA1985" s="35"/>
      <c r="AB1985" s="35"/>
      <c r="AC1985" s="35"/>
      <c r="AD1985" s="35"/>
      <c r="AE1985" s="35"/>
      <c r="AF1985" s="35"/>
      <c r="AG1985" s="35"/>
      <c r="AH1985" s="35"/>
      <c r="AI1985" s="35"/>
      <c r="AJ1985" s="35"/>
      <c r="AK1985" s="35"/>
      <c r="AL1985" s="35"/>
      <c r="AM1985" s="35"/>
      <c r="AN1985" s="35"/>
      <c r="AO1985" s="35"/>
      <c r="AP1985" s="35"/>
      <c r="AQ1985" s="35"/>
      <c r="AR1985" s="35"/>
      <c r="AS1985" s="35"/>
      <c r="AT1985" s="35"/>
      <c r="AU1985" s="35"/>
      <c r="AV1985" s="35"/>
      <c r="AW1985" s="35"/>
      <c r="AX1985" s="35"/>
      <c r="AY1985" s="35"/>
      <c r="AZ1985" s="35"/>
      <c r="BA1985" s="35"/>
      <c r="BB1985" s="35"/>
      <c r="BC1985" s="35"/>
      <c r="BD1985" s="35"/>
      <c r="BE1985" s="35"/>
      <c r="BF1985" s="35"/>
      <c r="BG1985" s="35"/>
    </row>
    <row r="1986" ht="15.75" customHeight="1">
      <c r="A1986" s="35"/>
      <c r="B1986" s="35"/>
      <c r="C1986" s="35"/>
      <c r="D1986" s="35"/>
      <c r="E1986" s="35"/>
      <c r="F1986" s="35"/>
      <c r="G1986" s="35"/>
      <c r="H1986" s="35"/>
      <c r="I1986" s="35"/>
      <c r="J1986" s="35"/>
      <c r="K1986" s="35"/>
      <c r="L1986" s="35"/>
      <c r="M1986" s="35"/>
      <c r="N1986" s="35"/>
      <c r="O1986" s="35"/>
      <c r="P1986" s="35"/>
      <c r="Q1986" s="35"/>
      <c r="R1986" s="35"/>
      <c r="S1986" s="35"/>
      <c r="T1986" s="35"/>
      <c r="U1986" s="35"/>
      <c r="V1986" s="35"/>
      <c r="W1986" s="35"/>
      <c r="X1986" s="35"/>
      <c r="Y1986" s="35"/>
      <c r="Z1986" s="35"/>
      <c r="AA1986" s="35"/>
      <c r="AB1986" s="35"/>
      <c r="AC1986" s="35"/>
      <c r="AD1986" s="35"/>
      <c r="AE1986" s="35"/>
      <c r="AF1986" s="35"/>
      <c r="AG1986" s="35"/>
      <c r="AH1986" s="35"/>
      <c r="AI1986" s="35"/>
      <c r="AJ1986" s="35"/>
      <c r="AK1986" s="35"/>
      <c r="AL1986" s="35"/>
      <c r="AM1986" s="35"/>
      <c r="AN1986" s="35"/>
      <c r="AO1986" s="35"/>
      <c r="AP1986" s="35"/>
      <c r="AQ1986" s="35"/>
      <c r="AR1986" s="35"/>
      <c r="AS1986" s="35"/>
      <c r="AT1986" s="35"/>
      <c r="AU1986" s="35"/>
      <c r="AV1986" s="35"/>
      <c r="AW1986" s="35"/>
      <c r="AX1986" s="35"/>
      <c r="AY1986" s="35"/>
      <c r="AZ1986" s="35"/>
      <c r="BA1986" s="35"/>
      <c r="BB1986" s="35"/>
      <c r="BC1986" s="35"/>
      <c r="BD1986" s="35"/>
      <c r="BE1986" s="35"/>
      <c r="BF1986" s="35"/>
      <c r="BG1986" s="35"/>
    </row>
    <row r="1987" ht="15.75" customHeight="1">
      <c r="A1987" s="35"/>
      <c r="B1987" s="35"/>
      <c r="C1987" s="35"/>
      <c r="D1987" s="35"/>
      <c r="E1987" s="35"/>
      <c r="F1987" s="35"/>
      <c r="G1987" s="35"/>
      <c r="H1987" s="35"/>
      <c r="I1987" s="35"/>
      <c r="J1987" s="35"/>
      <c r="K1987" s="35"/>
      <c r="L1987" s="35"/>
      <c r="M1987" s="35"/>
      <c r="N1987" s="35"/>
      <c r="O1987" s="35"/>
      <c r="P1987" s="35"/>
      <c r="Q1987" s="35"/>
      <c r="R1987" s="35"/>
      <c r="S1987" s="35"/>
      <c r="T1987" s="35"/>
      <c r="U1987" s="35"/>
      <c r="V1987" s="35"/>
      <c r="W1987" s="35"/>
      <c r="X1987" s="35"/>
      <c r="Y1987" s="35"/>
      <c r="Z1987" s="35"/>
      <c r="AA1987" s="35"/>
      <c r="AB1987" s="35"/>
      <c r="AC1987" s="35"/>
      <c r="AD1987" s="35"/>
      <c r="AE1987" s="35"/>
      <c r="AF1987" s="35"/>
      <c r="AG1987" s="35"/>
      <c r="AH1987" s="35"/>
      <c r="AI1987" s="35"/>
      <c r="AJ1987" s="35"/>
      <c r="AK1987" s="35"/>
      <c r="AL1987" s="35"/>
      <c r="AM1987" s="35"/>
      <c r="AN1987" s="35"/>
      <c r="AO1987" s="35"/>
      <c r="AP1987" s="35"/>
      <c r="AQ1987" s="35"/>
      <c r="AR1987" s="35"/>
      <c r="AS1987" s="35"/>
      <c r="AT1987" s="35"/>
      <c r="AU1987" s="35"/>
      <c r="AV1987" s="35"/>
      <c r="AW1987" s="35"/>
      <c r="AX1987" s="35"/>
      <c r="AY1987" s="35"/>
      <c r="AZ1987" s="35"/>
      <c r="BA1987" s="35"/>
      <c r="BB1987" s="35"/>
      <c r="BC1987" s="35"/>
      <c r="BD1987" s="35"/>
      <c r="BE1987" s="35"/>
      <c r="BF1987" s="35"/>
      <c r="BG1987" s="35"/>
    </row>
    <row r="1988" ht="15.75" customHeight="1">
      <c r="A1988" s="35"/>
      <c r="B1988" s="35"/>
      <c r="C1988" s="35"/>
      <c r="D1988" s="35"/>
      <c r="E1988" s="35"/>
      <c r="F1988" s="35"/>
      <c r="G1988" s="35"/>
      <c r="H1988" s="35"/>
      <c r="I1988" s="35"/>
      <c r="J1988" s="35"/>
      <c r="K1988" s="35"/>
      <c r="L1988" s="35"/>
      <c r="M1988" s="35"/>
      <c r="N1988" s="35"/>
      <c r="O1988" s="35"/>
      <c r="P1988" s="35"/>
      <c r="Q1988" s="35"/>
      <c r="R1988" s="35"/>
      <c r="S1988" s="35"/>
      <c r="T1988" s="35"/>
      <c r="U1988" s="35"/>
      <c r="V1988" s="35"/>
      <c r="W1988" s="35"/>
      <c r="X1988" s="35"/>
      <c r="Y1988" s="35"/>
      <c r="Z1988" s="35"/>
      <c r="AA1988" s="35"/>
      <c r="AB1988" s="35"/>
      <c r="AC1988" s="35"/>
      <c r="AD1988" s="35"/>
      <c r="AE1988" s="35"/>
      <c r="AF1988" s="35"/>
      <c r="AG1988" s="35"/>
      <c r="AH1988" s="35"/>
      <c r="AI1988" s="35"/>
      <c r="AJ1988" s="35"/>
      <c r="AK1988" s="35"/>
      <c r="AL1988" s="35"/>
      <c r="AM1988" s="35"/>
      <c r="AN1988" s="35"/>
      <c r="AO1988" s="35"/>
      <c r="AP1988" s="35"/>
      <c r="AQ1988" s="35"/>
      <c r="AR1988" s="35"/>
      <c r="AS1988" s="35"/>
      <c r="AT1988" s="35"/>
      <c r="AU1988" s="35"/>
      <c r="AV1988" s="35"/>
      <c r="AW1988" s="35"/>
      <c r="AX1988" s="35"/>
      <c r="AY1988" s="35"/>
      <c r="AZ1988" s="35"/>
      <c r="BA1988" s="35"/>
      <c r="BB1988" s="35"/>
      <c r="BC1988" s="35"/>
      <c r="BD1988" s="35"/>
      <c r="BE1988" s="35"/>
      <c r="BF1988" s="35"/>
      <c r="BG1988" s="35"/>
    </row>
    <row r="1989" ht="15.75" customHeight="1">
      <c r="A1989" s="35"/>
      <c r="B1989" s="35"/>
      <c r="C1989" s="35"/>
      <c r="D1989" s="35"/>
      <c r="E1989" s="35"/>
      <c r="F1989" s="35"/>
      <c r="G1989" s="35"/>
      <c r="H1989" s="35"/>
      <c r="I1989" s="35"/>
      <c r="J1989" s="35"/>
      <c r="K1989" s="35"/>
      <c r="L1989" s="35"/>
      <c r="M1989" s="35"/>
      <c r="N1989" s="35"/>
      <c r="O1989" s="35"/>
      <c r="P1989" s="35"/>
      <c r="Q1989" s="35"/>
      <c r="R1989" s="35"/>
      <c r="S1989" s="35"/>
      <c r="T1989" s="35"/>
      <c r="U1989" s="35"/>
      <c r="V1989" s="35"/>
      <c r="W1989" s="35"/>
      <c r="X1989" s="35"/>
      <c r="Y1989" s="35"/>
      <c r="Z1989" s="35"/>
      <c r="AA1989" s="35"/>
      <c r="AB1989" s="35"/>
      <c r="AC1989" s="35"/>
      <c r="AD1989" s="35"/>
      <c r="AE1989" s="35"/>
      <c r="AF1989" s="35"/>
      <c r="AG1989" s="35"/>
      <c r="AH1989" s="35"/>
      <c r="AI1989" s="35"/>
      <c r="AJ1989" s="35"/>
      <c r="AK1989" s="35"/>
      <c r="AL1989" s="35"/>
      <c r="AM1989" s="35"/>
      <c r="AN1989" s="35"/>
      <c r="AO1989" s="35"/>
      <c r="AP1989" s="35"/>
      <c r="AQ1989" s="35"/>
      <c r="AR1989" s="35"/>
      <c r="AS1989" s="35"/>
      <c r="AT1989" s="35"/>
      <c r="AU1989" s="35"/>
      <c r="AV1989" s="35"/>
      <c r="AW1989" s="35"/>
      <c r="AX1989" s="35"/>
      <c r="AY1989" s="35"/>
      <c r="AZ1989" s="35"/>
      <c r="BA1989" s="35"/>
      <c r="BB1989" s="35"/>
      <c r="BC1989" s="35"/>
      <c r="BD1989" s="35"/>
      <c r="BE1989" s="35"/>
      <c r="BF1989" s="35"/>
      <c r="BG1989" s="35"/>
    </row>
    <row r="1990" ht="15.75" customHeight="1">
      <c r="A1990" s="35"/>
      <c r="B1990" s="35"/>
      <c r="C1990" s="35"/>
      <c r="D1990" s="35"/>
      <c r="E1990" s="35"/>
      <c r="F1990" s="35"/>
      <c r="G1990" s="35"/>
      <c r="H1990" s="35"/>
      <c r="I1990" s="35"/>
      <c r="J1990" s="35"/>
      <c r="K1990" s="35"/>
      <c r="L1990" s="35"/>
      <c r="M1990" s="35"/>
      <c r="N1990" s="35"/>
      <c r="O1990" s="35"/>
      <c r="P1990" s="35"/>
      <c r="Q1990" s="35"/>
      <c r="R1990" s="35"/>
      <c r="S1990" s="35"/>
      <c r="T1990" s="35"/>
      <c r="U1990" s="35"/>
      <c r="V1990" s="35"/>
      <c r="W1990" s="35"/>
      <c r="X1990" s="35"/>
      <c r="Y1990" s="35"/>
      <c r="Z1990" s="35"/>
      <c r="AA1990" s="35"/>
      <c r="AB1990" s="35"/>
      <c r="AC1990" s="35"/>
      <c r="AD1990" s="35"/>
      <c r="AE1990" s="35"/>
      <c r="AF1990" s="35"/>
      <c r="AG1990" s="35"/>
      <c r="AH1990" s="35"/>
      <c r="AI1990" s="35"/>
      <c r="AJ1990" s="35"/>
      <c r="AK1990" s="35"/>
      <c r="AL1990" s="35"/>
      <c r="AM1990" s="35"/>
      <c r="AN1990" s="35"/>
      <c r="AO1990" s="35"/>
      <c r="AP1990" s="35"/>
      <c r="AQ1990" s="35"/>
      <c r="AR1990" s="35"/>
      <c r="AS1990" s="35"/>
      <c r="AT1990" s="35"/>
      <c r="AU1990" s="35"/>
      <c r="AV1990" s="35"/>
      <c r="AW1990" s="35"/>
      <c r="AX1990" s="35"/>
      <c r="AY1990" s="35"/>
      <c r="AZ1990" s="35"/>
      <c r="BA1990" s="35"/>
      <c r="BB1990" s="35"/>
      <c r="BC1990" s="35"/>
      <c r="BD1990" s="35"/>
      <c r="BE1990" s="35"/>
      <c r="BF1990" s="35"/>
      <c r="BG1990" s="35"/>
    </row>
    <row r="1991" ht="15.75" customHeight="1">
      <c r="A1991" s="35"/>
      <c r="B1991" s="35"/>
      <c r="C1991" s="35"/>
      <c r="D1991" s="35"/>
      <c r="E1991" s="35"/>
      <c r="F1991" s="35"/>
      <c r="G1991" s="35"/>
      <c r="H1991" s="35"/>
      <c r="I1991" s="35"/>
      <c r="J1991" s="35"/>
      <c r="K1991" s="35"/>
      <c r="L1991" s="35"/>
      <c r="M1991" s="35"/>
      <c r="N1991" s="35"/>
      <c r="O1991" s="35"/>
      <c r="P1991" s="35"/>
      <c r="Q1991" s="35"/>
      <c r="R1991" s="35"/>
      <c r="S1991" s="35"/>
      <c r="T1991" s="35"/>
      <c r="U1991" s="35"/>
      <c r="V1991" s="35"/>
      <c r="W1991" s="35"/>
      <c r="X1991" s="35"/>
      <c r="Y1991" s="35"/>
      <c r="Z1991" s="35"/>
      <c r="AA1991" s="35"/>
      <c r="AB1991" s="35"/>
      <c r="AC1991" s="35"/>
      <c r="AD1991" s="35"/>
      <c r="AE1991" s="35"/>
      <c r="AF1991" s="35"/>
      <c r="AG1991" s="35"/>
      <c r="AH1991" s="35"/>
      <c r="AI1991" s="35"/>
      <c r="AJ1991" s="35"/>
      <c r="AK1991" s="35"/>
      <c r="AL1991" s="35"/>
      <c r="AM1991" s="35"/>
      <c r="AN1991" s="35"/>
      <c r="AO1991" s="35"/>
      <c r="AP1991" s="35"/>
      <c r="AQ1991" s="35"/>
      <c r="AR1991" s="35"/>
      <c r="AS1991" s="35"/>
      <c r="AT1991" s="35"/>
      <c r="AU1991" s="35"/>
      <c r="AV1991" s="35"/>
      <c r="AW1991" s="35"/>
      <c r="AX1991" s="35"/>
      <c r="AY1991" s="35"/>
      <c r="AZ1991" s="35"/>
      <c r="BA1991" s="35"/>
      <c r="BB1991" s="35"/>
      <c r="BC1991" s="35"/>
      <c r="BD1991" s="35"/>
      <c r="BE1991" s="35"/>
      <c r="BF1991" s="35"/>
      <c r="BG1991" s="35"/>
    </row>
    <row r="1992" ht="15.75" customHeight="1">
      <c r="A1992" s="35"/>
      <c r="B1992" s="35"/>
      <c r="C1992" s="35"/>
      <c r="D1992" s="35"/>
      <c r="E1992" s="35"/>
      <c r="F1992" s="35"/>
      <c r="G1992" s="35"/>
      <c r="H1992" s="35"/>
      <c r="I1992" s="35"/>
      <c r="J1992" s="35"/>
      <c r="K1992" s="35"/>
      <c r="L1992" s="35"/>
      <c r="M1992" s="35"/>
      <c r="N1992" s="35"/>
      <c r="O1992" s="35"/>
      <c r="P1992" s="35"/>
      <c r="Q1992" s="35"/>
      <c r="R1992" s="35"/>
      <c r="S1992" s="35"/>
      <c r="T1992" s="35"/>
      <c r="U1992" s="35"/>
      <c r="V1992" s="35"/>
      <c r="W1992" s="35"/>
      <c r="X1992" s="35"/>
      <c r="Y1992" s="35"/>
      <c r="Z1992" s="35"/>
      <c r="AA1992" s="35"/>
      <c r="AB1992" s="35"/>
      <c r="AC1992" s="35"/>
      <c r="AD1992" s="35"/>
      <c r="AE1992" s="35"/>
      <c r="AF1992" s="35"/>
      <c r="AG1992" s="35"/>
      <c r="AH1992" s="35"/>
      <c r="AI1992" s="35"/>
      <c r="AJ1992" s="35"/>
      <c r="AK1992" s="35"/>
      <c r="AL1992" s="35"/>
      <c r="AM1992" s="35"/>
      <c r="AN1992" s="35"/>
      <c r="AO1992" s="35"/>
      <c r="AP1992" s="35"/>
      <c r="AQ1992" s="35"/>
      <c r="AR1992" s="35"/>
      <c r="AS1992" s="35"/>
      <c r="AT1992" s="35"/>
      <c r="AU1992" s="35"/>
      <c r="AV1992" s="35"/>
      <c r="AW1992" s="35"/>
      <c r="AX1992" s="35"/>
      <c r="AY1992" s="35"/>
      <c r="AZ1992" s="35"/>
      <c r="BA1992" s="35"/>
      <c r="BB1992" s="35"/>
      <c r="BC1992" s="35"/>
      <c r="BD1992" s="35"/>
      <c r="BE1992" s="35"/>
      <c r="BF1992" s="35"/>
      <c r="BG1992" s="35"/>
    </row>
    <row r="1993" ht="15.75" customHeight="1">
      <c r="A1993" s="35"/>
      <c r="B1993" s="35"/>
      <c r="C1993" s="35"/>
      <c r="D1993" s="35"/>
      <c r="E1993" s="35"/>
      <c r="F1993" s="35"/>
      <c r="G1993" s="35"/>
      <c r="H1993" s="35"/>
      <c r="I1993" s="35"/>
      <c r="J1993" s="35"/>
      <c r="K1993" s="35"/>
      <c r="L1993" s="35"/>
      <c r="M1993" s="35"/>
      <c r="N1993" s="35"/>
      <c r="O1993" s="35"/>
      <c r="P1993" s="35"/>
      <c r="Q1993" s="35"/>
      <c r="R1993" s="35"/>
      <c r="S1993" s="35"/>
      <c r="T1993" s="35"/>
      <c r="U1993" s="35"/>
      <c r="V1993" s="35"/>
      <c r="W1993" s="35"/>
      <c r="X1993" s="35"/>
      <c r="Y1993" s="35"/>
      <c r="Z1993" s="35"/>
      <c r="AA1993" s="35"/>
      <c r="AB1993" s="35"/>
      <c r="AC1993" s="35"/>
      <c r="AD1993" s="35"/>
      <c r="AE1993" s="35"/>
      <c r="AF1993" s="35"/>
      <c r="AG1993" s="35"/>
      <c r="AH1993" s="35"/>
      <c r="AI1993" s="35"/>
      <c r="AJ1993" s="35"/>
      <c r="AK1993" s="35"/>
      <c r="AL1993" s="35"/>
      <c r="AM1993" s="35"/>
      <c r="AN1993" s="35"/>
      <c r="AO1993" s="35"/>
      <c r="AP1993" s="35"/>
      <c r="AQ1993" s="35"/>
      <c r="AR1993" s="35"/>
      <c r="AS1993" s="35"/>
      <c r="AT1993" s="35"/>
      <c r="AU1993" s="35"/>
      <c r="AV1993" s="35"/>
      <c r="AW1993" s="35"/>
      <c r="AX1993" s="35"/>
      <c r="AY1993" s="35"/>
      <c r="AZ1993" s="35"/>
      <c r="BA1993" s="35"/>
      <c r="BB1993" s="35"/>
      <c r="BC1993" s="35"/>
      <c r="BD1993" s="35"/>
      <c r="BE1993" s="35"/>
      <c r="BF1993" s="35"/>
      <c r="BG1993" s="35"/>
    </row>
    <row r="1994" ht="15.75" customHeight="1">
      <c r="A1994" s="35"/>
      <c r="B1994" s="35"/>
      <c r="C1994" s="35"/>
      <c r="D1994" s="35"/>
      <c r="E1994" s="35"/>
      <c r="F1994" s="35"/>
      <c r="G1994" s="35"/>
      <c r="H1994" s="35"/>
      <c r="I1994" s="35"/>
      <c r="J1994" s="35"/>
      <c r="K1994" s="35"/>
      <c r="L1994" s="35"/>
      <c r="M1994" s="35"/>
      <c r="N1994" s="35"/>
      <c r="O1994" s="35"/>
      <c r="P1994" s="35"/>
      <c r="Q1994" s="35"/>
      <c r="R1994" s="35"/>
      <c r="S1994" s="35"/>
      <c r="T1994" s="35"/>
      <c r="U1994" s="35"/>
      <c r="V1994" s="35"/>
      <c r="W1994" s="35"/>
      <c r="X1994" s="35"/>
      <c r="Y1994" s="35"/>
      <c r="Z1994" s="35"/>
      <c r="AA1994" s="35"/>
      <c r="AB1994" s="35"/>
      <c r="AC1994" s="35"/>
      <c r="AD1994" s="35"/>
      <c r="AE1994" s="35"/>
      <c r="AF1994" s="35"/>
      <c r="AG1994" s="35"/>
      <c r="AH1994" s="35"/>
      <c r="AI1994" s="35"/>
      <c r="AJ1994" s="35"/>
      <c r="AK1994" s="35"/>
      <c r="AL1994" s="35"/>
      <c r="AM1994" s="35"/>
      <c r="AN1994" s="35"/>
      <c r="AO1994" s="35"/>
      <c r="AP1994" s="35"/>
      <c r="AQ1994" s="35"/>
      <c r="AR1994" s="35"/>
      <c r="AS1994" s="35"/>
      <c r="AT1994" s="35"/>
      <c r="AU1994" s="35"/>
      <c r="AV1994" s="35"/>
      <c r="AW1994" s="35"/>
      <c r="AX1994" s="35"/>
      <c r="AY1994" s="35"/>
      <c r="AZ1994" s="35"/>
      <c r="BA1994" s="35"/>
      <c r="BB1994" s="35"/>
      <c r="BC1994" s="35"/>
      <c r="BD1994" s="35"/>
      <c r="BE1994" s="35"/>
      <c r="BF1994" s="35"/>
      <c r="BG1994" s="35"/>
    </row>
    <row r="1995" ht="15.75" customHeight="1">
      <c r="A1995" s="35"/>
      <c r="B1995" s="35"/>
      <c r="C1995" s="35"/>
      <c r="D1995" s="35"/>
      <c r="E1995" s="35"/>
      <c r="F1995" s="35"/>
      <c r="G1995" s="35"/>
      <c r="H1995" s="35"/>
      <c r="I1995" s="35"/>
      <c r="J1995" s="35"/>
      <c r="K1995" s="35"/>
      <c r="L1995" s="35"/>
      <c r="M1995" s="35"/>
      <c r="N1995" s="35"/>
      <c r="O1995" s="35"/>
      <c r="P1995" s="35"/>
      <c r="Q1995" s="35"/>
      <c r="R1995" s="35"/>
      <c r="S1995" s="35"/>
      <c r="T1995" s="35"/>
      <c r="U1995" s="35"/>
      <c r="V1995" s="35"/>
      <c r="W1995" s="35"/>
      <c r="X1995" s="35"/>
      <c r="Y1995" s="35"/>
      <c r="Z1995" s="35"/>
      <c r="AA1995" s="35"/>
      <c r="AB1995" s="35"/>
      <c r="AC1995" s="35"/>
      <c r="AD1995" s="35"/>
      <c r="AE1995" s="35"/>
      <c r="AF1995" s="35"/>
      <c r="AG1995" s="35"/>
      <c r="AH1995" s="35"/>
      <c r="AI1995" s="35"/>
      <c r="AJ1995" s="35"/>
      <c r="AK1995" s="35"/>
      <c r="AL1995" s="35"/>
      <c r="AM1995" s="35"/>
      <c r="AN1995" s="35"/>
      <c r="AO1995" s="35"/>
      <c r="AP1995" s="35"/>
      <c r="AQ1995" s="35"/>
      <c r="AR1995" s="35"/>
      <c r="AS1995" s="35"/>
      <c r="AT1995" s="35"/>
      <c r="AU1995" s="35"/>
      <c r="AV1995" s="35"/>
      <c r="AW1995" s="35"/>
      <c r="AX1995" s="35"/>
      <c r="AY1995" s="35"/>
      <c r="AZ1995" s="35"/>
      <c r="BA1995" s="35"/>
      <c r="BB1995" s="35"/>
      <c r="BC1995" s="35"/>
      <c r="BD1995" s="35"/>
      <c r="BE1995" s="35"/>
      <c r="BF1995" s="35"/>
      <c r="BG1995" s="35"/>
    </row>
    <row r="1996" ht="15.75" customHeight="1">
      <c r="A1996" s="35"/>
      <c r="B1996" s="35"/>
      <c r="C1996" s="35"/>
      <c r="D1996" s="35"/>
      <c r="E1996" s="35"/>
      <c r="F1996" s="35"/>
      <c r="G1996" s="35"/>
      <c r="H1996" s="35"/>
      <c r="I1996" s="35"/>
      <c r="J1996" s="35"/>
      <c r="K1996" s="35"/>
      <c r="L1996" s="35"/>
      <c r="M1996" s="35"/>
      <c r="N1996" s="35"/>
      <c r="O1996" s="35"/>
      <c r="P1996" s="35"/>
      <c r="Q1996" s="35"/>
      <c r="R1996" s="35"/>
      <c r="S1996" s="35"/>
      <c r="T1996" s="35"/>
      <c r="U1996" s="35"/>
      <c r="V1996" s="35"/>
      <c r="W1996" s="35"/>
      <c r="X1996" s="35"/>
      <c r="Y1996" s="35"/>
      <c r="Z1996" s="35"/>
      <c r="AA1996" s="35"/>
      <c r="AB1996" s="35"/>
      <c r="AC1996" s="35"/>
      <c r="AD1996" s="35"/>
      <c r="AE1996" s="35"/>
      <c r="AF1996" s="35"/>
      <c r="AG1996" s="35"/>
      <c r="AH1996" s="35"/>
      <c r="AI1996" s="35"/>
      <c r="AJ1996" s="35"/>
      <c r="AK1996" s="35"/>
      <c r="AL1996" s="35"/>
      <c r="AM1996" s="35"/>
      <c r="AN1996" s="35"/>
      <c r="AO1996" s="35"/>
      <c r="AP1996" s="35"/>
      <c r="AQ1996" s="35"/>
      <c r="AR1996" s="35"/>
      <c r="AS1996" s="35"/>
      <c r="AT1996" s="35"/>
      <c r="AU1996" s="35"/>
      <c r="AV1996" s="35"/>
      <c r="AW1996" s="35"/>
      <c r="AX1996" s="35"/>
      <c r="AY1996" s="35"/>
      <c r="AZ1996" s="35"/>
      <c r="BA1996" s="35"/>
      <c r="BB1996" s="35"/>
      <c r="BC1996" s="35"/>
      <c r="BD1996" s="35"/>
      <c r="BE1996" s="35"/>
      <c r="BF1996" s="35"/>
      <c r="BG1996" s="35"/>
    </row>
    <row r="1997" ht="15.75" customHeight="1">
      <c r="A1997" s="35"/>
      <c r="B1997" s="35"/>
      <c r="C1997" s="35"/>
      <c r="D1997" s="35"/>
      <c r="E1997" s="35"/>
      <c r="F1997" s="35"/>
      <c r="G1997" s="35"/>
      <c r="H1997" s="35"/>
      <c r="I1997" s="35"/>
      <c r="J1997" s="35"/>
      <c r="K1997" s="35"/>
      <c r="L1997" s="35"/>
      <c r="M1997" s="35"/>
      <c r="N1997" s="35"/>
      <c r="O1997" s="35"/>
      <c r="P1997" s="35"/>
      <c r="Q1997" s="35"/>
      <c r="R1997" s="35"/>
      <c r="S1997" s="35"/>
      <c r="T1997" s="35"/>
      <c r="U1997" s="35"/>
      <c r="V1997" s="35"/>
      <c r="W1997" s="35"/>
      <c r="X1997" s="35"/>
      <c r="Y1997" s="35"/>
      <c r="Z1997" s="35"/>
      <c r="AA1997" s="35"/>
      <c r="AB1997" s="35"/>
      <c r="AC1997" s="35"/>
      <c r="AD1997" s="35"/>
      <c r="AE1997" s="35"/>
      <c r="AF1997" s="35"/>
      <c r="AG1997" s="35"/>
      <c r="AH1997" s="35"/>
      <c r="AI1997" s="35"/>
      <c r="AJ1997" s="35"/>
      <c r="AK1997" s="35"/>
      <c r="AL1997" s="35"/>
      <c r="AM1997" s="35"/>
      <c r="AN1997" s="35"/>
      <c r="AO1997" s="35"/>
      <c r="AP1997" s="35"/>
      <c r="AQ1997" s="35"/>
      <c r="AR1997" s="35"/>
      <c r="AS1997" s="35"/>
      <c r="AT1997" s="35"/>
      <c r="AU1997" s="35"/>
      <c r="AV1997" s="35"/>
      <c r="AW1997" s="35"/>
      <c r="AX1997" s="35"/>
      <c r="AY1997" s="35"/>
      <c r="AZ1997" s="35"/>
      <c r="BA1997" s="35"/>
      <c r="BB1997" s="35"/>
      <c r="BC1997" s="35"/>
      <c r="BD1997" s="35"/>
      <c r="BE1997" s="35"/>
      <c r="BF1997" s="35"/>
      <c r="BG1997" s="35"/>
    </row>
    <row r="1998" ht="15.75" customHeight="1">
      <c r="A1998" s="35"/>
      <c r="B1998" s="35"/>
      <c r="C1998" s="35"/>
      <c r="D1998" s="35"/>
      <c r="E1998" s="35"/>
      <c r="F1998" s="35"/>
      <c r="G1998" s="35"/>
      <c r="H1998" s="35"/>
      <c r="I1998" s="35"/>
      <c r="J1998" s="35"/>
      <c r="K1998" s="35"/>
      <c r="L1998" s="35"/>
      <c r="M1998" s="35"/>
      <c r="N1998" s="35"/>
      <c r="O1998" s="35"/>
      <c r="P1998" s="35"/>
      <c r="Q1998" s="35"/>
      <c r="R1998" s="35"/>
      <c r="S1998" s="35"/>
      <c r="T1998" s="35"/>
      <c r="U1998" s="35"/>
      <c r="V1998" s="35"/>
      <c r="W1998" s="35"/>
      <c r="X1998" s="35"/>
      <c r="Y1998" s="35"/>
      <c r="Z1998" s="35"/>
      <c r="AA1998" s="35"/>
      <c r="AB1998" s="35"/>
      <c r="AC1998" s="35"/>
      <c r="AD1998" s="35"/>
      <c r="AE1998" s="35"/>
      <c r="AF1998" s="35"/>
      <c r="AG1998" s="35"/>
      <c r="AH1998" s="35"/>
      <c r="AI1998" s="35"/>
      <c r="AJ1998" s="35"/>
      <c r="AK1998" s="35"/>
      <c r="AL1998" s="35"/>
      <c r="AM1998" s="35"/>
      <c r="AN1998" s="35"/>
      <c r="AO1998" s="35"/>
      <c r="AP1998" s="35"/>
      <c r="AQ1998" s="35"/>
      <c r="AR1998" s="35"/>
      <c r="AS1998" s="35"/>
      <c r="AT1998" s="35"/>
      <c r="AU1998" s="35"/>
      <c r="AV1998" s="35"/>
      <c r="AW1998" s="35"/>
      <c r="AX1998" s="35"/>
      <c r="AY1998" s="35"/>
      <c r="AZ1998" s="35"/>
      <c r="BA1998" s="35"/>
      <c r="BB1998" s="35"/>
      <c r="BC1998" s="35"/>
      <c r="BD1998" s="35"/>
      <c r="BE1998" s="35"/>
      <c r="BF1998" s="35"/>
      <c r="BG1998" s="35"/>
    </row>
    <row r="1999" ht="15.75" customHeight="1">
      <c r="A1999" s="35"/>
      <c r="B1999" s="35"/>
      <c r="C1999" s="35"/>
      <c r="D1999" s="35"/>
      <c r="E1999" s="35"/>
      <c r="F1999" s="35"/>
      <c r="G1999" s="35"/>
      <c r="H1999" s="35"/>
      <c r="I1999" s="35"/>
      <c r="J1999" s="35"/>
      <c r="K1999" s="35"/>
      <c r="L1999" s="35"/>
      <c r="M1999" s="35"/>
      <c r="N1999" s="35"/>
      <c r="O1999" s="35"/>
      <c r="P1999" s="35"/>
      <c r="Q1999" s="35"/>
      <c r="R1999" s="35"/>
      <c r="S1999" s="35"/>
      <c r="T1999" s="35"/>
      <c r="U1999" s="35"/>
      <c r="V1999" s="35"/>
      <c r="W1999" s="35"/>
      <c r="X1999" s="35"/>
      <c r="Y1999" s="35"/>
      <c r="Z1999" s="35"/>
      <c r="AA1999" s="35"/>
      <c r="AB1999" s="35"/>
      <c r="AC1999" s="35"/>
      <c r="AD1999" s="35"/>
      <c r="AE1999" s="35"/>
      <c r="AF1999" s="35"/>
      <c r="AG1999" s="35"/>
      <c r="AH1999" s="35"/>
      <c r="AI1999" s="35"/>
      <c r="AJ1999" s="35"/>
      <c r="AK1999" s="35"/>
      <c r="AL1999" s="35"/>
      <c r="AM1999" s="35"/>
      <c r="AN1999" s="35"/>
      <c r="AO1999" s="35"/>
      <c r="AP1999" s="35"/>
      <c r="AQ1999" s="35"/>
      <c r="AR1999" s="35"/>
      <c r="AS1999" s="35"/>
      <c r="AT1999" s="35"/>
      <c r="AU1999" s="35"/>
      <c r="AV1999" s="35"/>
      <c r="AW1999" s="35"/>
      <c r="AX1999" s="35"/>
      <c r="AY1999" s="35"/>
      <c r="AZ1999" s="35"/>
      <c r="BA1999" s="35"/>
      <c r="BB1999" s="35"/>
      <c r="BC1999" s="35"/>
      <c r="BD1999" s="35"/>
      <c r="BE1999" s="35"/>
      <c r="BF1999" s="35"/>
      <c r="BG1999" s="35"/>
    </row>
    <row r="2000" ht="15.75" customHeight="1">
      <c r="A2000" s="35"/>
      <c r="B2000" s="35"/>
      <c r="C2000" s="35"/>
      <c r="D2000" s="35"/>
      <c r="E2000" s="35"/>
      <c r="F2000" s="35"/>
      <c r="G2000" s="35"/>
      <c r="H2000" s="35"/>
      <c r="I2000" s="35"/>
      <c r="J2000" s="35"/>
      <c r="K2000" s="35"/>
      <c r="L2000" s="35"/>
      <c r="M2000" s="35"/>
      <c r="N2000" s="35"/>
      <c r="O2000" s="35"/>
      <c r="P2000" s="35"/>
      <c r="Q2000" s="35"/>
      <c r="R2000" s="35"/>
      <c r="S2000" s="35"/>
      <c r="T2000" s="35"/>
      <c r="U2000" s="35"/>
      <c r="V2000" s="35"/>
      <c r="W2000" s="35"/>
      <c r="X2000" s="35"/>
      <c r="Y2000" s="35"/>
      <c r="Z2000" s="35"/>
      <c r="AA2000" s="35"/>
      <c r="AB2000" s="35"/>
      <c r="AC2000" s="35"/>
      <c r="AD2000" s="35"/>
      <c r="AE2000" s="35"/>
      <c r="AF2000" s="35"/>
      <c r="AG2000" s="35"/>
      <c r="AH2000" s="35"/>
      <c r="AI2000" s="35"/>
      <c r="AJ2000" s="35"/>
      <c r="AK2000" s="35"/>
      <c r="AL2000" s="35"/>
      <c r="AM2000" s="35"/>
      <c r="AN2000" s="35"/>
      <c r="AO2000" s="35"/>
      <c r="AP2000" s="35"/>
      <c r="AQ2000" s="35"/>
      <c r="AR2000" s="35"/>
      <c r="AS2000" s="35"/>
      <c r="AT2000" s="35"/>
      <c r="AU2000" s="35"/>
      <c r="AV2000" s="35"/>
      <c r="AW2000" s="35"/>
      <c r="AX2000" s="35"/>
      <c r="AY2000" s="35"/>
      <c r="AZ2000" s="35"/>
      <c r="BA2000" s="35"/>
      <c r="BB2000" s="35"/>
      <c r="BC2000" s="35"/>
      <c r="BD2000" s="35"/>
      <c r="BE2000" s="35"/>
      <c r="BF2000" s="35"/>
      <c r="BG2000" s="35"/>
    </row>
  </sheetData>
  <autoFilter ref="$A$4:$AV$2000"/>
  <mergeCells count="9">
    <mergeCell ref="A3:H3"/>
    <mergeCell ref="J3:O3"/>
    <mergeCell ref="P3:W3"/>
    <mergeCell ref="X3:AE3"/>
    <mergeCell ref="AF3:AN3"/>
    <mergeCell ref="AO3:AQ3"/>
    <mergeCell ref="AR3:AV3"/>
    <mergeCell ref="A1:AV1"/>
    <mergeCell ref="A2:AV2"/>
  </mergeCells>
  <conditionalFormatting sqref="A5:A2000">
    <cfRule type="expression" dxfId="0" priority="1">
      <formula>$A5&lt;&gt;""</formula>
    </cfRule>
  </conditionalFormatting>
  <conditionalFormatting sqref="AE5:AE2000">
    <cfRule type="expression" dxfId="1" priority="2">
      <formula>$A5&lt;&gt;""</formula>
    </cfRule>
  </conditionalFormatting>
  <conditionalFormatting sqref="K5:K2000">
    <cfRule type="expression" dxfId="2" priority="3">
      <formula>$K5="Yes"</formula>
    </cfRule>
  </conditionalFormatting>
  <conditionalFormatting sqref="B5:B2000">
    <cfRule type="expression" dxfId="3" priority="4">
      <formula>AND($D5&lt;&gt;"",COUNTIF($BA$1:$BA$27,$D5)&gt;0)</formula>
    </cfRule>
  </conditionalFormatting>
  <conditionalFormatting sqref="D5:D2000">
    <cfRule type="expression" dxfId="3" priority="5">
      <formula>AND($D5&lt;&gt;"",COUNTIF($BB$1:$BB$6,$D5)&gt;0)</formula>
    </cfRule>
  </conditionalFormatting>
  <conditionalFormatting sqref="D5:D2000">
    <cfRule type="expression" dxfId="4" priority="6">
      <formula>AND($D5&lt;&gt;"",COUNTIF($BC$1:$BC$2,$D5)&gt;0)</formula>
    </cfRule>
  </conditionalFormatting>
  <conditionalFormatting sqref="D5:D2000">
    <cfRule type="expression" dxfId="5" priority="7">
      <formula>AND($D5&lt;&gt;"",COUNTIF($BD$1:$BD$3,$D5)&gt;0)</formula>
    </cfRule>
  </conditionalFormatting>
  <conditionalFormatting sqref="D5:D2000">
    <cfRule type="expression" dxfId="6" priority="8">
      <formula>AND($D5&lt;&gt;"",COUNTIF($BE$1,$D5)&gt;0)</formula>
    </cfRule>
  </conditionalFormatting>
  <conditionalFormatting sqref="D5:D2000">
    <cfRule type="expression" dxfId="7" priority="9">
      <formula>AND($D5&lt;&gt;"",COUNTIF($BF$1,$D5)&gt;0)</formula>
    </cfRule>
  </conditionalFormatting>
  <conditionalFormatting sqref="G5:G2000">
    <cfRule type="expression" dxfId="5" priority="10">
      <formula>AND($D5&lt;&gt;"",COUNTIF($BG$1:$BG$3,$D5)&gt;0)</formula>
    </cfRule>
  </conditionalFormatting>
  <hyperlinks>
    <hyperlink r:id="rId1" ref="D5"/>
    <hyperlink r:id="rId2" ref="AO5"/>
    <hyperlink r:id="rId3" ref="D6"/>
    <hyperlink r:id="rId4" ref="D7"/>
    <hyperlink r:id="rId5" ref="AO7"/>
    <hyperlink r:id="rId6" ref="D8"/>
    <hyperlink r:id="rId7" ref="AO8"/>
    <hyperlink r:id="rId8" ref="D9"/>
    <hyperlink r:id="rId9" ref="AO9"/>
    <hyperlink r:id="rId10" ref="D10"/>
    <hyperlink r:id="rId11" ref="AO10"/>
    <hyperlink r:id="rId12" ref="D11"/>
    <hyperlink r:id="rId13" ref="AO11"/>
    <hyperlink r:id="rId14" ref="D12"/>
    <hyperlink r:id="rId15" ref="D13"/>
    <hyperlink r:id="rId16" ref="D14"/>
    <hyperlink r:id="rId17" ref="AO14"/>
    <hyperlink r:id="rId18" ref="D15"/>
    <hyperlink r:id="rId19" ref="D16"/>
    <hyperlink r:id="rId20" ref="O16"/>
    <hyperlink r:id="rId21" ref="D17"/>
    <hyperlink r:id="rId22" ref="AO17"/>
    <hyperlink r:id="rId23" ref="D18"/>
    <hyperlink r:id="rId24" ref="AO18"/>
    <hyperlink r:id="rId25" ref="D19"/>
    <hyperlink r:id="rId26" ref="D20"/>
    <hyperlink r:id="rId27" ref="AO20"/>
    <hyperlink r:id="rId28" ref="D21"/>
    <hyperlink r:id="rId29" ref="D22"/>
    <hyperlink r:id="rId30" ref="O22"/>
    <hyperlink r:id="rId31" ref="D23"/>
    <hyperlink r:id="rId32" ref="D24"/>
    <hyperlink r:id="rId33" ref="D25"/>
    <hyperlink r:id="rId34" ref="D26"/>
    <hyperlink r:id="rId35" ref="D27"/>
    <hyperlink r:id="rId36" ref="D28"/>
    <hyperlink r:id="rId37" ref="D29"/>
    <hyperlink r:id="rId38" ref="D30"/>
    <hyperlink r:id="rId39" ref="AO30"/>
    <hyperlink r:id="rId40" ref="D31"/>
    <hyperlink r:id="rId41" ref="D32"/>
    <hyperlink r:id="rId42" ref="D33"/>
    <hyperlink r:id="rId43" ref="D34"/>
    <hyperlink r:id="rId44" ref="AO34"/>
    <hyperlink r:id="rId45" ref="D35"/>
    <hyperlink r:id="rId46" ref="D36"/>
    <hyperlink r:id="rId47" ref="AO36"/>
    <hyperlink r:id="rId48" ref="D37"/>
    <hyperlink r:id="rId49" ref="AO37"/>
    <hyperlink r:id="rId50" ref="D38"/>
    <hyperlink r:id="rId51" ref="AO38"/>
    <hyperlink r:id="rId52" ref="D39"/>
    <hyperlink r:id="rId53" ref="AO39"/>
    <hyperlink r:id="rId54" ref="D40"/>
    <hyperlink r:id="rId55" ref="AO40"/>
    <hyperlink r:id="rId56" ref="D41"/>
    <hyperlink r:id="rId57" ref="AO41"/>
    <hyperlink r:id="rId58" ref="D42"/>
    <hyperlink r:id="rId59" ref="D43"/>
    <hyperlink r:id="rId60" ref="D44"/>
    <hyperlink r:id="rId61" ref="AO44"/>
    <hyperlink r:id="rId62" ref="D45"/>
    <hyperlink r:id="rId63" ref="AO45"/>
    <hyperlink r:id="rId64" ref="D46"/>
    <hyperlink r:id="rId65" ref="AO46"/>
    <hyperlink r:id="rId66" ref="D47"/>
    <hyperlink r:id="rId67" ref="D48"/>
    <hyperlink r:id="rId68" ref="AO48"/>
    <hyperlink r:id="rId69" ref="D49"/>
    <hyperlink r:id="rId70" ref="D50"/>
    <hyperlink r:id="rId71" ref="D51"/>
    <hyperlink r:id="rId72" ref="D52"/>
    <hyperlink r:id="rId73" ref="AO52"/>
    <hyperlink r:id="rId74" ref="D53"/>
    <hyperlink r:id="rId75" ref="AO53"/>
    <hyperlink r:id="rId76" ref="D54"/>
    <hyperlink r:id="rId77" ref="AO54"/>
    <hyperlink r:id="rId78" ref="D55"/>
    <hyperlink r:id="rId79" ref="AO55"/>
    <hyperlink r:id="rId80" ref="D56"/>
    <hyperlink r:id="rId81" ref="AO56"/>
    <hyperlink r:id="rId82" ref="D57"/>
    <hyperlink r:id="rId83" ref="D58"/>
    <hyperlink r:id="rId84" ref="D59"/>
    <hyperlink r:id="rId85" ref="D60"/>
    <hyperlink r:id="rId86" ref="D61"/>
    <hyperlink r:id="rId87" ref="D62"/>
    <hyperlink r:id="rId88" ref="D63"/>
    <hyperlink r:id="rId89" ref="D64"/>
    <hyperlink r:id="rId90" ref="D66"/>
    <hyperlink r:id="rId91" ref="D67"/>
    <hyperlink r:id="rId92" ref="D68"/>
    <hyperlink r:id="rId93" ref="D69"/>
    <hyperlink r:id="rId94" ref="D70"/>
    <hyperlink r:id="rId95" ref="D71"/>
    <hyperlink r:id="rId96" ref="D72"/>
    <hyperlink r:id="rId97" ref="D73"/>
    <hyperlink r:id="rId98" ref="D74"/>
    <hyperlink r:id="rId99" ref="D75"/>
    <hyperlink r:id="rId100" ref="D76"/>
    <hyperlink r:id="rId101" ref="D77"/>
    <hyperlink r:id="rId102" ref="D78"/>
    <hyperlink r:id="rId103" ref="D79"/>
    <hyperlink r:id="rId104" ref="D80"/>
    <hyperlink r:id="rId105" ref="D81"/>
    <hyperlink r:id="rId106" ref="D82"/>
    <hyperlink r:id="rId107" ref="D83"/>
    <hyperlink r:id="rId108" ref="D84"/>
    <hyperlink r:id="rId109" ref="D85"/>
    <hyperlink r:id="rId110" ref="AO85"/>
    <hyperlink r:id="rId111" ref="D86"/>
    <hyperlink r:id="rId112" ref="AO86"/>
    <hyperlink r:id="rId113" ref="D87"/>
    <hyperlink r:id="rId114" ref="AO87"/>
    <hyperlink r:id="rId115" ref="D88"/>
    <hyperlink r:id="rId116" ref="AO88"/>
    <hyperlink r:id="rId117" ref="D89"/>
    <hyperlink r:id="rId118" ref="AO89"/>
    <hyperlink r:id="rId119" ref="D90"/>
    <hyperlink r:id="rId120" ref="AO90"/>
    <hyperlink r:id="rId121" ref="D91"/>
    <hyperlink r:id="rId122" ref="AO91"/>
    <hyperlink r:id="rId123" ref="D92"/>
    <hyperlink r:id="rId124" ref="AO92"/>
    <hyperlink r:id="rId125" ref="D93"/>
    <hyperlink r:id="rId126" ref="AO93"/>
    <hyperlink r:id="rId127" ref="D94"/>
    <hyperlink r:id="rId128" ref="AO94"/>
    <hyperlink r:id="rId129" ref="D95"/>
    <hyperlink r:id="rId130" ref="AO95"/>
    <hyperlink r:id="rId131" ref="D96"/>
    <hyperlink r:id="rId132" ref="AO96"/>
    <hyperlink r:id="rId133" ref="D97"/>
    <hyperlink r:id="rId134" ref="AO97"/>
    <hyperlink r:id="rId135" ref="D98"/>
    <hyperlink r:id="rId136" ref="AO98"/>
    <hyperlink r:id="rId137" ref="D99"/>
    <hyperlink r:id="rId138" ref="AO99"/>
    <hyperlink r:id="rId139" ref="D100"/>
    <hyperlink r:id="rId140" ref="D101"/>
    <hyperlink r:id="rId141" ref="AO101"/>
    <hyperlink r:id="rId142" ref="D102"/>
    <hyperlink r:id="rId143" ref="AO102"/>
    <hyperlink r:id="rId144" ref="D103"/>
    <hyperlink r:id="rId145" ref="D104"/>
    <hyperlink r:id="rId146" ref="D105"/>
    <hyperlink r:id="rId147" ref="D106"/>
    <hyperlink r:id="rId148" ref="D107"/>
    <hyperlink r:id="rId149" ref="AO107"/>
    <hyperlink r:id="rId150" ref="D108"/>
    <hyperlink r:id="rId151" ref="D109"/>
    <hyperlink r:id="rId152" ref="AO109"/>
    <hyperlink r:id="rId153" ref="D110"/>
    <hyperlink r:id="rId154" ref="D111"/>
    <hyperlink r:id="rId155" ref="D112"/>
    <hyperlink r:id="rId156" ref="D113"/>
    <hyperlink r:id="rId157" ref="D114"/>
    <hyperlink r:id="rId158" ref="D115"/>
    <hyperlink r:id="rId159" ref="D116"/>
    <hyperlink r:id="rId160" ref="AO116"/>
    <hyperlink r:id="rId161" ref="D117"/>
    <hyperlink r:id="rId162" ref="AO117"/>
    <hyperlink r:id="rId163" ref="D118"/>
    <hyperlink r:id="rId164" ref="D119"/>
    <hyperlink r:id="rId165" ref="D120"/>
    <hyperlink r:id="rId166" ref="D121"/>
    <hyperlink r:id="rId167" ref="D122"/>
    <hyperlink r:id="rId168" ref="D123"/>
    <hyperlink r:id="rId169" ref="D124"/>
    <hyperlink r:id="rId170" ref="D125"/>
    <hyperlink r:id="rId171" ref="D126"/>
    <hyperlink r:id="rId172" ref="AO126"/>
    <hyperlink r:id="rId173" ref="D127"/>
    <hyperlink r:id="rId174" ref="D128"/>
    <hyperlink r:id="rId175" ref="D129"/>
    <hyperlink r:id="rId176" ref="D130"/>
    <hyperlink r:id="rId177" ref="D131"/>
    <hyperlink r:id="rId178" ref="D132"/>
    <hyperlink r:id="rId179" ref="D133"/>
    <hyperlink r:id="rId180" ref="D134"/>
    <hyperlink r:id="rId181" ref="D135"/>
    <hyperlink r:id="rId182" ref="D136"/>
    <hyperlink r:id="rId183" ref="D137"/>
    <hyperlink r:id="rId184" ref="D138"/>
    <hyperlink r:id="rId185" ref="D139"/>
    <hyperlink r:id="rId186" ref="D140"/>
    <hyperlink r:id="rId187" ref="D141"/>
    <hyperlink r:id="rId188" ref="D142"/>
    <hyperlink r:id="rId189" ref="D143"/>
    <hyperlink r:id="rId190" ref="D144"/>
    <hyperlink r:id="rId191" ref="D145"/>
    <hyperlink r:id="rId192" ref="D146"/>
    <hyperlink r:id="rId193" ref="D147"/>
    <hyperlink r:id="rId194" ref="D148"/>
    <hyperlink r:id="rId195" ref="D149"/>
    <hyperlink r:id="rId196" ref="D150"/>
    <hyperlink r:id="rId197" ref="D151"/>
    <hyperlink r:id="rId198" ref="D152"/>
    <hyperlink r:id="rId199" ref="D153"/>
    <hyperlink r:id="rId200" ref="D154"/>
    <hyperlink r:id="rId201" ref="D155"/>
    <hyperlink r:id="rId202" ref="D156"/>
    <hyperlink r:id="rId203" ref="D157"/>
    <hyperlink r:id="rId204" ref="D158"/>
    <hyperlink r:id="rId205" ref="D159"/>
    <hyperlink r:id="rId206" ref="D160"/>
    <hyperlink r:id="rId207" ref="D161"/>
    <hyperlink r:id="rId208" ref="D162"/>
    <hyperlink r:id="rId209" ref="D163"/>
    <hyperlink r:id="rId210" ref="D164"/>
    <hyperlink r:id="rId211" ref="D165"/>
    <hyperlink r:id="rId212" ref="D166"/>
    <hyperlink r:id="rId213" ref="D167"/>
    <hyperlink r:id="rId214" ref="D168"/>
    <hyperlink r:id="rId215" ref="D169"/>
    <hyperlink r:id="rId216" ref="D170"/>
    <hyperlink r:id="rId217" ref="D171"/>
    <hyperlink r:id="rId218" ref="D172"/>
    <hyperlink r:id="rId219" ref="D173"/>
    <hyperlink r:id="rId220" ref="D174"/>
    <hyperlink r:id="rId221" ref="D175"/>
    <hyperlink r:id="rId222" ref="D176"/>
    <hyperlink r:id="rId223" ref="D177"/>
    <hyperlink r:id="rId224" ref="D178"/>
    <hyperlink r:id="rId225" ref="D179"/>
    <hyperlink r:id="rId226" ref="D180"/>
    <hyperlink r:id="rId227" ref="D181"/>
    <hyperlink r:id="rId228" ref="D182"/>
    <hyperlink r:id="rId229" ref="D183"/>
    <hyperlink r:id="rId230" ref="D184"/>
    <hyperlink r:id="rId231" ref="D185"/>
    <hyperlink r:id="rId232" ref="D186"/>
    <hyperlink r:id="rId233" ref="D187"/>
    <hyperlink r:id="rId234" ref="D188"/>
    <hyperlink r:id="rId235" ref="D189"/>
    <hyperlink r:id="rId236" ref="D190"/>
    <hyperlink r:id="rId237" ref="D191"/>
    <hyperlink r:id="rId238" ref="D192"/>
    <hyperlink r:id="rId239" ref="D193"/>
    <hyperlink r:id="rId240" ref="D194"/>
    <hyperlink r:id="rId241" ref="D195"/>
    <hyperlink r:id="rId242" ref="D196"/>
    <hyperlink r:id="rId243" ref="D197"/>
    <hyperlink r:id="rId244" ref="D198"/>
    <hyperlink r:id="rId245" ref="D199"/>
    <hyperlink r:id="rId246" ref="D200"/>
    <hyperlink r:id="rId247" ref="D201"/>
    <hyperlink r:id="rId248" ref="D202"/>
    <hyperlink r:id="rId249" ref="D203"/>
    <hyperlink r:id="rId250" ref="D204"/>
    <hyperlink r:id="rId251" ref="D205"/>
    <hyperlink r:id="rId252" ref="D206"/>
    <hyperlink r:id="rId253" ref="D207"/>
    <hyperlink r:id="rId254" ref="D208"/>
    <hyperlink r:id="rId255" ref="D209"/>
    <hyperlink r:id="rId256" ref="D210"/>
    <hyperlink r:id="rId257" ref="D211"/>
    <hyperlink r:id="rId258" ref="D212"/>
    <hyperlink r:id="rId259" ref="D213"/>
    <hyperlink r:id="rId260" ref="D214"/>
    <hyperlink r:id="rId261" ref="D215"/>
    <hyperlink r:id="rId262" ref="D216"/>
    <hyperlink r:id="rId263" ref="D217"/>
    <hyperlink r:id="rId264" ref="D218"/>
    <hyperlink r:id="rId265" ref="D219"/>
    <hyperlink r:id="rId266" ref="D220"/>
    <hyperlink r:id="rId267" ref="AO220"/>
    <hyperlink r:id="rId268" ref="D221"/>
    <hyperlink r:id="rId269" ref="D222"/>
    <hyperlink r:id="rId270" ref="D223"/>
    <hyperlink r:id="rId271" ref="AO223"/>
    <hyperlink r:id="rId272" ref="D224"/>
    <hyperlink r:id="rId273" ref="AO224"/>
    <hyperlink r:id="rId274" ref="D225"/>
    <hyperlink r:id="rId275" ref="O225"/>
    <hyperlink r:id="rId276" ref="D226"/>
    <hyperlink r:id="rId277" ref="D227"/>
    <hyperlink r:id="rId278" ref="AO227"/>
    <hyperlink r:id="rId279" ref="D228"/>
    <hyperlink r:id="rId280" ref="D229"/>
    <hyperlink r:id="rId281" ref="D230"/>
    <hyperlink r:id="rId282" ref="AO230"/>
    <hyperlink r:id="rId283" ref="D231"/>
    <hyperlink r:id="rId284" ref="AO231"/>
    <hyperlink r:id="rId285" ref="D232"/>
    <hyperlink r:id="rId286" ref="O232"/>
    <hyperlink r:id="rId287" ref="D233"/>
    <hyperlink r:id="rId288" ref="AO233"/>
    <hyperlink r:id="rId289" ref="D234"/>
    <hyperlink r:id="rId290" ref="O234"/>
    <hyperlink r:id="rId291" ref="D235"/>
    <hyperlink r:id="rId292" ref="D236"/>
    <hyperlink r:id="rId293" ref="D237"/>
    <hyperlink r:id="rId294" ref="AO237"/>
    <hyperlink r:id="rId295" ref="D238"/>
    <hyperlink r:id="rId296" ref="O238"/>
    <hyperlink r:id="rId297" ref="D239"/>
    <hyperlink r:id="rId298" ref="O239"/>
    <hyperlink r:id="rId299" ref="D240"/>
    <hyperlink r:id="rId300" ref="D241"/>
    <hyperlink r:id="rId301" ref="AO241"/>
    <hyperlink r:id="rId302" ref="D242"/>
    <hyperlink r:id="rId303" ref="O242"/>
    <hyperlink r:id="rId304" ref="D243"/>
    <hyperlink r:id="rId305" ref="AO243"/>
    <hyperlink r:id="rId306" ref="D244"/>
    <hyperlink r:id="rId307" ref="AO244"/>
    <hyperlink r:id="rId308" ref="D245"/>
    <hyperlink r:id="rId309" ref="D246"/>
    <hyperlink r:id="rId310" ref="D247"/>
    <hyperlink r:id="rId311" ref="O247"/>
    <hyperlink r:id="rId312" ref="D248"/>
    <hyperlink r:id="rId313" ref="AO248"/>
    <hyperlink r:id="rId314" ref="D249"/>
    <hyperlink r:id="rId315" ref="AO249"/>
    <hyperlink r:id="rId316" ref="D250"/>
    <hyperlink r:id="rId317" ref="O250"/>
    <hyperlink r:id="rId318" ref="D251"/>
    <hyperlink r:id="rId319" ref="AO251"/>
    <hyperlink r:id="rId320" ref="D252"/>
    <hyperlink r:id="rId321" ref="AO252"/>
    <hyperlink r:id="rId322" ref="D253"/>
    <hyperlink r:id="rId323" ref="D254"/>
    <hyperlink r:id="rId324" ref="D255"/>
    <hyperlink r:id="rId325" ref="D256"/>
    <hyperlink r:id="rId326" ref="D257"/>
    <hyperlink r:id="rId327" ref="AO257"/>
    <hyperlink r:id="rId328" ref="D258"/>
    <hyperlink r:id="rId329" ref="O258"/>
    <hyperlink r:id="rId330" ref="D259"/>
    <hyperlink r:id="rId331" ref="D260"/>
    <hyperlink r:id="rId332" ref="O260"/>
    <hyperlink r:id="rId333" ref="D261"/>
    <hyperlink r:id="rId334" ref="D262"/>
    <hyperlink r:id="rId335" ref="O262"/>
    <hyperlink r:id="rId336" ref="D263"/>
    <hyperlink r:id="rId337" ref="D264"/>
    <hyperlink r:id="rId338" ref="D265"/>
    <hyperlink r:id="rId339" ref="D266"/>
    <hyperlink r:id="rId340" ref="O266"/>
    <hyperlink r:id="rId341" ref="D267"/>
    <hyperlink r:id="rId342" ref="O267"/>
    <hyperlink r:id="rId343" ref="D268"/>
    <hyperlink r:id="rId344" ref="O268"/>
    <hyperlink r:id="rId345" ref="D269"/>
    <hyperlink r:id="rId346" ref="D270"/>
    <hyperlink r:id="rId347" ref="D271"/>
    <hyperlink r:id="rId348" ref="D272"/>
    <hyperlink r:id="rId349" ref="D273"/>
    <hyperlink r:id="rId350" ref="D274"/>
    <hyperlink r:id="rId351" ref="D275"/>
    <hyperlink r:id="rId352" ref="O275"/>
    <hyperlink r:id="rId353" ref="D276"/>
    <hyperlink r:id="rId354" ref="D277"/>
    <hyperlink r:id="rId355" ref="AO277"/>
    <hyperlink r:id="rId356" ref="D278"/>
    <hyperlink r:id="rId357" ref="AO278"/>
    <hyperlink r:id="rId358" ref="D279"/>
    <hyperlink r:id="rId359" ref="O279"/>
    <hyperlink r:id="rId360" ref="D280"/>
    <hyperlink r:id="rId361" ref="O280"/>
    <hyperlink r:id="rId362" ref="D281"/>
    <hyperlink r:id="rId363" ref="AO281"/>
    <hyperlink r:id="rId364" ref="D282"/>
    <hyperlink r:id="rId365" ref="D283"/>
    <hyperlink r:id="rId366" ref="D284"/>
    <hyperlink r:id="rId367" ref="D285"/>
    <hyperlink r:id="rId368" ref="AO285"/>
    <hyperlink r:id="rId369" ref="D286"/>
    <hyperlink r:id="rId370" ref="AO286"/>
    <hyperlink r:id="rId371" ref="D287"/>
    <hyperlink r:id="rId372" ref="D288"/>
    <hyperlink r:id="rId373" ref="D289"/>
    <hyperlink r:id="rId374" ref="D290"/>
    <hyperlink r:id="rId375" ref="D291"/>
    <hyperlink r:id="rId376" ref="D292"/>
    <hyperlink r:id="rId377" ref="O292"/>
    <hyperlink r:id="rId378" ref="D293"/>
    <hyperlink r:id="rId379" ref="D294"/>
    <hyperlink r:id="rId380" ref="AO294"/>
    <hyperlink r:id="rId381" ref="D295"/>
    <hyperlink r:id="rId382" ref="AO295"/>
    <hyperlink r:id="rId383" ref="D296"/>
    <hyperlink r:id="rId384" ref="AO296"/>
    <hyperlink r:id="rId385" ref="D297"/>
    <hyperlink r:id="rId386" ref="AO297"/>
    <hyperlink r:id="rId387" ref="D298"/>
    <hyperlink r:id="rId388" ref="D299"/>
    <hyperlink r:id="rId389" ref="AO299"/>
    <hyperlink r:id="rId390" ref="D300"/>
    <hyperlink r:id="rId391" ref="D301"/>
    <hyperlink r:id="rId392" ref="AO301"/>
    <hyperlink r:id="rId393" ref="D302"/>
    <hyperlink r:id="rId394" ref="AO302"/>
    <hyperlink r:id="rId395" ref="D303"/>
    <hyperlink r:id="rId396" ref="AO303"/>
    <hyperlink r:id="rId397" ref="D304"/>
    <hyperlink r:id="rId398" ref="AO304"/>
    <hyperlink r:id="rId399" ref="D305"/>
    <hyperlink r:id="rId400" ref="O305"/>
    <hyperlink r:id="rId401" ref="D306"/>
    <hyperlink r:id="rId402" ref="AO306"/>
    <hyperlink r:id="rId403" ref="D307"/>
    <hyperlink r:id="rId404" ref="D308"/>
    <hyperlink r:id="rId405" ref="D309"/>
    <hyperlink r:id="rId406" ref="D310"/>
    <hyperlink r:id="rId407" ref="D311"/>
    <hyperlink r:id="rId408" ref="D312"/>
    <hyperlink r:id="rId409" ref="D313"/>
    <hyperlink r:id="rId410" ref="D314"/>
    <hyperlink r:id="rId411" ref="D315"/>
    <hyperlink r:id="rId412" ref="D316"/>
    <hyperlink r:id="rId413" ref="D317"/>
    <hyperlink r:id="rId414" ref="D318"/>
    <hyperlink r:id="rId415" ref="D319"/>
    <hyperlink r:id="rId416" ref="D320"/>
    <hyperlink r:id="rId417" ref="D321"/>
    <hyperlink r:id="rId418" ref="D322"/>
    <hyperlink r:id="rId419" ref="D323"/>
    <hyperlink r:id="rId420" ref="D324"/>
    <hyperlink r:id="rId421" ref="D325"/>
    <hyperlink r:id="rId422" ref="D326"/>
    <hyperlink r:id="rId423" ref="D327"/>
    <hyperlink r:id="rId424" ref="D328"/>
    <hyperlink r:id="rId425" ref="D329"/>
    <hyperlink r:id="rId426" ref="D330"/>
    <hyperlink r:id="rId427" ref="D331"/>
    <hyperlink r:id="rId428" ref="D332"/>
    <hyperlink r:id="rId429" ref="D333"/>
    <hyperlink r:id="rId430" ref="D334"/>
    <hyperlink r:id="rId431" ref="D335"/>
    <hyperlink r:id="rId432" ref="D336"/>
    <hyperlink r:id="rId433" ref="D337"/>
    <hyperlink r:id="rId434" ref="D338"/>
    <hyperlink r:id="rId435" ref="D339"/>
    <hyperlink r:id="rId436" ref="D340"/>
    <hyperlink r:id="rId437" ref="D341"/>
    <hyperlink r:id="rId438" ref="D342"/>
    <hyperlink r:id="rId439" ref="D343"/>
    <hyperlink r:id="rId440" ref="D344"/>
    <hyperlink r:id="rId441" ref="D345"/>
    <hyperlink r:id="rId442" ref="D346"/>
    <hyperlink r:id="rId443" ref="D347"/>
    <hyperlink r:id="rId444" ref="D348"/>
    <hyperlink r:id="rId445" ref="D349"/>
    <hyperlink r:id="rId446" ref="D350"/>
    <hyperlink r:id="rId447" ref="D351"/>
    <hyperlink r:id="rId448" ref="D352"/>
    <hyperlink r:id="rId449" ref="D353"/>
    <hyperlink r:id="rId450" ref="D354"/>
    <hyperlink r:id="rId451" ref="D355"/>
    <hyperlink r:id="rId452" ref="D356"/>
    <hyperlink r:id="rId453" ref="D357"/>
    <hyperlink r:id="rId454" ref="D358"/>
    <hyperlink r:id="rId455" ref="D359"/>
    <hyperlink r:id="rId456" ref="D360"/>
    <hyperlink r:id="rId457" ref="D361"/>
    <hyperlink r:id="rId458" ref="D362"/>
    <hyperlink r:id="rId459" ref="D363"/>
    <hyperlink r:id="rId460" ref="D364"/>
    <hyperlink r:id="rId461" ref="D365"/>
    <hyperlink r:id="rId462" ref="D366"/>
    <hyperlink r:id="rId463" ref="D367"/>
    <hyperlink r:id="rId464" ref="D368"/>
    <hyperlink r:id="rId465" ref="D369"/>
    <hyperlink r:id="rId466" ref="O369"/>
    <hyperlink r:id="rId467" ref="D370"/>
    <hyperlink r:id="rId468" ref="O370"/>
    <hyperlink r:id="rId469" ref="D371"/>
    <hyperlink r:id="rId470" ref="O371"/>
    <hyperlink r:id="rId471" ref="D372"/>
    <hyperlink r:id="rId472" ref="O372"/>
    <hyperlink r:id="rId473" ref="D373"/>
    <hyperlink r:id="rId474" ref="O373"/>
    <hyperlink r:id="rId475" ref="D374"/>
    <hyperlink r:id="rId476" ref="O374"/>
    <hyperlink r:id="rId477" ref="D375"/>
    <hyperlink r:id="rId478" ref="D376"/>
    <hyperlink r:id="rId479" ref="O376"/>
    <hyperlink r:id="rId480" ref="D377"/>
    <hyperlink r:id="rId481" ref="O377"/>
    <hyperlink r:id="rId482" ref="D378"/>
    <hyperlink r:id="rId483" ref="O378"/>
    <hyperlink r:id="rId484" ref="D379"/>
    <hyperlink r:id="rId485" ref="D380"/>
    <hyperlink r:id="rId486" ref="D381"/>
    <hyperlink r:id="rId487" ref="D382"/>
  </hyperlinks>
  <printOptions/>
  <pageMargins bottom="1.0" footer="0.0" header="0.0" left="0.75" right="0.75" top="1.0"/>
  <pageSetup orientation="landscape"/>
  <drawing r:id="rId48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3" width="34.0"/>
    <col customWidth="1" min="4" max="4" width="46.0"/>
    <col customWidth="1" min="5" max="5" width="11.0"/>
    <col customWidth="1" min="6" max="6" width="17.0"/>
    <col customWidth="1" min="7" max="7" width="24.0"/>
    <col customWidth="1" min="8" max="8" width="22.0"/>
    <col customWidth="1" min="9" max="9" width="32.0"/>
    <col customWidth="1" min="10" max="10" width="12.0"/>
    <col customWidth="1" min="11" max="11" width="14.0"/>
    <col customWidth="1" min="12" max="12" width="15.0"/>
    <col customWidth="1" min="13" max="13" width="34.0"/>
    <col customWidth="1" min="14" max="14" width="22.0"/>
    <col customWidth="1" min="15" max="15" width="16.0"/>
    <col customWidth="1" min="16" max="16" width="18.0"/>
    <col customWidth="1" min="17" max="17" width="12.0"/>
    <col customWidth="1" min="18" max="18" width="11.0"/>
    <col customWidth="1" min="19" max="19" width="12.0"/>
    <col customWidth="1" min="20" max="22" width="10.0"/>
    <col customWidth="1" min="23" max="23" width="12.0"/>
    <col customWidth="1" min="24" max="25" width="10.0"/>
    <col customWidth="1" min="26" max="26" width="12.0"/>
  </cols>
  <sheetData>
    <row r="1" ht="33.75" customHeight="1">
      <c r="A1" s="23" t="s">
        <v>335</v>
      </c>
      <c r="B1" s="23" t="s">
        <v>336</v>
      </c>
      <c r="C1" s="23" t="s">
        <v>339</v>
      </c>
      <c r="D1" s="23" t="s">
        <v>340</v>
      </c>
      <c r="E1" s="23" t="s">
        <v>308</v>
      </c>
      <c r="F1" s="23" t="s">
        <v>341</v>
      </c>
      <c r="G1" s="23" t="s">
        <v>342</v>
      </c>
      <c r="H1" s="23" t="s">
        <v>343</v>
      </c>
      <c r="I1" s="23" t="s">
        <v>344</v>
      </c>
      <c r="J1" s="23" t="s">
        <v>345</v>
      </c>
      <c r="K1" s="23" t="s">
        <v>346</v>
      </c>
      <c r="L1" s="23" t="s">
        <v>347</v>
      </c>
      <c r="M1" s="23" t="s">
        <v>348</v>
      </c>
      <c r="N1" s="23" t="s">
        <v>349</v>
      </c>
      <c r="O1" s="23" t="s">
        <v>350</v>
      </c>
      <c r="P1" s="23" t="s">
        <v>352</v>
      </c>
      <c r="Q1" s="23" t="s">
        <v>353</v>
      </c>
      <c r="R1" s="23" t="s">
        <v>354</v>
      </c>
      <c r="S1" s="23" t="s">
        <v>355</v>
      </c>
      <c r="T1" s="23" t="s">
        <v>356</v>
      </c>
      <c r="U1" s="23" t="s">
        <v>357</v>
      </c>
      <c r="V1" s="23" t="s">
        <v>358</v>
      </c>
      <c r="W1" s="23" t="s">
        <v>17</v>
      </c>
      <c r="X1" s="23" t="s">
        <v>359</v>
      </c>
      <c r="Y1" s="23" t="s">
        <v>360</v>
      </c>
      <c r="Z1" s="23" t="s">
        <v>18</v>
      </c>
    </row>
    <row r="2" ht="30.0" customHeight="1">
      <c r="A2" s="60" t="s">
        <v>363</v>
      </c>
      <c r="B2" s="60" t="s">
        <v>365</v>
      </c>
      <c r="C2" s="60" t="s">
        <v>365</v>
      </c>
      <c r="D2" s="60" t="s">
        <v>365</v>
      </c>
      <c r="E2" s="60" t="s">
        <v>363</v>
      </c>
      <c r="F2" s="60" t="s">
        <v>363</v>
      </c>
      <c r="G2" s="60" t="s">
        <v>363</v>
      </c>
      <c r="H2" s="60" t="s">
        <v>363</v>
      </c>
      <c r="I2" s="60" t="s">
        <v>363</v>
      </c>
      <c r="J2" s="60" t="s">
        <v>363</v>
      </c>
      <c r="K2" s="60" t="s">
        <v>363</v>
      </c>
      <c r="L2" s="60" t="s">
        <v>369</v>
      </c>
      <c r="M2" s="60" t="s">
        <v>370</v>
      </c>
      <c r="N2" s="60" t="s">
        <v>371</v>
      </c>
      <c r="O2" s="60" t="s">
        <v>371</v>
      </c>
      <c r="P2" s="60" t="s">
        <v>371</v>
      </c>
      <c r="Q2" s="60" t="s">
        <v>371</v>
      </c>
      <c r="R2" s="60" t="s">
        <v>375</v>
      </c>
      <c r="S2" s="60" t="s">
        <v>375</v>
      </c>
      <c r="T2" s="60" t="s">
        <v>375</v>
      </c>
      <c r="U2" s="60" t="s">
        <v>376</v>
      </c>
      <c r="V2" s="60" t="s">
        <v>376</v>
      </c>
      <c r="W2" s="60" t="s">
        <v>375</v>
      </c>
      <c r="X2" s="60" t="s">
        <v>376</v>
      </c>
      <c r="Y2" s="60" t="s">
        <v>376</v>
      </c>
      <c r="Z2" s="60" t="s">
        <v>375</v>
      </c>
    </row>
    <row r="3">
      <c r="A3" s="66" t="s">
        <v>380</v>
      </c>
      <c r="B3" s="66" t="s">
        <v>297</v>
      </c>
      <c r="C3" s="66" t="s">
        <v>298</v>
      </c>
      <c r="D3" s="66" t="s">
        <v>299</v>
      </c>
      <c r="E3" s="66" t="s">
        <v>382</v>
      </c>
      <c r="F3" s="66" t="s">
        <v>384</v>
      </c>
      <c r="G3" s="66" t="s">
        <v>385</v>
      </c>
      <c r="H3" s="66" t="s">
        <v>387</v>
      </c>
      <c r="I3" s="66" t="s">
        <v>388</v>
      </c>
      <c r="J3" s="66" t="s">
        <v>389</v>
      </c>
      <c r="K3" s="66" t="s">
        <v>390</v>
      </c>
      <c r="L3" s="66" t="s">
        <v>393</v>
      </c>
      <c r="M3" s="67" t="s">
        <v>394</v>
      </c>
      <c r="N3" s="66" t="s">
        <v>395</v>
      </c>
      <c r="O3" s="66" t="s">
        <v>396</v>
      </c>
      <c r="P3" s="66" t="s">
        <v>397</v>
      </c>
      <c r="Q3" s="66" t="s">
        <v>398</v>
      </c>
      <c r="R3" s="66" t="s">
        <v>399</v>
      </c>
      <c r="S3" s="66" t="s">
        <v>399</v>
      </c>
      <c r="T3" s="66" t="s">
        <v>399</v>
      </c>
      <c r="U3" s="66" t="s">
        <v>399</v>
      </c>
      <c r="V3" s="66" t="s">
        <v>399</v>
      </c>
      <c r="W3" s="66" t="s">
        <v>399</v>
      </c>
      <c r="X3" s="66" t="s">
        <v>399</v>
      </c>
      <c r="Y3" s="66" t="s">
        <v>399</v>
      </c>
      <c r="Z3" s="66" t="s">
        <v>399</v>
      </c>
    </row>
    <row r="4">
      <c r="A4" s="10" t="s">
        <v>403</v>
      </c>
      <c r="B4" s="10" t="s">
        <v>404</v>
      </c>
      <c r="C4" s="10" t="s">
        <v>404</v>
      </c>
      <c r="D4" s="10" t="s">
        <v>404</v>
      </c>
      <c r="E4" s="10" t="s">
        <v>405</v>
      </c>
      <c r="F4" s="10" t="s">
        <v>405</v>
      </c>
      <c r="G4" s="10" t="s">
        <v>405</v>
      </c>
      <c r="H4" s="10" t="s">
        <v>405</v>
      </c>
      <c r="I4" s="10" t="s">
        <v>404</v>
      </c>
      <c r="J4" s="10" t="s">
        <v>405</v>
      </c>
      <c r="K4" s="10" t="s">
        <v>405</v>
      </c>
      <c r="L4" s="10" t="s">
        <v>405</v>
      </c>
      <c r="M4" s="10" t="s">
        <v>408</v>
      </c>
      <c r="N4" s="69" t="s">
        <v>404</v>
      </c>
      <c r="O4" s="10" t="s">
        <v>404</v>
      </c>
      <c r="P4" s="10" t="s">
        <v>404</v>
      </c>
      <c r="Q4" s="10" t="s">
        <v>404</v>
      </c>
      <c r="R4" s="15"/>
      <c r="S4" s="13"/>
      <c r="T4" s="13"/>
      <c r="U4" s="70" t="str">
        <f t="shared" ref="U4:U60" si="1">IFERROR(T4/S4,"")</f>
        <v/>
      </c>
      <c r="V4" s="71" t="str">
        <f t="shared" ref="V4:V60" si="2">IFERROR(R4/T4,"")</f>
        <v/>
      </c>
      <c r="W4" s="13"/>
      <c r="X4" s="15" t="str">
        <f t="shared" ref="X4:X60" si="3">IFERROR(R4/W4,"")</f>
        <v/>
      </c>
      <c r="Y4" s="72" t="str">
        <f t="shared" ref="Y4:Y60" si="4">IFERROR(Z4/R4,"")</f>
        <v/>
      </c>
      <c r="Z4" s="15"/>
    </row>
    <row r="5">
      <c r="E5" s="73"/>
      <c r="F5" s="73"/>
      <c r="H5" s="73"/>
      <c r="N5" s="74"/>
      <c r="Q5" s="73"/>
      <c r="R5" s="75"/>
      <c r="S5" s="76"/>
      <c r="T5" s="76"/>
      <c r="U5" s="70" t="str">
        <f t="shared" si="1"/>
        <v/>
      </c>
      <c r="V5" s="71" t="str">
        <f t="shared" si="2"/>
        <v/>
      </c>
      <c r="W5" s="76"/>
      <c r="X5" s="15" t="str">
        <f t="shared" si="3"/>
        <v/>
      </c>
      <c r="Y5" s="72" t="str">
        <f t="shared" si="4"/>
        <v/>
      </c>
      <c r="Z5" s="75"/>
    </row>
    <row r="6">
      <c r="E6" s="73"/>
      <c r="F6" s="73"/>
      <c r="H6" s="73"/>
      <c r="N6" s="74"/>
      <c r="Q6" s="73"/>
      <c r="R6" s="75"/>
      <c r="S6" s="76"/>
      <c r="T6" s="76"/>
      <c r="U6" s="70" t="str">
        <f t="shared" si="1"/>
        <v/>
      </c>
      <c r="V6" s="71" t="str">
        <f t="shared" si="2"/>
        <v/>
      </c>
      <c r="W6" s="76"/>
      <c r="X6" s="15" t="str">
        <f t="shared" si="3"/>
        <v/>
      </c>
      <c r="Y6" s="72" t="str">
        <f t="shared" si="4"/>
        <v/>
      </c>
      <c r="Z6" s="75"/>
    </row>
    <row r="7">
      <c r="E7" s="73"/>
      <c r="F7" s="73"/>
      <c r="H7" s="73"/>
      <c r="N7" s="74"/>
      <c r="Q7" s="73"/>
      <c r="R7" s="75"/>
      <c r="S7" s="76"/>
      <c r="T7" s="76"/>
      <c r="U7" s="70" t="str">
        <f t="shared" si="1"/>
        <v/>
      </c>
      <c r="V7" s="71" t="str">
        <f t="shared" si="2"/>
        <v/>
      </c>
      <c r="W7" s="76"/>
      <c r="X7" s="15" t="str">
        <f t="shared" si="3"/>
        <v/>
      </c>
      <c r="Y7" s="72" t="str">
        <f t="shared" si="4"/>
        <v/>
      </c>
      <c r="Z7" s="75"/>
    </row>
    <row r="8">
      <c r="E8" s="73"/>
      <c r="F8" s="73"/>
      <c r="H8" s="73"/>
      <c r="N8" s="74"/>
      <c r="Q8" s="73"/>
      <c r="R8" s="75"/>
      <c r="S8" s="76"/>
      <c r="T8" s="76"/>
      <c r="U8" s="70" t="str">
        <f t="shared" si="1"/>
        <v/>
      </c>
      <c r="V8" s="71" t="str">
        <f t="shared" si="2"/>
        <v/>
      </c>
      <c r="W8" s="76"/>
      <c r="X8" s="15" t="str">
        <f t="shared" si="3"/>
        <v/>
      </c>
      <c r="Y8" s="72" t="str">
        <f t="shared" si="4"/>
        <v/>
      </c>
      <c r="Z8" s="75"/>
    </row>
    <row r="9">
      <c r="E9" s="73"/>
      <c r="F9" s="73"/>
      <c r="H9" s="73"/>
      <c r="N9" s="74"/>
      <c r="Q9" s="73"/>
      <c r="R9" s="75"/>
      <c r="S9" s="76"/>
      <c r="T9" s="76"/>
      <c r="U9" s="70" t="str">
        <f t="shared" si="1"/>
        <v/>
      </c>
      <c r="V9" s="71" t="str">
        <f t="shared" si="2"/>
        <v/>
      </c>
      <c r="W9" s="76"/>
      <c r="X9" s="15" t="str">
        <f t="shared" si="3"/>
        <v/>
      </c>
      <c r="Y9" s="72" t="str">
        <f t="shared" si="4"/>
        <v/>
      </c>
      <c r="Z9" s="75"/>
    </row>
    <row r="10">
      <c r="E10" s="73"/>
      <c r="F10" s="73"/>
      <c r="H10" s="73"/>
      <c r="N10" s="74"/>
      <c r="Q10" s="73"/>
      <c r="R10" s="75"/>
      <c r="S10" s="76"/>
      <c r="T10" s="76"/>
      <c r="U10" s="70" t="str">
        <f t="shared" si="1"/>
        <v/>
      </c>
      <c r="V10" s="71" t="str">
        <f t="shared" si="2"/>
        <v/>
      </c>
      <c r="W10" s="76"/>
      <c r="X10" s="15" t="str">
        <f t="shared" si="3"/>
        <v/>
      </c>
      <c r="Y10" s="72" t="str">
        <f t="shared" si="4"/>
        <v/>
      </c>
      <c r="Z10" s="75"/>
    </row>
    <row r="11">
      <c r="E11" s="73"/>
      <c r="F11" s="73"/>
      <c r="H11" s="73"/>
      <c r="N11" s="74"/>
      <c r="Q11" s="73"/>
      <c r="R11" s="75"/>
      <c r="S11" s="76"/>
      <c r="T11" s="76"/>
      <c r="U11" s="70" t="str">
        <f t="shared" si="1"/>
        <v/>
      </c>
      <c r="V11" s="71" t="str">
        <f t="shared" si="2"/>
        <v/>
      </c>
      <c r="W11" s="76"/>
      <c r="X11" s="15" t="str">
        <f t="shared" si="3"/>
        <v/>
      </c>
      <c r="Y11" s="72" t="str">
        <f t="shared" si="4"/>
        <v/>
      </c>
      <c r="Z11" s="75"/>
    </row>
    <row r="12">
      <c r="E12" s="73"/>
      <c r="F12" s="73"/>
      <c r="H12" s="73"/>
      <c r="N12" s="74"/>
      <c r="Q12" s="73"/>
      <c r="R12" s="75"/>
      <c r="S12" s="76"/>
      <c r="T12" s="76"/>
      <c r="U12" s="70" t="str">
        <f t="shared" si="1"/>
        <v/>
      </c>
      <c r="V12" s="71" t="str">
        <f t="shared" si="2"/>
        <v/>
      </c>
      <c r="W12" s="76"/>
      <c r="X12" s="15" t="str">
        <f t="shared" si="3"/>
        <v/>
      </c>
      <c r="Y12" s="72" t="str">
        <f t="shared" si="4"/>
        <v/>
      </c>
      <c r="Z12" s="75"/>
    </row>
    <row r="13">
      <c r="E13" s="73"/>
      <c r="F13" s="73"/>
      <c r="H13" s="73"/>
      <c r="N13" s="74"/>
      <c r="Q13" s="73"/>
      <c r="R13" s="75"/>
      <c r="S13" s="76"/>
      <c r="T13" s="76"/>
      <c r="U13" s="70" t="str">
        <f t="shared" si="1"/>
        <v/>
      </c>
      <c r="V13" s="71" t="str">
        <f t="shared" si="2"/>
        <v/>
      </c>
      <c r="W13" s="76"/>
      <c r="X13" s="15" t="str">
        <f t="shared" si="3"/>
        <v/>
      </c>
      <c r="Y13" s="72" t="str">
        <f t="shared" si="4"/>
        <v/>
      </c>
      <c r="Z13" s="75"/>
    </row>
    <row r="14">
      <c r="E14" s="73"/>
      <c r="F14" s="73"/>
      <c r="H14" s="73"/>
      <c r="N14" s="74"/>
      <c r="Q14" s="73"/>
      <c r="R14" s="75"/>
      <c r="S14" s="76"/>
      <c r="T14" s="76"/>
      <c r="U14" s="70" t="str">
        <f t="shared" si="1"/>
        <v/>
      </c>
      <c r="V14" s="71" t="str">
        <f t="shared" si="2"/>
        <v/>
      </c>
      <c r="W14" s="76"/>
      <c r="X14" s="15" t="str">
        <f t="shared" si="3"/>
        <v/>
      </c>
      <c r="Y14" s="72" t="str">
        <f t="shared" si="4"/>
        <v/>
      </c>
      <c r="Z14" s="75"/>
    </row>
    <row r="15">
      <c r="E15" s="73"/>
      <c r="F15" s="73"/>
      <c r="H15" s="73"/>
      <c r="N15" s="74"/>
      <c r="Q15" s="73"/>
      <c r="R15" s="75"/>
      <c r="S15" s="76"/>
      <c r="T15" s="76"/>
      <c r="U15" s="70" t="str">
        <f t="shared" si="1"/>
        <v/>
      </c>
      <c r="V15" s="71" t="str">
        <f t="shared" si="2"/>
        <v/>
      </c>
      <c r="W15" s="76"/>
      <c r="X15" s="15" t="str">
        <f t="shared" si="3"/>
        <v/>
      </c>
      <c r="Y15" s="72" t="str">
        <f t="shared" si="4"/>
        <v/>
      </c>
      <c r="Z15" s="75"/>
    </row>
    <row r="16">
      <c r="E16" s="73"/>
      <c r="F16" s="73"/>
      <c r="H16" s="73"/>
      <c r="N16" s="74"/>
      <c r="Q16" s="73"/>
      <c r="R16" s="75"/>
      <c r="S16" s="76"/>
      <c r="T16" s="76"/>
      <c r="U16" s="70" t="str">
        <f t="shared" si="1"/>
        <v/>
      </c>
      <c r="V16" s="71" t="str">
        <f t="shared" si="2"/>
        <v/>
      </c>
      <c r="W16" s="76"/>
      <c r="X16" s="15" t="str">
        <f t="shared" si="3"/>
        <v/>
      </c>
      <c r="Y16" s="72" t="str">
        <f t="shared" si="4"/>
        <v/>
      </c>
      <c r="Z16" s="75"/>
    </row>
    <row r="17">
      <c r="E17" s="73"/>
      <c r="F17" s="73"/>
      <c r="H17" s="73"/>
      <c r="N17" s="74"/>
      <c r="Q17" s="73"/>
      <c r="R17" s="75"/>
      <c r="S17" s="76"/>
      <c r="T17" s="76"/>
      <c r="U17" s="70" t="str">
        <f t="shared" si="1"/>
        <v/>
      </c>
      <c r="V17" s="71" t="str">
        <f t="shared" si="2"/>
        <v/>
      </c>
      <c r="W17" s="76"/>
      <c r="X17" s="15" t="str">
        <f t="shared" si="3"/>
        <v/>
      </c>
      <c r="Y17" s="72" t="str">
        <f t="shared" si="4"/>
        <v/>
      </c>
      <c r="Z17" s="75"/>
    </row>
    <row r="18">
      <c r="E18" s="73"/>
      <c r="F18" s="73"/>
      <c r="H18" s="73"/>
      <c r="N18" s="74"/>
      <c r="Q18" s="73"/>
      <c r="R18" s="75"/>
      <c r="S18" s="76"/>
      <c r="T18" s="76"/>
      <c r="U18" s="70" t="str">
        <f t="shared" si="1"/>
        <v/>
      </c>
      <c r="V18" s="71" t="str">
        <f t="shared" si="2"/>
        <v/>
      </c>
      <c r="W18" s="76"/>
      <c r="X18" s="15" t="str">
        <f t="shared" si="3"/>
        <v/>
      </c>
      <c r="Y18" s="72" t="str">
        <f t="shared" si="4"/>
        <v/>
      </c>
      <c r="Z18" s="75"/>
    </row>
    <row r="19">
      <c r="E19" s="73"/>
      <c r="F19" s="73"/>
      <c r="H19" s="73"/>
      <c r="N19" s="74"/>
      <c r="Q19" s="73"/>
      <c r="R19" s="75"/>
      <c r="S19" s="76"/>
      <c r="T19" s="76"/>
      <c r="U19" s="70" t="str">
        <f t="shared" si="1"/>
        <v/>
      </c>
      <c r="V19" s="71" t="str">
        <f t="shared" si="2"/>
        <v/>
      </c>
      <c r="W19" s="76"/>
      <c r="X19" s="15" t="str">
        <f t="shared" si="3"/>
        <v/>
      </c>
      <c r="Y19" s="72" t="str">
        <f t="shared" si="4"/>
        <v/>
      </c>
      <c r="Z19" s="75"/>
    </row>
    <row r="20">
      <c r="E20" s="73"/>
      <c r="F20" s="73"/>
      <c r="H20" s="73"/>
      <c r="N20" s="74"/>
      <c r="Q20" s="73"/>
      <c r="R20" s="75"/>
      <c r="S20" s="76"/>
      <c r="T20" s="76"/>
      <c r="U20" s="70" t="str">
        <f t="shared" si="1"/>
        <v/>
      </c>
      <c r="V20" s="71" t="str">
        <f t="shared" si="2"/>
        <v/>
      </c>
      <c r="W20" s="76"/>
      <c r="X20" s="15" t="str">
        <f t="shared" si="3"/>
        <v/>
      </c>
      <c r="Y20" s="72" t="str">
        <f t="shared" si="4"/>
        <v/>
      </c>
      <c r="Z20" s="75"/>
    </row>
    <row r="21" ht="15.75" customHeight="1">
      <c r="E21" s="73"/>
      <c r="F21" s="73"/>
      <c r="H21" s="73"/>
      <c r="N21" s="74"/>
      <c r="Q21" s="73"/>
      <c r="R21" s="75"/>
      <c r="S21" s="76"/>
      <c r="T21" s="76"/>
      <c r="U21" s="70" t="str">
        <f t="shared" si="1"/>
        <v/>
      </c>
      <c r="V21" s="71" t="str">
        <f t="shared" si="2"/>
        <v/>
      </c>
      <c r="W21" s="76"/>
      <c r="X21" s="15" t="str">
        <f t="shared" si="3"/>
        <v/>
      </c>
      <c r="Y21" s="72" t="str">
        <f t="shared" si="4"/>
        <v/>
      </c>
      <c r="Z21" s="75"/>
    </row>
    <row r="22" ht="15.75" customHeight="1">
      <c r="E22" s="73"/>
      <c r="F22" s="73"/>
      <c r="H22" s="73"/>
      <c r="N22" s="74"/>
      <c r="Q22" s="73"/>
      <c r="R22" s="75"/>
      <c r="S22" s="76"/>
      <c r="T22" s="76"/>
      <c r="U22" s="70" t="str">
        <f t="shared" si="1"/>
        <v/>
      </c>
      <c r="V22" s="71" t="str">
        <f t="shared" si="2"/>
        <v/>
      </c>
      <c r="W22" s="76"/>
      <c r="X22" s="15" t="str">
        <f t="shared" si="3"/>
        <v/>
      </c>
      <c r="Y22" s="72" t="str">
        <f t="shared" si="4"/>
        <v/>
      </c>
      <c r="Z22" s="75"/>
    </row>
    <row r="23" ht="15.75" customHeight="1">
      <c r="E23" s="73"/>
      <c r="F23" s="73"/>
      <c r="H23" s="73"/>
      <c r="N23" s="74"/>
      <c r="Q23" s="73"/>
      <c r="R23" s="75"/>
      <c r="S23" s="76"/>
      <c r="T23" s="76"/>
      <c r="U23" s="70" t="str">
        <f t="shared" si="1"/>
        <v/>
      </c>
      <c r="V23" s="71" t="str">
        <f t="shared" si="2"/>
        <v/>
      </c>
      <c r="W23" s="76"/>
      <c r="X23" s="15" t="str">
        <f t="shared" si="3"/>
        <v/>
      </c>
      <c r="Y23" s="72" t="str">
        <f t="shared" si="4"/>
        <v/>
      </c>
      <c r="Z23" s="75"/>
    </row>
    <row r="24" ht="15.75" customHeight="1">
      <c r="E24" s="73"/>
      <c r="F24" s="73"/>
      <c r="H24" s="73"/>
      <c r="N24" s="74"/>
      <c r="Q24" s="73"/>
      <c r="R24" s="75"/>
      <c r="S24" s="76"/>
      <c r="T24" s="76"/>
      <c r="U24" s="70" t="str">
        <f t="shared" si="1"/>
        <v/>
      </c>
      <c r="V24" s="71" t="str">
        <f t="shared" si="2"/>
        <v/>
      </c>
      <c r="W24" s="76"/>
      <c r="X24" s="15" t="str">
        <f t="shared" si="3"/>
        <v/>
      </c>
      <c r="Y24" s="72" t="str">
        <f t="shared" si="4"/>
        <v/>
      </c>
      <c r="Z24" s="75"/>
    </row>
    <row r="25" ht="15.75" customHeight="1">
      <c r="E25" s="73"/>
      <c r="F25" s="73"/>
      <c r="H25" s="73"/>
      <c r="N25" s="74"/>
      <c r="Q25" s="73"/>
      <c r="R25" s="75"/>
      <c r="S25" s="76"/>
      <c r="T25" s="76"/>
      <c r="U25" s="70" t="str">
        <f t="shared" si="1"/>
        <v/>
      </c>
      <c r="V25" s="71" t="str">
        <f t="shared" si="2"/>
        <v/>
      </c>
      <c r="W25" s="76"/>
      <c r="X25" s="15" t="str">
        <f t="shared" si="3"/>
        <v/>
      </c>
      <c r="Y25" s="72" t="str">
        <f t="shared" si="4"/>
        <v/>
      </c>
      <c r="Z25" s="75"/>
    </row>
    <row r="26" ht="15.75" customHeight="1">
      <c r="E26" s="73"/>
      <c r="F26" s="73"/>
      <c r="H26" s="73"/>
      <c r="N26" s="74"/>
      <c r="Q26" s="73"/>
      <c r="R26" s="75"/>
      <c r="S26" s="76"/>
      <c r="T26" s="76"/>
      <c r="U26" s="70" t="str">
        <f t="shared" si="1"/>
        <v/>
      </c>
      <c r="V26" s="71" t="str">
        <f t="shared" si="2"/>
        <v/>
      </c>
      <c r="W26" s="76"/>
      <c r="X26" s="15" t="str">
        <f t="shared" si="3"/>
        <v/>
      </c>
      <c r="Y26" s="72" t="str">
        <f t="shared" si="4"/>
        <v/>
      </c>
      <c r="Z26" s="75"/>
    </row>
    <row r="27" ht="15.75" customHeight="1">
      <c r="E27" s="73"/>
      <c r="F27" s="73"/>
      <c r="H27" s="73"/>
      <c r="N27" s="74"/>
      <c r="Q27" s="73"/>
      <c r="R27" s="75"/>
      <c r="S27" s="76"/>
      <c r="T27" s="76"/>
      <c r="U27" s="70" t="str">
        <f t="shared" si="1"/>
        <v/>
      </c>
      <c r="V27" s="71" t="str">
        <f t="shared" si="2"/>
        <v/>
      </c>
      <c r="W27" s="76"/>
      <c r="X27" s="15" t="str">
        <f t="shared" si="3"/>
        <v/>
      </c>
      <c r="Y27" s="72" t="str">
        <f t="shared" si="4"/>
        <v/>
      </c>
      <c r="Z27" s="75"/>
    </row>
    <row r="28" ht="15.75" customHeight="1">
      <c r="E28" s="73"/>
      <c r="F28" s="73"/>
      <c r="H28" s="73"/>
      <c r="N28" s="74"/>
      <c r="Q28" s="73"/>
      <c r="R28" s="75"/>
      <c r="S28" s="76"/>
      <c r="T28" s="76"/>
      <c r="U28" s="70" t="str">
        <f t="shared" si="1"/>
        <v/>
      </c>
      <c r="V28" s="71" t="str">
        <f t="shared" si="2"/>
        <v/>
      </c>
      <c r="W28" s="76"/>
      <c r="X28" s="15" t="str">
        <f t="shared" si="3"/>
        <v/>
      </c>
      <c r="Y28" s="72" t="str">
        <f t="shared" si="4"/>
        <v/>
      </c>
      <c r="Z28" s="75"/>
    </row>
    <row r="29" ht="15.75" customHeight="1">
      <c r="E29" s="73"/>
      <c r="F29" s="73"/>
      <c r="H29" s="73"/>
      <c r="N29" s="74"/>
      <c r="Q29" s="73"/>
      <c r="R29" s="75"/>
      <c r="S29" s="76"/>
      <c r="T29" s="76"/>
      <c r="U29" s="70" t="str">
        <f t="shared" si="1"/>
        <v/>
      </c>
      <c r="V29" s="71" t="str">
        <f t="shared" si="2"/>
        <v/>
      </c>
      <c r="W29" s="76"/>
      <c r="X29" s="15" t="str">
        <f t="shared" si="3"/>
        <v/>
      </c>
      <c r="Y29" s="72" t="str">
        <f t="shared" si="4"/>
        <v/>
      </c>
      <c r="Z29" s="75"/>
    </row>
    <row r="30" ht="15.75" customHeight="1">
      <c r="E30" s="73"/>
      <c r="F30" s="73"/>
      <c r="H30" s="73"/>
      <c r="N30" s="74"/>
      <c r="Q30" s="73"/>
      <c r="R30" s="75"/>
      <c r="S30" s="76"/>
      <c r="T30" s="76"/>
      <c r="U30" s="70" t="str">
        <f t="shared" si="1"/>
        <v/>
      </c>
      <c r="V30" s="71" t="str">
        <f t="shared" si="2"/>
        <v/>
      </c>
      <c r="W30" s="76"/>
      <c r="X30" s="15" t="str">
        <f t="shared" si="3"/>
        <v/>
      </c>
      <c r="Y30" s="72" t="str">
        <f t="shared" si="4"/>
        <v/>
      </c>
      <c r="Z30" s="75"/>
    </row>
    <row r="31" ht="15.75" customHeight="1">
      <c r="E31" s="73"/>
      <c r="F31" s="73"/>
      <c r="H31" s="73"/>
      <c r="N31" s="74"/>
      <c r="Q31" s="73"/>
      <c r="R31" s="75"/>
      <c r="S31" s="76"/>
      <c r="T31" s="76"/>
      <c r="U31" s="70" t="str">
        <f t="shared" si="1"/>
        <v/>
      </c>
      <c r="V31" s="71" t="str">
        <f t="shared" si="2"/>
        <v/>
      </c>
      <c r="W31" s="76"/>
      <c r="X31" s="15" t="str">
        <f t="shared" si="3"/>
        <v/>
      </c>
      <c r="Y31" s="72" t="str">
        <f t="shared" si="4"/>
        <v/>
      </c>
      <c r="Z31" s="75"/>
    </row>
    <row r="32" ht="15.75" customHeight="1">
      <c r="E32" s="73"/>
      <c r="F32" s="73"/>
      <c r="H32" s="73"/>
      <c r="N32" s="74"/>
      <c r="Q32" s="73"/>
      <c r="R32" s="75"/>
      <c r="S32" s="76"/>
      <c r="T32" s="76"/>
      <c r="U32" s="70" t="str">
        <f t="shared" si="1"/>
        <v/>
      </c>
      <c r="V32" s="71" t="str">
        <f t="shared" si="2"/>
        <v/>
      </c>
      <c r="W32" s="76"/>
      <c r="X32" s="15" t="str">
        <f t="shared" si="3"/>
        <v/>
      </c>
      <c r="Y32" s="72" t="str">
        <f t="shared" si="4"/>
        <v/>
      </c>
      <c r="Z32" s="75"/>
    </row>
    <row r="33" ht="15.75" customHeight="1">
      <c r="E33" s="73"/>
      <c r="F33" s="73"/>
      <c r="H33" s="73"/>
      <c r="N33" s="74"/>
      <c r="Q33" s="73"/>
      <c r="R33" s="75"/>
      <c r="S33" s="76"/>
      <c r="T33" s="76"/>
      <c r="U33" s="70" t="str">
        <f t="shared" si="1"/>
        <v/>
      </c>
      <c r="V33" s="71" t="str">
        <f t="shared" si="2"/>
        <v/>
      </c>
      <c r="W33" s="76"/>
      <c r="X33" s="15" t="str">
        <f t="shared" si="3"/>
        <v/>
      </c>
      <c r="Y33" s="72" t="str">
        <f t="shared" si="4"/>
        <v/>
      </c>
      <c r="Z33" s="75"/>
    </row>
    <row r="34" ht="15.75" customHeight="1">
      <c r="E34" s="73"/>
      <c r="F34" s="73"/>
      <c r="H34" s="73"/>
      <c r="N34" s="74"/>
      <c r="Q34" s="73"/>
      <c r="R34" s="75"/>
      <c r="S34" s="76"/>
      <c r="T34" s="76"/>
      <c r="U34" s="70" t="str">
        <f t="shared" si="1"/>
        <v/>
      </c>
      <c r="V34" s="71" t="str">
        <f t="shared" si="2"/>
        <v/>
      </c>
      <c r="W34" s="76"/>
      <c r="X34" s="15" t="str">
        <f t="shared" si="3"/>
        <v/>
      </c>
      <c r="Y34" s="72" t="str">
        <f t="shared" si="4"/>
        <v/>
      </c>
      <c r="Z34" s="75"/>
    </row>
    <row r="35" ht="15.75" customHeight="1">
      <c r="E35" s="73"/>
      <c r="F35" s="73"/>
      <c r="H35" s="73"/>
      <c r="N35" s="74"/>
      <c r="Q35" s="73"/>
      <c r="R35" s="75"/>
      <c r="S35" s="76"/>
      <c r="T35" s="76"/>
      <c r="U35" s="70" t="str">
        <f t="shared" si="1"/>
        <v/>
      </c>
      <c r="V35" s="71" t="str">
        <f t="shared" si="2"/>
        <v/>
      </c>
      <c r="W35" s="76"/>
      <c r="X35" s="15" t="str">
        <f t="shared" si="3"/>
        <v/>
      </c>
      <c r="Y35" s="72" t="str">
        <f t="shared" si="4"/>
        <v/>
      </c>
      <c r="Z35" s="75"/>
    </row>
    <row r="36" ht="15.75" customHeight="1">
      <c r="E36" s="73"/>
      <c r="F36" s="73"/>
      <c r="H36" s="73"/>
      <c r="N36" s="74"/>
      <c r="Q36" s="73"/>
      <c r="R36" s="75"/>
      <c r="S36" s="76"/>
      <c r="T36" s="76"/>
      <c r="U36" s="70" t="str">
        <f t="shared" si="1"/>
        <v/>
      </c>
      <c r="V36" s="71" t="str">
        <f t="shared" si="2"/>
        <v/>
      </c>
      <c r="W36" s="76"/>
      <c r="X36" s="15" t="str">
        <f t="shared" si="3"/>
        <v/>
      </c>
      <c r="Y36" s="72" t="str">
        <f t="shared" si="4"/>
        <v/>
      </c>
      <c r="Z36" s="75"/>
    </row>
    <row r="37" ht="15.75" customHeight="1">
      <c r="E37" s="73"/>
      <c r="F37" s="73"/>
      <c r="H37" s="73"/>
      <c r="N37" s="74"/>
      <c r="Q37" s="73"/>
      <c r="R37" s="75"/>
      <c r="S37" s="76"/>
      <c r="T37" s="76"/>
      <c r="U37" s="70" t="str">
        <f t="shared" si="1"/>
        <v/>
      </c>
      <c r="V37" s="71" t="str">
        <f t="shared" si="2"/>
        <v/>
      </c>
      <c r="W37" s="76"/>
      <c r="X37" s="15" t="str">
        <f t="shared" si="3"/>
        <v/>
      </c>
      <c r="Y37" s="72" t="str">
        <f t="shared" si="4"/>
        <v/>
      </c>
      <c r="Z37" s="75"/>
    </row>
    <row r="38" ht="15.75" customHeight="1">
      <c r="E38" s="73"/>
      <c r="F38" s="73"/>
      <c r="H38" s="73"/>
      <c r="N38" s="74"/>
      <c r="Q38" s="73"/>
      <c r="R38" s="75"/>
      <c r="S38" s="76"/>
      <c r="T38" s="76"/>
      <c r="U38" s="70" t="str">
        <f t="shared" si="1"/>
        <v/>
      </c>
      <c r="V38" s="71" t="str">
        <f t="shared" si="2"/>
        <v/>
      </c>
      <c r="W38" s="76"/>
      <c r="X38" s="15" t="str">
        <f t="shared" si="3"/>
        <v/>
      </c>
      <c r="Y38" s="72" t="str">
        <f t="shared" si="4"/>
        <v/>
      </c>
      <c r="Z38" s="75"/>
    </row>
    <row r="39" ht="15.75" customHeight="1">
      <c r="E39" s="73"/>
      <c r="F39" s="73"/>
      <c r="H39" s="73"/>
      <c r="N39" s="74"/>
      <c r="Q39" s="73"/>
      <c r="R39" s="75"/>
      <c r="S39" s="76"/>
      <c r="T39" s="76"/>
      <c r="U39" s="70" t="str">
        <f t="shared" si="1"/>
        <v/>
      </c>
      <c r="V39" s="71" t="str">
        <f t="shared" si="2"/>
        <v/>
      </c>
      <c r="W39" s="76"/>
      <c r="X39" s="15" t="str">
        <f t="shared" si="3"/>
        <v/>
      </c>
      <c r="Y39" s="72" t="str">
        <f t="shared" si="4"/>
        <v/>
      </c>
      <c r="Z39" s="75"/>
    </row>
    <row r="40" ht="15.75" customHeight="1">
      <c r="E40" s="73"/>
      <c r="F40" s="73"/>
      <c r="H40" s="73"/>
      <c r="N40" s="74"/>
      <c r="Q40" s="73"/>
      <c r="R40" s="75"/>
      <c r="S40" s="76"/>
      <c r="T40" s="76"/>
      <c r="U40" s="70" t="str">
        <f t="shared" si="1"/>
        <v/>
      </c>
      <c r="V40" s="71" t="str">
        <f t="shared" si="2"/>
        <v/>
      </c>
      <c r="W40" s="76"/>
      <c r="X40" s="15" t="str">
        <f t="shared" si="3"/>
        <v/>
      </c>
      <c r="Y40" s="72" t="str">
        <f t="shared" si="4"/>
        <v/>
      </c>
      <c r="Z40" s="75"/>
    </row>
    <row r="41" ht="15.75" customHeight="1">
      <c r="E41" s="73"/>
      <c r="F41" s="73"/>
      <c r="H41" s="73"/>
      <c r="N41" s="74"/>
      <c r="Q41" s="73"/>
      <c r="R41" s="75"/>
      <c r="S41" s="76"/>
      <c r="T41" s="76"/>
      <c r="U41" s="70" t="str">
        <f t="shared" si="1"/>
        <v/>
      </c>
      <c r="V41" s="71" t="str">
        <f t="shared" si="2"/>
        <v/>
      </c>
      <c r="W41" s="76"/>
      <c r="X41" s="15" t="str">
        <f t="shared" si="3"/>
        <v/>
      </c>
      <c r="Y41" s="72" t="str">
        <f t="shared" si="4"/>
        <v/>
      </c>
      <c r="Z41" s="75"/>
    </row>
    <row r="42" ht="15.75" customHeight="1">
      <c r="E42" s="73"/>
      <c r="F42" s="73"/>
      <c r="H42" s="73"/>
      <c r="N42" s="74"/>
      <c r="Q42" s="73"/>
      <c r="R42" s="75"/>
      <c r="S42" s="76"/>
      <c r="T42" s="76"/>
      <c r="U42" s="70" t="str">
        <f t="shared" si="1"/>
        <v/>
      </c>
      <c r="V42" s="71" t="str">
        <f t="shared" si="2"/>
        <v/>
      </c>
      <c r="W42" s="76"/>
      <c r="X42" s="15" t="str">
        <f t="shared" si="3"/>
        <v/>
      </c>
      <c r="Y42" s="72" t="str">
        <f t="shared" si="4"/>
        <v/>
      </c>
      <c r="Z42" s="75"/>
    </row>
    <row r="43" ht="15.75" customHeight="1">
      <c r="E43" s="73"/>
      <c r="F43" s="73"/>
      <c r="H43" s="73"/>
      <c r="N43" s="74"/>
      <c r="Q43" s="73"/>
      <c r="R43" s="75"/>
      <c r="S43" s="76"/>
      <c r="T43" s="76"/>
      <c r="U43" s="70" t="str">
        <f t="shared" si="1"/>
        <v/>
      </c>
      <c r="V43" s="71" t="str">
        <f t="shared" si="2"/>
        <v/>
      </c>
      <c r="W43" s="76"/>
      <c r="X43" s="15" t="str">
        <f t="shared" si="3"/>
        <v/>
      </c>
      <c r="Y43" s="72" t="str">
        <f t="shared" si="4"/>
        <v/>
      </c>
      <c r="Z43" s="75"/>
    </row>
    <row r="44" ht="15.75" customHeight="1">
      <c r="E44" s="73"/>
      <c r="F44" s="73"/>
      <c r="H44" s="73"/>
      <c r="N44" s="74"/>
      <c r="Q44" s="73"/>
      <c r="R44" s="75"/>
      <c r="S44" s="76"/>
      <c r="T44" s="76"/>
      <c r="U44" s="70" t="str">
        <f t="shared" si="1"/>
        <v/>
      </c>
      <c r="V44" s="71" t="str">
        <f t="shared" si="2"/>
        <v/>
      </c>
      <c r="W44" s="76"/>
      <c r="X44" s="15" t="str">
        <f t="shared" si="3"/>
        <v/>
      </c>
      <c r="Y44" s="72" t="str">
        <f t="shared" si="4"/>
        <v/>
      </c>
      <c r="Z44" s="75"/>
    </row>
    <row r="45" ht="15.75" customHeight="1">
      <c r="E45" s="73"/>
      <c r="F45" s="73"/>
      <c r="H45" s="73"/>
      <c r="N45" s="74"/>
      <c r="Q45" s="73"/>
      <c r="R45" s="75"/>
      <c r="S45" s="76"/>
      <c r="T45" s="76"/>
      <c r="U45" s="70" t="str">
        <f t="shared" si="1"/>
        <v/>
      </c>
      <c r="V45" s="71" t="str">
        <f t="shared" si="2"/>
        <v/>
      </c>
      <c r="W45" s="76"/>
      <c r="X45" s="15" t="str">
        <f t="shared" si="3"/>
        <v/>
      </c>
      <c r="Y45" s="72" t="str">
        <f t="shared" si="4"/>
        <v/>
      </c>
      <c r="Z45" s="75"/>
    </row>
    <row r="46" ht="15.75" customHeight="1">
      <c r="E46" s="73"/>
      <c r="F46" s="73"/>
      <c r="H46" s="73"/>
      <c r="N46" s="74"/>
      <c r="Q46" s="73"/>
      <c r="R46" s="75"/>
      <c r="S46" s="76"/>
      <c r="T46" s="76"/>
      <c r="U46" s="70" t="str">
        <f t="shared" si="1"/>
        <v/>
      </c>
      <c r="V46" s="71" t="str">
        <f t="shared" si="2"/>
        <v/>
      </c>
      <c r="W46" s="76"/>
      <c r="X46" s="15" t="str">
        <f t="shared" si="3"/>
        <v/>
      </c>
      <c r="Y46" s="72" t="str">
        <f t="shared" si="4"/>
        <v/>
      </c>
      <c r="Z46" s="75"/>
    </row>
    <row r="47" ht="15.75" customHeight="1">
      <c r="E47" s="73"/>
      <c r="F47" s="73"/>
      <c r="H47" s="73"/>
      <c r="N47" s="74"/>
      <c r="Q47" s="73"/>
      <c r="R47" s="75"/>
      <c r="S47" s="76"/>
      <c r="T47" s="76"/>
      <c r="U47" s="70" t="str">
        <f t="shared" si="1"/>
        <v/>
      </c>
      <c r="V47" s="71" t="str">
        <f t="shared" si="2"/>
        <v/>
      </c>
      <c r="W47" s="76"/>
      <c r="X47" s="15" t="str">
        <f t="shared" si="3"/>
        <v/>
      </c>
      <c r="Y47" s="72" t="str">
        <f t="shared" si="4"/>
        <v/>
      </c>
      <c r="Z47" s="75"/>
    </row>
    <row r="48" ht="15.75" customHeight="1">
      <c r="E48" s="73"/>
      <c r="F48" s="73"/>
      <c r="H48" s="73"/>
      <c r="N48" s="74"/>
      <c r="Q48" s="73"/>
      <c r="R48" s="75"/>
      <c r="S48" s="76"/>
      <c r="T48" s="76"/>
      <c r="U48" s="70" t="str">
        <f t="shared" si="1"/>
        <v/>
      </c>
      <c r="V48" s="71" t="str">
        <f t="shared" si="2"/>
        <v/>
      </c>
      <c r="W48" s="76"/>
      <c r="X48" s="15" t="str">
        <f t="shared" si="3"/>
        <v/>
      </c>
      <c r="Y48" s="72" t="str">
        <f t="shared" si="4"/>
        <v/>
      </c>
      <c r="Z48" s="75"/>
    </row>
    <row r="49" ht="15.75" customHeight="1">
      <c r="E49" s="73"/>
      <c r="F49" s="73"/>
      <c r="H49" s="73"/>
      <c r="N49" s="74"/>
      <c r="Q49" s="73"/>
      <c r="R49" s="75"/>
      <c r="S49" s="76"/>
      <c r="T49" s="76"/>
      <c r="U49" s="70" t="str">
        <f t="shared" si="1"/>
        <v/>
      </c>
      <c r="V49" s="71" t="str">
        <f t="shared" si="2"/>
        <v/>
      </c>
      <c r="W49" s="76"/>
      <c r="X49" s="15" t="str">
        <f t="shared" si="3"/>
        <v/>
      </c>
      <c r="Y49" s="72" t="str">
        <f t="shared" si="4"/>
        <v/>
      </c>
      <c r="Z49" s="75"/>
    </row>
    <row r="50" ht="15.75" customHeight="1">
      <c r="E50" s="73"/>
      <c r="F50" s="73"/>
      <c r="H50" s="73"/>
      <c r="N50" s="74"/>
      <c r="Q50" s="73"/>
      <c r="R50" s="75"/>
      <c r="S50" s="76"/>
      <c r="T50" s="76"/>
      <c r="U50" s="70" t="str">
        <f t="shared" si="1"/>
        <v/>
      </c>
      <c r="V50" s="71" t="str">
        <f t="shared" si="2"/>
        <v/>
      </c>
      <c r="W50" s="76"/>
      <c r="X50" s="15" t="str">
        <f t="shared" si="3"/>
        <v/>
      </c>
      <c r="Y50" s="72" t="str">
        <f t="shared" si="4"/>
        <v/>
      </c>
      <c r="Z50" s="75"/>
    </row>
    <row r="51" ht="15.75" customHeight="1">
      <c r="E51" s="73"/>
      <c r="F51" s="73"/>
      <c r="H51" s="73"/>
      <c r="N51" s="74"/>
      <c r="Q51" s="73"/>
      <c r="R51" s="75"/>
      <c r="S51" s="76"/>
      <c r="T51" s="76"/>
      <c r="U51" s="70" t="str">
        <f t="shared" si="1"/>
        <v/>
      </c>
      <c r="V51" s="71" t="str">
        <f t="shared" si="2"/>
        <v/>
      </c>
      <c r="W51" s="76"/>
      <c r="X51" s="15" t="str">
        <f t="shared" si="3"/>
        <v/>
      </c>
      <c r="Y51" s="72" t="str">
        <f t="shared" si="4"/>
        <v/>
      </c>
      <c r="Z51" s="75"/>
    </row>
    <row r="52" ht="15.75" customHeight="1">
      <c r="E52" s="73"/>
      <c r="F52" s="73"/>
      <c r="H52" s="73"/>
      <c r="N52" s="74"/>
      <c r="Q52" s="73"/>
      <c r="R52" s="75"/>
      <c r="S52" s="76"/>
      <c r="T52" s="76"/>
      <c r="U52" s="70" t="str">
        <f t="shared" si="1"/>
        <v/>
      </c>
      <c r="V52" s="71" t="str">
        <f t="shared" si="2"/>
        <v/>
      </c>
      <c r="W52" s="76"/>
      <c r="X52" s="15" t="str">
        <f t="shared" si="3"/>
        <v/>
      </c>
      <c r="Y52" s="72" t="str">
        <f t="shared" si="4"/>
        <v/>
      </c>
      <c r="Z52" s="75"/>
    </row>
    <row r="53" ht="15.75" customHeight="1">
      <c r="E53" s="73"/>
      <c r="F53" s="73"/>
      <c r="H53" s="73"/>
      <c r="N53" s="74"/>
      <c r="Q53" s="73"/>
      <c r="R53" s="75"/>
      <c r="S53" s="76"/>
      <c r="T53" s="76"/>
      <c r="U53" s="70" t="str">
        <f t="shared" si="1"/>
        <v/>
      </c>
      <c r="V53" s="71" t="str">
        <f t="shared" si="2"/>
        <v/>
      </c>
      <c r="W53" s="76"/>
      <c r="X53" s="15" t="str">
        <f t="shared" si="3"/>
        <v/>
      </c>
      <c r="Y53" s="72" t="str">
        <f t="shared" si="4"/>
        <v/>
      </c>
      <c r="Z53" s="75"/>
    </row>
    <row r="54" ht="15.75" customHeight="1">
      <c r="E54" s="73"/>
      <c r="F54" s="73"/>
      <c r="H54" s="73"/>
      <c r="N54" s="74"/>
      <c r="Q54" s="73"/>
      <c r="R54" s="75"/>
      <c r="S54" s="76"/>
      <c r="T54" s="76"/>
      <c r="U54" s="70" t="str">
        <f t="shared" si="1"/>
        <v/>
      </c>
      <c r="V54" s="71" t="str">
        <f t="shared" si="2"/>
        <v/>
      </c>
      <c r="W54" s="76"/>
      <c r="X54" s="15" t="str">
        <f t="shared" si="3"/>
        <v/>
      </c>
      <c r="Y54" s="72" t="str">
        <f t="shared" si="4"/>
        <v/>
      </c>
      <c r="Z54" s="75"/>
    </row>
    <row r="55" ht="15.75" customHeight="1">
      <c r="E55" s="73"/>
      <c r="F55" s="73"/>
      <c r="H55" s="73"/>
      <c r="N55" s="74"/>
      <c r="Q55" s="73"/>
      <c r="R55" s="75"/>
      <c r="S55" s="76"/>
      <c r="T55" s="76"/>
      <c r="U55" s="70" t="str">
        <f t="shared" si="1"/>
        <v/>
      </c>
      <c r="V55" s="71" t="str">
        <f t="shared" si="2"/>
        <v/>
      </c>
      <c r="W55" s="76"/>
      <c r="X55" s="15" t="str">
        <f t="shared" si="3"/>
        <v/>
      </c>
      <c r="Y55" s="72" t="str">
        <f t="shared" si="4"/>
        <v/>
      </c>
      <c r="Z55" s="75"/>
    </row>
    <row r="56" ht="15.75" customHeight="1">
      <c r="E56" s="73"/>
      <c r="F56" s="73"/>
      <c r="H56" s="73"/>
      <c r="N56" s="74"/>
      <c r="Q56" s="73"/>
      <c r="R56" s="75"/>
      <c r="S56" s="76"/>
      <c r="T56" s="76"/>
      <c r="U56" s="70" t="str">
        <f t="shared" si="1"/>
        <v/>
      </c>
      <c r="V56" s="71" t="str">
        <f t="shared" si="2"/>
        <v/>
      </c>
      <c r="W56" s="76"/>
      <c r="X56" s="15" t="str">
        <f t="shared" si="3"/>
        <v/>
      </c>
      <c r="Y56" s="72" t="str">
        <f t="shared" si="4"/>
        <v/>
      </c>
      <c r="Z56" s="75"/>
    </row>
    <row r="57" ht="15.75" customHeight="1">
      <c r="E57" s="73"/>
      <c r="F57" s="73"/>
      <c r="H57" s="73"/>
      <c r="N57" s="74"/>
      <c r="Q57" s="73"/>
      <c r="R57" s="75"/>
      <c r="S57" s="76"/>
      <c r="T57" s="76"/>
      <c r="U57" s="70" t="str">
        <f t="shared" si="1"/>
        <v/>
      </c>
      <c r="V57" s="71" t="str">
        <f t="shared" si="2"/>
        <v/>
      </c>
      <c r="W57" s="76"/>
      <c r="X57" s="15" t="str">
        <f t="shared" si="3"/>
        <v/>
      </c>
      <c r="Y57" s="72" t="str">
        <f t="shared" si="4"/>
        <v/>
      </c>
      <c r="Z57" s="75"/>
    </row>
    <row r="58" ht="15.75" customHeight="1">
      <c r="E58" s="73"/>
      <c r="F58" s="73"/>
      <c r="H58" s="73"/>
      <c r="N58" s="74"/>
      <c r="Q58" s="73"/>
      <c r="R58" s="75"/>
      <c r="S58" s="76"/>
      <c r="T58" s="76"/>
      <c r="U58" s="70" t="str">
        <f t="shared" si="1"/>
        <v/>
      </c>
      <c r="V58" s="71" t="str">
        <f t="shared" si="2"/>
        <v/>
      </c>
      <c r="W58" s="76"/>
      <c r="X58" s="15" t="str">
        <f t="shared" si="3"/>
        <v/>
      </c>
      <c r="Y58" s="72" t="str">
        <f t="shared" si="4"/>
        <v/>
      </c>
      <c r="Z58" s="75"/>
    </row>
    <row r="59" ht="15.75" customHeight="1">
      <c r="E59" s="73"/>
      <c r="F59" s="73"/>
      <c r="H59" s="73"/>
      <c r="N59" s="74"/>
      <c r="Q59" s="73"/>
      <c r="R59" s="75"/>
      <c r="S59" s="76"/>
      <c r="T59" s="76"/>
      <c r="U59" s="70" t="str">
        <f t="shared" si="1"/>
        <v/>
      </c>
      <c r="V59" s="71" t="str">
        <f t="shared" si="2"/>
        <v/>
      </c>
      <c r="W59" s="76"/>
      <c r="X59" s="15" t="str">
        <f t="shared" si="3"/>
        <v/>
      </c>
      <c r="Y59" s="72" t="str">
        <f t="shared" si="4"/>
        <v/>
      </c>
      <c r="Z59" s="75"/>
    </row>
    <row r="60" ht="15.75" customHeight="1">
      <c r="E60" s="73"/>
      <c r="F60" s="73"/>
      <c r="H60" s="73"/>
      <c r="N60" s="74"/>
      <c r="Q60" s="73"/>
      <c r="R60" s="75"/>
      <c r="S60" s="76"/>
      <c r="T60" s="76"/>
      <c r="U60" s="70" t="str">
        <f t="shared" si="1"/>
        <v/>
      </c>
      <c r="V60" s="71" t="str">
        <f t="shared" si="2"/>
        <v/>
      </c>
      <c r="W60" s="76"/>
      <c r="X60" s="15" t="str">
        <f t="shared" si="3"/>
        <v/>
      </c>
      <c r="Y60" s="72" t="str">
        <f t="shared" si="4"/>
        <v/>
      </c>
      <c r="Z60" s="75"/>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60"/>
  <dataValidations>
    <dataValidation type="list" allowBlank="1" sqref="E5:E60">
      <formula1>"Meta,TikTok"</formula1>
    </dataValidation>
    <dataValidation type="list" allowBlank="1" sqref="Q5:Q60">
      <formula1>"Draft,Pending approval,Live,Paused,Complete"</formula1>
    </dataValidation>
    <dataValidation type="list" allowBlank="1" sqref="F5:F60">
      <formula1>"IG Reels,IG Stories,FB Feed,TikTok In-Feed,Advantage+"</formula1>
    </dataValidation>
    <dataValidation type="list" allowBlank="1" sqref="H5:H60">
      <formula1>"Over 40,High Performer,Over 40 / High Performer,Broad/Lookalike"</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3" width="34.0"/>
    <col customWidth="1" min="4" max="4" width="46.0"/>
    <col customWidth="1" min="5" max="5" width="11.0"/>
    <col customWidth="1" min="6" max="6" width="17.0"/>
    <col customWidth="1" min="7" max="7" width="24.0"/>
    <col customWidth="1" min="8" max="8" width="22.0"/>
    <col customWidth="1" min="9" max="9" width="32.0"/>
    <col customWidth="1" min="10" max="10" width="12.0"/>
    <col customWidth="1" min="11" max="11" width="14.0"/>
    <col customWidth="1" min="12" max="12" width="15.0"/>
    <col customWidth="1" min="13" max="13" width="34.0"/>
    <col customWidth="1" min="14" max="14" width="22.0"/>
    <col customWidth="1" min="15" max="15" width="16.0"/>
    <col customWidth="1" min="16" max="16" width="18.0"/>
    <col customWidth="1" min="17" max="17" width="12.0"/>
    <col customWidth="1" min="18" max="18" width="11.0"/>
    <col customWidth="1" min="19" max="19" width="12.0"/>
    <col customWidth="1" min="20" max="22" width="10.0"/>
    <col customWidth="1" min="23" max="23" width="12.0"/>
    <col customWidth="1" min="24" max="25" width="10.0"/>
    <col customWidth="1" min="26" max="26" width="12.0"/>
  </cols>
  <sheetData>
    <row r="1" ht="33.75" customHeight="1">
      <c r="A1" s="23" t="s">
        <v>335</v>
      </c>
      <c r="B1" s="23" t="s">
        <v>336</v>
      </c>
      <c r="C1" s="23" t="s">
        <v>339</v>
      </c>
      <c r="D1" s="23" t="s">
        <v>340</v>
      </c>
      <c r="E1" s="23" t="s">
        <v>308</v>
      </c>
      <c r="F1" s="23" t="s">
        <v>341</v>
      </c>
      <c r="G1" s="23" t="s">
        <v>342</v>
      </c>
      <c r="H1" s="23" t="s">
        <v>343</v>
      </c>
      <c r="I1" s="23" t="s">
        <v>344</v>
      </c>
      <c r="J1" s="23" t="s">
        <v>345</v>
      </c>
      <c r="K1" s="23" t="s">
        <v>346</v>
      </c>
      <c r="L1" s="23" t="s">
        <v>347</v>
      </c>
      <c r="M1" s="23" t="s">
        <v>348</v>
      </c>
      <c r="N1" s="23" t="s">
        <v>349</v>
      </c>
      <c r="O1" s="23" t="s">
        <v>350</v>
      </c>
      <c r="P1" s="23" t="s">
        <v>352</v>
      </c>
      <c r="Q1" s="23" t="s">
        <v>353</v>
      </c>
      <c r="R1" s="23" t="s">
        <v>354</v>
      </c>
      <c r="S1" s="23" t="s">
        <v>355</v>
      </c>
      <c r="T1" s="23" t="s">
        <v>356</v>
      </c>
      <c r="U1" s="23" t="s">
        <v>357</v>
      </c>
      <c r="V1" s="23" t="s">
        <v>358</v>
      </c>
      <c r="W1" s="23" t="s">
        <v>17</v>
      </c>
      <c r="X1" s="23" t="s">
        <v>359</v>
      </c>
      <c r="Y1" s="23" t="s">
        <v>360</v>
      </c>
      <c r="Z1" s="23" t="s">
        <v>18</v>
      </c>
    </row>
    <row r="2" ht="30.0" customHeight="1">
      <c r="A2" s="60" t="s">
        <v>363</v>
      </c>
      <c r="B2" s="60" t="s">
        <v>365</v>
      </c>
      <c r="C2" s="60" t="s">
        <v>365</v>
      </c>
      <c r="D2" s="60" t="s">
        <v>365</v>
      </c>
      <c r="E2" s="60" t="s">
        <v>363</v>
      </c>
      <c r="F2" s="60" t="s">
        <v>363</v>
      </c>
      <c r="G2" s="60" t="s">
        <v>363</v>
      </c>
      <c r="H2" s="60" t="s">
        <v>363</v>
      </c>
      <c r="I2" s="60" t="s">
        <v>363</v>
      </c>
      <c r="J2" s="60" t="s">
        <v>363</v>
      </c>
      <c r="K2" s="60" t="s">
        <v>363</v>
      </c>
      <c r="L2" s="60" t="s">
        <v>369</v>
      </c>
      <c r="M2" s="60" t="s">
        <v>451</v>
      </c>
      <c r="N2" s="60" t="s">
        <v>371</v>
      </c>
      <c r="O2" s="60" t="s">
        <v>371</v>
      </c>
      <c r="P2" s="60" t="s">
        <v>371</v>
      </c>
      <c r="Q2" s="60" t="s">
        <v>371</v>
      </c>
      <c r="R2" s="60" t="s">
        <v>375</v>
      </c>
      <c r="S2" s="60" t="s">
        <v>375</v>
      </c>
      <c r="T2" s="60" t="s">
        <v>375</v>
      </c>
      <c r="U2" s="60" t="s">
        <v>376</v>
      </c>
      <c r="V2" s="60" t="s">
        <v>376</v>
      </c>
      <c r="W2" s="60" t="s">
        <v>375</v>
      </c>
      <c r="X2" s="60" t="s">
        <v>376</v>
      </c>
      <c r="Y2" s="60" t="s">
        <v>376</v>
      </c>
      <c r="Z2" s="60" t="s">
        <v>375</v>
      </c>
    </row>
    <row r="3">
      <c r="A3" s="66" t="s">
        <v>380</v>
      </c>
      <c r="B3" s="66" t="s">
        <v>69</v>
      </c>
      <c r="C3" s="66" t="s">
        <v>82</v>
      </c>
      <c r="D3" s="66" t="s">
        <v>93</v>
      </c>
      <c r="E3" s="66" t="s">
        <v>382</v>
      </c>
      <c r="F3" s="66" t="s">
        <v>384</v>
      </c>
      <c r="G3" s="66" t="s">
        <v>385</v>
      </c>
      <c r="H3" s="66" t="s">
        <v>453</v>
      </c>
      <c r="I3" s="66" t="s">
        <v>454</v>
      </c>
      <c r="J3" s="66" t="s">
        <v>455</v>
      </c>
      <c r="K3" s="66" t="s">
        <v>456</v>
      </c>
      <c r="L3" s="66" t="s">
        <v>393</v>
      </c>
      <c r="M3" s="67" t="s">
        <v>318</v>
      </c>
      <c r="N3" s="66" t="s">
        <v>395</v>
      </c>
      <c r="O3" s="66" t="s">
        <v>396</v>
      </c>
      <c r="P3" s="66" t="s">
        <v>397</v>
      </c>
      <c r="Q3" s="66" t="s">
        <v>398</v>
      </c>
      <c r="R3" s="66" t="s">
        <v>399</v>
      </c>
      <c r="S3" s="66" t="s">
        <v>399</v>
      </c>
      <c r="T3" s="66" t="s">
        <v>399</v>
      </c>
      <c r="U3" s="66" t="s">
        <v>399</v>
      </c>
      <c r="V3" s="66" t="s">
        <v>399</v>
      </c>
      <c r="W3" s="66" t="s">
        <v>399</v>
      </c>
      <c r="X3" s="66" t="s">
        <v>399</v>
      </c>
      <c r="Y3" s="66" t="s">
        <v>399</v>
      </c>
      <c r="Z3" s="66" t="s">
        <v>399</v>
      </c>
    </row>
    <row r="4">
      <c r="A4" s="10" t="s">
        <v>403</v>
      </c>
      <c r="B4" s="10" t="s">
        <v>404</v>
      </c>
      <c r="C4" s="10" t="s">
        <v>404</v>
      </c>
      <c r="D4" s="10" t="s">
        <v>404</v>
      </c>
      <c r="E4" s="10" t="s">
        <v>405</v>
      </c>
      <c r="F4" s="10" t="s">
        <v>405</v>
      </c>
      <c r="G4" s="10" t="s">
        <v>405</v>
      </c>
      <c r="H4" s="10" t="s">
        <v>405</v>
      </c>
      <c r="I4" s="10" t="s">
        <v>404</v>
      </c>
      <c r="J4" s="10" t="s">
        <v>405</v>
      </c>
      <c r="K4" s="10" t="s">
        <v>405</v>
      </c>
      <c r="L4" s="10" t="s">
        <v>405</v>
      </c>
      <c r="M4" s="10" t="s">
        <v>408</v>
      </c>
      <c r="N4" s="69" t="s">
        <v>404</v>
      </c>
      <c r="O4" s="10" t="s">
        <v>404</v>
      </c>
      <c r="P4" s="10" t="s">
        <v>404</v>
      </c>
      <c r="Q4" s="10" t="s">
        <v>404</v>
      </c>
      <c r="R4" s="15"/>
      <c r="S4" s="13"/>
      <c r="T4" s="13"/>
      <c r="U4" s="70" t="str">
        <f t="shared" ref="U4:U60" si="1">IFERROR(T4/S4,"")</f>
        <v/>
      </c>
      <c r="V4" s="71" t="str">
        <f t="shared" ref="V4:V60" si="2">IFERROR(R4/T4,"")</f>
        <v/>
      </c>
      <c r="W4" s="13"/>
      <c r="X4" s="15" t="str">
        <f t="shared" ref="X4:X60" si="3">IFERROR(R4/W4,"")</f>
        <v/>
      </c>
      <c r="Y4" s="72" t="str">
        <f t="shared" ref="Y4:Y60" si="4">IFERROR(Z4/R4,"")</f>
        <v/>
      </c>
      <c r="Z4" s="15"/>
    </row>
    <row r="5">
      <c r="E5" s="73"/>
      <c r="F5" s="73"/>
      <c r="H5" s="73"/>
      <c r="N5" s="74"/>
      <c r="Q5" s="73"/>
      <c r="R5" s="75"/>
      <c r="S5" s="76"/>
      <c r="T5" s="76"/>
      <c r="U5" s="70" t="str">
        <f t="shared" si="1"/>
        <v/>
      </c>
      <c r="V5" s="71" t="str">
        <f t="shared" si="2"/>
        <v/>
      </c>
      <c r="W5" s="76"/>
      <c r="X5" s="15" t="str">
        <f t="shared" si="3"/>
        <v/>
      </c>
      <c r="Y5" s="72" t="str">
        <f t="shared" si="4"/>
        <v/>
      </c>
      <c r="Z5" s="75"/>
    </row>
    <row r="6">
      <c r="E6" s="73"/>
      <c r="F6" s="73"/>
      <c r="H6" s="73"/>
      <c r="N6" s="74"/>
      <c r="Q6" s="73"/>
      <c r="R6" s="75"/>
      <c r="S6" s="76"/>
      <c r="T6" s="76"/>
      <c r="U6" s="70" t="str">
        <f t="shared" si="1"/>
        <v/>
      </c>
      <c r="V6" s="71" t="str">
        <f t="shared" si="2"/>
        <v/>
      </c>
      <c r="W6" s="76"/>
      <c r="X6" s="15" t="str">
        <f t="shared" si="3"/>
        <v/>
      </c>
      <c r="Y6" s="72" t="str">
        <f t="shared" si="4"/>
        <v/>
      </c>
      <c r="Z6" s="75"/>
    </row>
    <row r="7">
      <c r="E7" s="73"/>
      <c r="F7" s="73"/>
      <c r="H7" s="73"/>
      <c r="N7" s="74"/>
      <c r="Q7" s="73"/>
      <c r="R7" s="75"/>
      <c r="S7" s="76"/>
      <c r="T7" s="76"/>
      <c r="U7" s="70" t="str">
        <f t="shared" si="1"/>
        <v/>
      </c>
      <c r="V7" s="71" t="str">
        <f t="shared" si="2"/>
        <v/>
      </c>
      <c r="W7" s="76"/>
      <c r="X7" s="15" t="str">
        <f t="shared" si="3"/>
        <v/>
      </c>
      <c r="Y7" s="72" t="str">
        <f t="shared" si="4"/>
        <v/>
      </c>
      <c r="Z7" s="75"/>
    </row>
    <row r="8">
      <c r="E8" s="73"/>
      <c r="F8" s="73"/>
      <c r="H8" s="73"/>
      <c r="N8" s="74"/>
      <c r="Q8" s="73"/>
      <c r="R8" s="75"/>
      <c r="S8" s="76"/>
      <c r="T8" s="76"/>
      <c r="U8" s="70" t="str">
        <f t="shared" si="1"/>
        <v/>
      </c>
      <c r="V8" s="71" t="str">
        <f t="shared" si="2"/>
        <v/>
      </c>
      <c r="W8" s="76"/>
      <c r="X8" s="15" t="str">
        <f t="shared" si="3"/>
        <v/>
      </c>
      <c r="Y8" s="72" t="str">
        <f t="shared" si="4"/>
        <v/>
      </c>
      <c r="Z8" s="75"/>
    </row>
    <row r="9">
      <c r="E9" s="73"/>
      <c r="F9" s="73"/>
      <c r="H9" s="73"/>
      <c r="N9" s="74"/>
      <c r="Q9" s="73"/>
      <c r="R9" s="75"/>
      <c r="S9" s="76"/>
      <c r="T9" s="76"/>
      <c r="U9" s="70" t="str">
        <f t="shared" si="1"/>
        <v/>
      </c>
      <c r="V9" s="71" t="str">
        <f t="shared" si="2"/>
        <v/>
      </c>
      <c r="W9" s="76"/>
      <c r="X9" s="15" t="str">
        <f t="shared" si="3"/>
        <v/>
      </c>
      <c r="Y9" s="72" t="str">
        <f t="shared" si="4"/>
        <v/>
      </c>
      <c r="Z9" s="75"/>
    </row>
    <row r="10">
      <c r="E10" s="73"/>
      <c r="F10" s="73"/>
      <c r="H10" s="73"/>
      <c r="N10" s="74"/>
      <c r="Q10" s="73"/>
      <c r="R10" s="75"/>
      <c r="S10" s="76"/>
      <c r="T10" s="76"/>
      <c r="U10" s="70" t="str">
        <f t="shared" si="1"/>
        <v/>
      </c>
      <c r="V10" s="71" t="str">
        <f t="shared" si="2"/>
        <v/>
      </c>
      <c r="W10" s="76"/>
      <c r="X10" s="15" t="str">
        <f t="shared" si="3"/>
        <v/>
      </c>
      <c r="Y10" s="72" t="str">
        <f t="shared" si="4"/>
        <v/>
      </c>
      <c r="Z10" s="75"/>
    </row>
    <row r="11">
      <c r="E11" s="73"/>
      <c r="F11" s="73"/>
      <c r="H11" s="73"/>
      <c r="N11" s="74"/>
      <c r="Q11" s="73"/>
      <c r="R11" s="75"/>
      <c r="S11" s="76"/>
      <c r="T11" s="76"/>
      <c r="U11" s="70" t="str">
        <f t="shared" si="1"/>
        <v/>
      </c>
      <c r="V11" s="71" t="str">
        <f t="shared" si="2"/>
        <v/>
      </c>
      <c r="W11" s="76"/>
      <c r="X11" s="15" t="str">
        <f t="shared" si="3"/>
        <v/>
      </c>
      <c r="Y11" s="72" t="str">
        <f t="shared" si="4"/>
        <v/>
      </c>
      <c r="Z11" s="75"/>
    </row>
    <row r="12">
      <c r="E12" s="73"/>
      <c r="F12" s="73"/>
      <c r="H12" s="73"/>
      <c r="N12" s="74"/>
      <c r="Q12" s="73"/>
      <c r="R12" s="75"/>
      <c r="S12" s="76"/>
      <c r="T12" s="76"/>
      <c r="U12" s="70" t="str">
        <f t="shared" si="1"/>
        <v/>
      </c>
      <c r="V12" s="71" t="str">
        <f t="shared" si="2"/>
        <v/>
      </c>
      <c r="W12" s="76"/>
      <c r="X12" s="15" t="str">
        <f t="shared" si="3"/>
        <v/>
      </c>
      <c r="Y12" s="72" t="str">
        <f t="shared" si="4"/>
        <v/>
      </c>
      <c r="Z12" s="75"/>
    </row>
    <row r="13">
      <c r="E13" s="73"/>
      <c r="F13" s="73"/>
      <c r="H13" s="73"/>
      <c r="N13" s="74"/>
      <c r="Q13" s="73"/>
      <c r="R13" s="75"/>
      <c r="S13" s="76"/>
      <c r="T13" s="76"/>
      <c r="U13" s="70" t="str">
        <f t="shared" si="1"/>
        <v/>
      </c>
      <c r="V13" s="71" t="str">
        <f t="shared" si="2"/>
        <v/>
      </c>
      <c r="W13" s="76"/>
      <c r="X13" s="15" t="str">
        <f t="shared" si="3"/>
        <v/>
      </c>
      <c r="Y13" s="72" t="str">
        <f t="shared" si="4"/>
        <v/>
      </c>
      <c r="Z13" s="75"/>
    </row>
    <row r="14">
      <c r="E14" s="73"/>
      <c r="F14" s="73"/>
      <c r="H14" s="73"/>
      <c r="N14" s="74"/>
      <c r="Q14" s="73"/>
      <c r="R14" s="75"/>
      <c r="S14" s="76"/>
      <c r="T14" s="76"/>
      <c r="U14" s="70" t="str">
        <f t="shared" si="1"/>
        <v/>
      </c>
      <c r="V14" s="71" t="str">
        <f t="shared" si="2"/>
        <v/>
      </c>
      <c r="W14" s="76"/>
      <c r="X14" s="15" t="str">
        <f t="shared" si="3"/>
        <v/>
      </c>
      <c r="Y14" s="72" t="str">
        <f t="shared" si="4"/>
        <v/>
      </c>
      <c r="Z14" s="75"/>
    </row>
    <row r="15">
      <c r="E15" s="73"/>
      <c r="F15" s="73"/>
      <c r="H15" s="73"/>
      <c r="N15" s="74"/>
      <c r="Q15" s="73"/>
      <c r="R15" s="75"/>
      <c r="S15" s="76"/>
      <c r="T15" s="76"/>
      <c r="U15" s="70" t="str">
        <f t="shared" si="1"/>
        <v/>
      </c>
      <c r="V15" s="71" t="str">
        <f t="shared" si="2"/>
        <v/>
      </c>
      <c r="W15" s="76"/>
      <c r="X15" s="15" t="str">
        <f t="shared" si="3"/>
        <v/>
      </c>
      <c r="Y15" s="72" t="str">
        <f t="shared" si="4"/>
        <v/>
      </c>
      <c r="Z15" s="75"/>
    </row>
    <row r="16">
      <c r="E16" s="73"/>
      <c r="F16" s="73"/>
      <c r="H16" s="73"/>
      <c r="N16" s="74"/>
      <c r="Q16" s="73"/>
      <c r="R16" s="75"/>
      <c r="S16" s="76"/>
      <c r="T16" s="76"/>
      <c r="U16" s="70" t="str">
        <f t="shared" si="1"/>
        <v/>
      </c>
      <c r="V16" s="71" t="str">
        <f t="shared" si="2"/>
        <v/>
      </c>
      <c r="W16" s="76"/>
      <c r="X16" s="15" t="str">
        <f t="shared" si="3"/>
        <v/>
      </c>
      <c r="Y16" s="72" t="str">
        <f t="shared" si="4"/>
        <v/>
      </c>
      <c r="Z16" s="75"/>
    </row>
    <row r="17">
      <c r="E17" s="73"/>
      <c r="F17" s="73"/>
      <c r="H17" s="73"/>
      <c r="N17" s="74"/>
      <c r="Q17" s="73"/>
      <c r="R17" s="75"/>
      <c r="S17" s="76"/>
      <c r="T17" s="76"/>
      <c r="U17" s="70" t="str">
        <f t="shared" si="1"/>
        <v/>
      </c>
      <c r="V17" s="71" t="str">
        <f t="shared" si="2"/>
        <v/>
      </c>
      <c r="W17" s="76"/>
      <c r="X17" s="15" t="str">
        <f t="shared" si="3"/>
        <v/>
      </c>
      <c r="Y17" s="72" t="str">
        <f t="shared" si="4"/>
        <v/>
      </c>
      <c r="Z17" s="75"/>
    </row>
    <row r="18">
      <c r="E18" s="73"/>
      <c r="F18" s="73"/>
      <c r="H18" s="73"/>
      <c r="N18" s="74"/>
      <c r="Q18" s="73"/>
      <c r="R18" s="75"/>
      <c r="S18" s="76"/>
      <c r="T18" s="76"/>
      <c r="U18" s="70" t="str">
        <f t="shared" si="1"/>
        <v/>
      </c>
      <c r="V18" s="71" t="str">
        <f t="shared" si="2"/>
        <v/>
      </c>
      <c r="W18" s="76"/>
      <c r="X18" s="15" t="str">
        <f t="shared" si="3"/>
        <v/>
      </c>
      <c r="Y18" s="72" t="str">
        <f t="shared" si="4"/>
        <v/>
      </c>
      <c r="Z18" s="75"/>
    </row>
    <row r="19">
      <c r="E19" s="73"/>
      <c r="F19" s="73"/>
      <c r="H19" s="73"/>
      <c r="N19" s="74"/>
      <c r="Q19" s="73"/>
      <c r="R19" s="75"/>
      <c r="S19" s="76"/>
      <c r="T19" s="76"/>
      <c r="U19" s="70" t="str">
        <f t="shared" si="1"/>
        <v/>
      </c>
      <c r="V19" s="71" t="str">
        <f t="shared" si="2"/>
        <v/>
      </c>
      <c r="W19" s="76"/>
      <c r="X19" s="15" t="str">
        <f t="shared" si="3"/>
        <v/>
      </c>
      <c r="Y19" s="72" t="str">
        <f t="shared" si="4"/>
        <v/>
      </c>
      <c r="Z19" s="75"/>
    </row>
    <row r="20">
      <c r="E20" s="73"/>
      <c r="F20" s="73"/>
      <c r="H20" s="73"/>
      <c r="N20" s="74"/>
      <c r="Q20" s="73"/>
      <c r="R20" s="75"/>
      <c r="S20" s="76"/>
      <c r="T20" s="76"/>
      <c r="U20" s="70" t="str">
        <f t="shared" si="1"/>
        <v/>
      </c>
      <c r="V20" s="71" t="str">
        <f t="shared" si="2"/>
        <v/>
      </c>
      <c r="W20" s="76"/>
      <c r="X20" s="15" t="str">
        <f t="shared" si="3"/>
        <v/>
      </c>
      <c r="Y20" s="72" t="str">
        <f t="shared" si="4"/>
        <v/>
      </c>
      <c r="Z20" s="75"/>
    </row>
    <row r="21" ht="15.75" customHeight="1">
      <c r="E21" s="73"/>
      <c r="F21" s="73"/>
      <c r="H21" s="73"/>
      <c r="N21" s="74"/>
      <c r="Q21" s="73"/>
      <c r="R21" s="75"/>
      <c r="S21" s="76"/>
      <c r="T21" s="76"/>
      <c r="U21" s="70" t="str">
        <f t="shared" si="1"/>
        <v/>
      </c>
      <c r="V21" s="71" t="str">
        <f t="shared" si="2"/>
        <v/>
      </c>
      <c r="W21" s="76"/>
      <c r="X21" s="15" t="str">
        <f t="shared" si="3"/>
        <v/>
      </c>
      <c r="Y21" s="72" t="str">
        <f t="shared" si="4"/>
        <v/>
      </c>
      <c r="Z21" s="75"/>
    </row>
    <row r="22" ht="15.75" customHeight="1">
      <c r="E22" s="73"/>
      <c r="F22" s="73"/>
      <c r="H22" s="73"/>
      <c r="N22" s="74"/>
      <c r="Q22" s="73"/>
      <c r="R22" s="75"/>
      <c r="S22" s="76"/>
      <c r="T22" s="76"/>
      <c r="U22" s="70" t="str">
        <f t="shared" si="1"/>
        <v/>
      </c>
      <c r="V22" s="71" t="str">
        <f t="shared" si="2"/>
        <v/>
      </c>
      <c r="W22" s="76"/>
      <c r="X22" s="15" t="str">
        <f t="shared" si="3"/>
        <v/>
      </c>
      <c r="Y22" s="72" t="str">
        <f t="shared" si="4"/>
        <v/>
      </c>
      <c r="Z22" s="75"/>
    </row>
    <row r="23" ht="15.75" customHeight="1">
      <c r="E23" s="73"/>
      <c r="F23" s="73"/>
      <c r="H23" s="73"/>
      <c r="N23" s="74"/>
      <c r="Q23" s="73"/>
      <c r="R23" s="75"/>
      <c r="S23" s="76"/>
      <c r="T23" s="76"/>
      <c r="U23" s="70" t="str">
        <f t="shared" si="1"/>
        <v/>
      </c>
      <c r="V23" s="71" t="str">
        <f t="shared" si="2"/>
        <v/>
      </c>
      <c r="W23" s="76"/>
      <c r="X23" s="15" t="str">
        <f t="shared" si="3"/>
        <v/>
      </c>
      <c r="Y23" s="72" t="str">
        <f t="shared" si="4"/>
        <v/>
      </c>
      <c r="Z23" s="75"/>
    </row>
    <row r="24" ht="15.75" customHeight="1">
      <c r="E24" s="73"/>
      <c r="F24" s="73"/>
      <c r="H24" s="73"/>
      <c r="N24" s="74"/>
      <c r="Q24" s="73"/>
      <c r="R24" s="75"/>
      <c r="S24" s="76"/>
      <c r="T24" s="76"/>
      <c r="U24" s="70" t="str">
        <f t="shared" si="1"/>
        <v/>
      </c>
      <c r="V24" s="71" t="str">
        <f t="shared" si="2"/>
        <v/>
      </c>
      <c r="W24" s="76"/>
      <c r="X24" s="15" t="str">
        <f t="shared" si="3"/>
        <v/>
      </c>
      <c r="Y24" s="72" t="str">
        <f t="shared" si="4"/>
        <v/>
      </c>
      <c r="Z24" s="75"/>
    </row>
    <row r="25" ht="15.75" customHeight="1">
      <c r="E25" s="73"/>
      <c r="F25" s="73"/>
      <c r="H25" s="73"/>
      <c r="N25" s="74"/>
      <c r="Q25" s="73"/>
      <c r="R25" s="75"/>
      <c r="S25" s="76"/>
      <c r="T25" s="76"/>
      <c r="U25" s="70" t="str">
        <f t="shared" si="1"/>
        <v/>
      </c>
      <c r="V25" s="71" t="str">
        <f t="shared" si="2"/>
        <v/>
      </c>
      <c r="W25" s="76"/>
      <c r="X25" s="15" t="str">
        <f t="shared" si="3"/>
        <v/>
      </c>
      <c r="Y25" s="72" t="str">
        <f t="shared" si="4"/>
        <v/>
      </c>
      <c r="Z25" s="75"/>
    </row>
    <row r="26" ht="15.75" customHeight="1">
      <c r="E26" s="73"/>
      <c r="F26" s="73"/>
      <c r="H26" s="73"/>
      <c r="N26" s="74"/>
      <c r="Q26" s="73"/>
      <c r="R26" s="75"/>
      <c r="S26" s="76"/>
      <c r="T26" s="76"/>
      <c r="U26" s="70" t="str">
        <f t="shared" si="1"/>
        <v/>
      </c>
      <c r="V26" s="71" t="str">
        <f t="shared" si="2"/>
        <v/>
      </c>
      <c r="W26" s="76"/>
      <c r="X26" s="15" t="str">
        <f t="shared" si="3"/>
        <v/>
      </c>
      <c r="Y26" s="72" t="str">
        <f t="shared" si="4"/>
        <v/>
      </c>
      <c r="Z26" s="75"/>
    </row>
    <row r="27" ht="15.75" customHeight="1">
      <c r="E27" s="73"/>
      <c r="F27" s="73"/>
      <c r="H27" s="73"/>
      <c r="N27" s="74"/>
      <c r="Q27" s="73"/>
      <c r="R27" s="75"/>
      <c r="S27" s="76"/>
      <c r="T27" s="76"/>
      <c r="U27" s="70" t="str">
        <f t="shared" si="1"/>
        <v/>
      </c>
      <c r="V27" s="71" t="str">
        <f t="shared" si="2"/>
        <v/>
      </c>
      <c r="W27" s="76"/>
      <c r="X27" s="15" t="str">
        <f t="shared" si="3"/>
        <v/>
      </c>
      <c r="Y27" s="72" t="str">
        <f t="shared" si="4"/>
        <v/>
      </c>
      <c r="Z27" s="75"/>
    </row>
    <row r="28" ht="15.75" customHeight="1">
      <c r="E28" s="73"/>
      <c r="F28" s="73"/>
      <c r="H28" s="73"/>
      <c r="N28" s="74"/>
      <c r="Q28" s="73"/>
      <c r="R28" s="75"/>
      <c r="S28" s="76"/>
      <c r="T28" s="76"/>
      <c r="U28" s="70" t="str">
        <f t="shared" si="1"/>
        <v/>
      </c>
      <c r="V28" s="71" t="str">
        <f t="shared" si="2"/>
        <v/>
      </c>
      <c r="W28" s="76"/>
      <c r="X28" s="15" t="str">
        <f t="shared" si="3"/>
        <v/>
      </c>
      <c r="Y28" s="72" t="str">
        <f t="shared" si="4"/>
        <v/>
      </c>
      <c r="Z28" s="75"/>
    </row>
    <row r="29" ht="15.75" customHeight="1">
      <c r="E29" s="73"/>
      <c r="F29" s="73"/>
      <c r="H29" s="73"/>
      <c r="N29" s="74"/>
      <c r="Q29" s="73"/>
      <c r="R29" s="75"/>
      <c r="S29" s="76"/>
      <c r="T29" s="76"/>
      <c r="U29" s="70" t="str">
        <f t="shared" si="1"/>
        <v/>
      </c>
      <c r="V29" s="71" t="str">
        <f t="shared" si="2"/>
        <v/>
      </c>
      <c r="W29" s="76"/>
      <c r="X29" s="15" t="str">
        <f t="shared" si="3"/>
        <v/>
      </c>
      <c r="Y29" s="72" t="str">
        <f t="shared" si="4"/>
        <v/>
      </c>
      <c r="Z29" s="75"/>
    </row>
    <row r="30" ht="15.75" customHeight="1">
      <c r="E30" s="73"/>
      <c r="F30" s="73"/>
      <c r="H30" s="73"/>
      <c r="N30" s="74"/>
      <c r="Q30" s="73"/>
      <c r="R30" s="75"/>
      <c r="S30" s="76"/>
      <c r="T30" s="76"/>
      <c r="U30" s="70" t="str">
        <f t="shared" si="1"/>
        <v/>
      </c>
      <c r="V30" s="71" t="str">
        <f t="shared" si="2"/>
        <v/>
      </c>
      <c r="W30" s="76"/>
      <c r="X30" s="15" t="str">
        <f t="shared" si="3"/>
        <v/>
      </c>
      <c r="Y30" s="72" t="str">
        <f t="shared" si="4"/>
        <v/>
      </c>
      <c r="Z30" s="75"/>
    </row>
    <row r="31" ht="15.75" customHeight="1">
      <c r="E31" s="73"/>
      <c r="F31" s="73"/>
      <c r="H31" s="73"/>
      <c r="N31" s="74"/>
      <c r="Q31" s="73"/>
      <c r="R31" s="75"/>
      <c r="S31" s="76"/>
      <c r="T31" s="76"/>
      <c r="U31" s="70" t="str">
        <f t="shared" si="1"/>
        <v/>
      </c>
      <c r="V31" s="71" t="str">
        <f t="shared" si="2"/>
        <v/>
      </c>
      <c r="W31" s="76"/>
      <c r="X31" s="15" t="str">
        <f t="shared" si="3"/>
        <v/>
      </c>
      <c r="Y31" s="72" t="str">
        <f t="shared" si="4"/>
        <v/>
      </c>
      <c r="Z31" s="75"/>
    </row>
    <row r="32" ht="15.75" customHeight="1">
      <c r="E32" s="73"/>
      <c r="F32" s="73"/>
      <c r="H32" s="73"/>
      <c r="N32" s="74"/>
      <c r="Q32" s="73"/>
      <c r="R32" s="75"/>
      <c r="S32" s="76"/>
      <c r="T32" s="76"/>
      <c r="U32" s="70" t="str">
        <f t="shared" si="1"/>
        <v/>
      </c>
      <c r="V32" s="71" t="str">
        <f t="shared" si="2"/>
        <v/>
      </c>
      <c r="W32" s="76"/>
      <c r="X32" s="15" t="str">
        <f t="shared" si="3"/>
        <v/>
      </c>
      <c r="Y32" s="72" t="str">
        <f t="shared" si="4"/>
        <v/>
      </c>
      <c r="Z32" s="75"/>
    </row>
    <row r="33" ht="15.75" customHeight="1">
      <c r="E33" s="73"/>
      <c r="F33" s="73"/>
      <c r="H33" s="73"/>
      <c r="N33" s="74"/>
      <c r="Q33" s="73"/>
      <c r="R33" s="75"/>
      <c r="S33" s="76"/>
      <c r="T33" s="76"/>
      <c r="U33" s="70" t="str">
        <f t="shared" si="1"/>
        <v/>
      </c>
      <c r="V33" s="71" t="str">
        <f t="shared" si="2"/>
        <v/>
      </c>
      <c r="W33" s="76"/>
      <c r="X33" s="15" t="str">
        <f t="shared" si="3"/>
        <v/>
      </c>
      <c r="Y33" s="72" t="str">
        <f t="shared" si="4"/>
        <v/>
      </c>
      <c r="Z33" s="75"/>
    </row>
    <row r="34" ht="15.75" customHeight="1">
      <c r="E34" s="73"/>
      <c r="F34" s="73"/>
      <c r="H34" s="73"/>
      <c r="N34" s="74"/>
      <c r="Q34" s="73"/>
      <c r="R34" s="75"/>
      <c r="S34" s="76"/>
      <c r="T34" s="76"/>
      <c r="U34" s="70" t="str">
        <f t="shared" si="1"/>
        <v/>
      </c>
      <c r="V34" s="71" t="str">
        <f t="shared" si="2"/>
        <v/>
      </c>
      <c r="W34" s="76"/>
      <c r="X34" s="15" t="str">
        <f t="shared" si="3"/>
        <v/>
      </c>
      <c r="Y34" s="72" t="str">
        <f t="shared" si="4"/>
        <v/>
      </c>
      <c r="Z34" s="75"/>
    </row>
    <row r="35" ht="15.75" customHeight="1">
      <c r="E35" s="73"/>
      <c r="F35" s="73"/>
      <c r="H35" s="73"/>
      <c r="N35" s="74"/>
      <c r="Q35" s="73"/>
      <c r="R35" s="75"/>
      <c r="S35" s="76"/>
      <c r="T35" s="76"/>
      <c r="U35" s="70" t="str">
        <f t="shared" si="1"/>
        <v/>
      </c>
      <c r="V35" s="71" t="str">
        <f t="shared" si="2"/>
        <v/>
      </c>
      <c r="W35" s="76"/>
      <c r="X35" s="15" t="str">
        <f t="shared" si="3"/>
        <v/>
      </c>
      <c r="Y35" s="72" t="str">
        <f t="shared" si="4"/>
        <v/>
      </c>
      <c r="Z35" s="75"/>
    </row>
    <row r="36" ht="15.75" customHeight="1">
      <c r="E36" s="73"/>
      <c r="F36" s="73"/>
      <c r="H36" s="73"/>
      <c r="N36" s="74"/>
      <c r="Q36" s="73"/>
      <c r="R36" s="75"/>
      <c r="S36" s="76"/>
      <c r="T36" s="76"/>
      <c r="U36" s="70" t="str">
        <f t="shared" si="1"/>
        <v/>
      </c>
      <c r="V36" s="71" t="str">
        <f t="shared" si="2"/>
        <v/>
      </c>
      <c r="W36" s="76"/>
      <c r="X36" s="15" t="str">
        <f t="shared" si="3"/>
        <v/>
      </c>
      <c r="Y36" s="72" t="str">
        <f t="shared" si="4"/>
        <v/>
      </c>
      <c r="Z36" s="75"/>
    </row>
    <row r="37" ht="15.75" customHeight="1">
      <c r="E37" s="73"/>
      <c r="F37" s="73"/>
      <c r="H37" s="73"/>
      <c r="N37" s="74"/>
      <c r="Q37" s="73"/>
      <c r="R37" s="75"/>
      <c r="S37" s="76"/>
      <c r="T37" s="76"/>
      <c r="U37" s="70" t="str">
        <f t="shared" si="1"/>
        <v/>
      </c>
      <c r="V37" s="71" t="str">
        <f t="shared" si="2"/>
        <v/>
      </c>
      <c r="W37" s="76"/>
      <c r="X37" s="15" t="str">
        <f t="shared" si="3"/>
        <v/>
      </c>
      <c r="Y37" s="72" t="str">
        <f t="shared" si="4"/>
        <v/>
      </c>
      <c r="Z37" s="75"/>
    </row>
    <row r="38" ht="15.75" customHeight="1">
      <c r="E38" s="73"/>
      <c r="F38" s="73"/>
      <c r="H38" s="73"/>
      <c r="N38" s="74"/>
      <c r="Q38" s="73"/>
      <c r="R38" s="75"/>
      <c r="S38" s="76"/>
      <c r="T38" s="76"/>
      <c r="U38" s="70" t="str">
        <f t="shared" si="1"/>
        <v/>
      </c>
      <c r="V38" s="71" t="str">
        <f t="shared" si="2"/>
        <v/>
      </c>
      <c r="W38" s="76"/>
      <c r="X38" s="15" t="str">
        <f t="shared" si="3"/>
        <v/>
      </c>
      <c r="Y38" s="72" t="str">
        <f t="shared" si="4"/>
        <v/>
      </c>
      <c r="Z38" s="75"/>
    </row>
    <row r="39" ht="15.75" customHeight="1">
      <c r="E39" s="73"/>
      <c r="F39" s="73"/>
      <c r="H39" s="73"/>
      <c r="N39" s="74"/>
      <c r="Q39" s="73"/>
      <c r="R39" s="75"/>
      <c r="S39" s="76"/>
      <c r="T39" s="76"/>
      <c r="U39" s="70" t="str">
        <f t="shared" si="1"/>
        <v/>
      </c>
      <c r="V39" s="71" t="str">
        <f t="shared" si="2"/>
        <v/>
      </c>
      <c r="W39" s="76"/>
      <c r="X39" s="15" t="str">
        <f t="shared" si="3"/>
        <v/>
      </c>
      <c r="Y39" s="72" t="str">
        <f t="shared" si="4"/>
        <v/>
      </c>
      <c r="Z39" s="75"/>
    </row>
    <row r="40" ht="15.75" customHeight="1">
      <c r="E40" s="73"/>
      <c r="F40" s="73"/>
      <c r="H40" s="73"/>
      <c r="N40" s="74"/>
      <c r="Q40" s="73"/>
      <c r="R40" s="75"/>
      <c r="S40" s="76"/>
      <c r="T40" s="76"/>
      <c r="U40" s="70" t="str">
        <f t="shared" si="1"/>
        <v/>
      </c>
      <c r="V40" s="71" t="str">
        <f t="shared" si="2"/>
        <v/>
      </c>
      <c r="W40" s="76"/>
      <c r="X40" s="15" t="str">
        <f t="shared" si="3"/>
        <v/>
      </c>
      <c r="Y40" s="72" t="str">
        <f t="shared" si="4"/>
        <v/>
      </c>
      <c r="Z40" s="75"/>
    </row>
    <row r="41" ht="15.75" customHeight="1">
      <c r="E41" s="73"/>
      <c r="F41" s="73"/>
      <c r="H41" s="73"/>
      <c r="N41" s="74"/>
      <c r="Q41" s="73"/>
      <c r="R41" s="75"/>
      <c r="S41" s="76"/>
      <c r="T41" s="76"/>
      <c r="U41" s="70" t="str">
        <f t="shared" si="1"/>
        <v/>
      </c>
      <c r="V41" s="71" t="str">
        <f t="shared" si="2"/>
        <v/>
      </c>
      <c r="W41" s="76"/>
      <c r="X41" s="15" t="str">
        <f t="shared" si="3"/>
        <v/>
      </c>
      <c r="Y41" s="72" t="str">
        <f t="shared" si="4"/>
        <v/>
      </c>
      <c r="Z41" s="75"/>
    </row>
    <row r="42" ht="15.75" customHeight="1">
      <c r="E42" s="73"/>
      <c r="F42" s="73"/>
      <c r="H42" s="73"/>
      <c r="N42" s="74"/>
      <c r="Q42" s="73"/>
      <c r="R42" s="75"/>
      <c r="S42" s="76"/>
      <c r="T42" s="76"/>
      <c r="U42" s="70" t="str">
        <f t="shared" si="1"/>
        <v/>
      </c>
      <c r="V42" s="71" t="str">
        <f t="shared" si="2"/>
        <v/>
      </c>
      <c r="W42" s="76"/>
      <c r="X42" s="15" t="str">
        <f t="shared" si="3"/>
        <v/>
      </c>
      <c r="Y42" s="72" t="str">
        <f t="shared" si="4"/>
        <v/>
      </c>
      <c r="Z42" s="75"/>
    </row>
    <row r="43" ht="15.75" customHeight="1">
      <c r="E43" s="73"/>
      <c r="F43" s="73"/>
      <c r="H43" s="73"/>
      <c r="N43" s="74"/>
      <c r="Q43" s="73"/>
      <c r="R43" s="75"/>
      <c r="S43" s="76"/>
      <c r="T43" s="76"/>
      <c r="U43" s="70" t="str">
        <f t="shared" si="1"/>
        <v/>
      </c>
      <c r="V43" s="71" t="str">
        <f t="shared" si="2"/>
        <v/>
      </c>
      <c r="W43" s="76"/>
      <c r="X43" s="15" t="str">
        <f t="shared" si="3"/>
        <v/>
      </c>
      <c r="Y43" s="72" t="str">
        <f t="shared" si="4"/>
        <v/>
      </c>
      <c r="Z43" s="75"/>
    </row>
    <row r="44" ht="15.75" customHeight="1">
      <c r="E44" s="73"/>
      <c r="F44" s="73"/>
      <c r="H44" s="73"/>
      <c r="N44" s="74"/>
      <c r="Q44" s="73"/>
      <c r="R44" s="75"/>
      <c r="S44" s="76"/>
      <c r="T44" s="76"/>
      <c r="U44" s="70" t="str">
        <f t="shared" si="1"/>
        <v/>
      </c>
      <c r="V44" s="71" t="str">
        <f t="shared" si="2"/>
        <v/>
      </c>
      <c r="W44" s="76"/>
      <c r="X44" s="15" t="str">
        <f t="shared" si="3"/>
        <v/>
      </c>
      <c r="Y44" s="72" t="str">
        <f t="shared" si="4"/>
        <v/>
      </c>
      <c r="Z44" s="75"/>
    </row>
    <row r="45" ht="15.75" customHeight="1">
      <c r="E45" s="73"/>
      <c r="F45" s="73"/>
      <c r="H45" s="73"/>
      <c r="N45" s="74"/>
      <c r="Q45" s="73"/>
      <c r="R45" s="75"/>
      <c r="S45" s="76"/>
      <c r="T45" s="76"/>
      <c r="U45" s="70" t="str">
        <f t="shared" si="1"/>
        <v/>
      </c>
      <c r="V45" s="71" t="str">
        <f t="shared" si="2"/>
        <v/>
      </c>
      <c r="W45" s="76"/>
      <c r="X45" s="15" t="str">
        <f t="shared" si="3"/>
        <v/>
      </c>
      <c r="Y45" s="72" t="str">
        <f t="shared" si="4"/>
        <v/>
      </c>
      <c r="Z45" s="75"/>
    </row>
    <row r="46" ht="15.75" customHeight="1">
      <c r="E46" s="73"/>
      <c r="F46" s="73"/>
      <c r="H46" s="73"/>
      <c r="N46" s="74"/>
      <c r="Q46" s="73"/>
      <c r="R46" s="75"/>
      <c r="S46" s="76"/>
      <c r="T46" s="76"/>
      <c r="U46" s="70" t="str">
        <f t="shared" si="1"/>
        <v/>
      </c>
      <c r="V46" s="71" t="str">
        <f t="shared" si="2"/>
        <v/>
      </c>
      <c r="W46" s="76"/>
      <c r="X46" s="15" t="str">
        <f t="shared" si="3"/>
        <v/>
      </c>
      <c r="Y46" s="72" t="str">
        <f t="shared" si="4"/>
        <v/>
      </c>
      <c r="Z46" s="75"/>
    </row>
    <row r="47" ht="15.75" customHeight="1">
      <c r="E47" s="73"/>
      <c r="F47" s="73"/>
      <c r="H47" s="73"/>
      <c r="N47" s="74"/>
      <c r="Q47" s="73"/>
      <c r="R47" s="75"/>
      <c r="S47" s="76"/>
      <c r="T47" s="76"/>
      <c r="U47" s="70" t="str">
        <f t="shared" si="1"/>
        <v/>
      </c>
      <c r="V47" s="71" t="str">
        <f t="shared" si="2"/>
        <v/>
      </c>
      <c r="W47" s="76"/>
      <c r="X47" s="15" t="str">
        <f t="shared" si="3"/>
        <v/>
      </c>
      <c r="Y47" s="72" t="str">
        <f t="shared" si="4"/>
        <v/>
      </c>
      <c r="Z47" s="75"/>
    </row>
    <row r="48" ht="15.75" customHeight="1">
      <c r="E48" s="73"/>
      <c r="F48" s="73"/>
      <c r="H48" s="73"/>
      <c r="N48" s="74"/>
      <c r="Q48" s="73"/>
      <c r="R48" s="75"/>
      <c r="S48" s="76"/>
      <c r="T48" s="76"/>
      <c r="U48" s="70" t="str">
        <f t="shared" si="1"/>
        <v/>
      </c>
      <c r="V48" s="71" t="str">
        <f t="shared" si="2"/>
        <v/>
      </c>
      <c r="W48" s="76"/>
      <c r="X48" s="15" t="str">
        <f t="shared" si="3"/>
        <v/>
      </c>
      <c r="Y48" s="72" t="str">
        <f t="shared" si="4"/>
        <v/>
      </c>
      <c r="Z48" s="75"/>
    </row>
    <row r="49" ht="15.75" customHeight="1">
      <c r="E49" s="73"/>
      <c r="F49" s="73"/>
      <c r="H49" s="73"/>
      <c r="N49" s="74"/>
      <c r="Q49" s="73"/>
      <c r="R49" s="75"/>
      <c r="S49" s="76"/>
      <c r="T49" s="76"/>
      <c r="U49" s="70" t="str">
        <f t="shared" si="1"/>
        <v/>
      </c>
      <c r="V49" s="71" t="str">
        <f t="shared" si="2"/>
        <v/>
      </c>
      <c r="W49" s="76"/>
      <c r="X49" s="15" t="str">
        <f t="shared" si="3"/>
        <v/>
      </c>
      <c r="Y49" s="72" t="str">
        <f t="shared" si="4"/>
        <v/>
      </c>
      <c r="Z49" s="75"/>
    </row>
    <row r="50" ht="15.75" customHeight="1">
      <c r="E50" s="73"/>
      <c r="F50" s="73"/>
      <c r="H50" s="73"/>
      <c r="N50" s="74"/>
      <c r="Q50" s="73"/>
      <c r="R50" s="75"/>
      <c r="S50" s="76"/>
      <c r="T50" s="76"/>
      <c r="U50" s="70" t="str">
        <f t="shared" si="1"/>
        <v/>
      </c>
      <c r="V50" s="71" t="str">
        <f t="shared" si="2"/>
        <v/>
      </c>
      <c r="W50" s="76"/>
      <c r="X50" s="15" t="str">
        <f t="shared" si="3"/>
        <v/>
      </c>
      <c r="Y50" s="72" t="str">
        <f t="shared" si="4"/>
        <v/>
      </c>
      <c r="Z50" s="75"/>
    </row>
    <row r="51" ht="15.75" customHeight="1">
      <c r="E51" s="73"/>
      <c r="F51" s="73"/>
      <c r="H51" s="73"/>
      <c r="N51" s="74"/>
      <c r="Q51" s="73"/>
      <c r="R51" s="75"/>
      <c r="S51" s="76"/>
      <c r="T51" s="76"/>
      <c r="U51" s="70" t="str">
        <f t="shared" si="1"/>
        <v/>
      </c>
      <c r="V51" s="71" t="str">
        <f t="shared" si="2"/>
        <v/>
      </c>
      <c r="W51" s="76"/>
      <c r="X51" s="15" t="str">
        <f t="shared" si="3"/>
        <v/>
      </c>
      <c r="Y51" s="72" t="str">
        <f t="shared" si="4"/>
        <v/>
      </c>
      <c r="Z51" s="75"/>
    </row>
    <row r="52" ht="15.75" customHeight="1">
      <c r="E52" s="73"/>
      <c r="F52" s="73"/>
      <c r="H52" s="73"/>
      <c r="N52" s="74"/>
      <c r="Q52" s="73"/>
      <c r="R52" s="75"/>
      <c r="S52" s="76"/>
      <c r="T52" s="76"/>
      <c r="U52" s="70" t="str">
        <f t="shared" si="1"/>
        <v/>
      </c>
      <c r="V52" s="71" t="str">
        <f t="shared" si="2"/>
        <v/>
      </c>
      <c r="W52" s="76"/>
      <c r="X52" s="15" t="str">
        <f t="shared" si="3"/>
        <v/>
      </c>
      <c r="Y52" s="72" t="str">
        <f t="shared" si="4"/>
        <v/>
      </c>
      <c r="Z52" s="75"/>
    </row>
    <row r="53" ht="15.75" customHeight="1">
      <c r="E53" s="73"/>
      <c r="F53" s="73"/>
      <c r="H53" s="73"/>
      <c r="N53" s="74"/>
      <c r="Q53" s="73"/>
      <c r="R53" s="75"/>
      <c r="S53" s="76"/>
      <c r="T53" s="76"/>
      <c r="U53" s="70" t="str">
        <f t="shared" si="1"/>
        <v/>
      </c>
      <c r="V53" s="71" t="str">
        <f t="shared" si="2"/>
        <v/>
      </c>
      <c r="W53" s="76"/>
      <c r="X53" s="15" t="str">
        <f t="shared" si="3"/>
        <v/>
      </c>
      <c r="Y53" s="72" t="str">
        <f t="shared" si="4"/>
        <v/>
      </c>
      <c r="Z53" s="75"/>
    </row>
    <row r="54" ht="15.75" customHeight="1">
      <c r="E54" s="73"/>
      <c r="F54" s="73"/>
      <c r="H54" s="73"/>
      <c r="N54" s="74"/>
      <c r="Q54" s="73"/>
      <c r="R54" s="75"/>
      <c r="S54" s="76"/>
      <c r="T54" s="76"/>
      <c r="U54" s="70" t="str">
        <f t="shared" si="1"/>
        <v/>
      </c>
      <c r="V54" s="71" t="str">
        <f t="shared" si="2"/>
        <v/>
      </c>
      <c r="W54" s="76"/>
      <c r="X54" s="15" t="str">
        <f t="shared" si="3"/>
        <v/>
      </c>
      <c r="Y54" s="72" t="str">
        <f t="shared" si="4"/>
        <v/>
      </c>
      <c r="Z54" s="75"/>
    </row>
    <row r="55" ht="15.75" customHeight="1">
      <c r="E55" s="73"/>
      <c r="F55" s="73"/>
      <c r="H55" s="73"/>
      <c r="N55" s="74"/>
      <c r="Q55" s="73"/>
      <c r="R55" s="75"/>
      <c r="S55" s="76"/>
      <c r="T55" s="76"/>
      <c r="U55" s="70" t="str">
        <f t="shared" si="1"/>
        <v/>
      </c>
      <c r="V55" s="71" t="str">
        <f t="shared" si="2"/>
        <v/>
      </c>
      <c r="W55" s="76"/>
      <c r="X55" s="15" t="str">
        <f t="shared" si="3"/>
        <v/>
      </c>
      <c r="Y55" s="72" t="str">
        <f t="shared" si="4"/>
        <v/>
      </c>
      <c r="Z55" s="75"/>
    </row>
    <row r="56" ht="15.75" customHeight="1">
      <c r="E56" s="73"/>
      <c r="F56" s="73"/>
      <c r="H56" s="73"/>
      <c r="N56" s="74"/>
      <c r="Q56" s="73"/>
      <c r="R56" s="75"/>
      <c r="S56" s="76"/>
      <c r="T56" s="76"/>
      <c r="U56" s="70" t="str">
        <f t="shared" si="1"/>
        <v/>
      </c>
      <c r="V56" s="71" t="str">
        <f t="shared" si="2"/>
        <v/>
      </c>
      <c r="W56" s="76"/>
      <c r="X56" s="15" t="str">
        <f t="shared" si="3"/>
        <v/>
      </c>
      <c r="Y56" s="72" t="str">
        <f t="shared" si="4"/>
        <v/>
      </c>
      <c r="Z56" s="75"/>
    </row>
    <row r="57" ht="15.75" customHeight="1">
      <c r="E57" s="73"/>
      <c r="F57" s="73"/>
      <c r="H57" s="73"/>
      <c r="N57" s="74"/>
      <c r="Q57" s="73"/>
      <c r="R57" s="75"/>
      <c r="S57" s="76"/>
      <c r="T57" s="76"/>
      <c r="U57" s="70" t="str">
        <f t="shared" si="1"/>
        <v/>
      </c>
      <c r="V57" s="71" t="str">
        <f t="shared" si="2"/>
        <v/>
      </c>
      <c r="W57" s="76"/>
      <c r="X57" s="15" t="str">
        <f t="shared" si="3"/>
        <v/>
      </c>
      <c r="Y57" s="72" t="str">
        <f t="shared" si="4"/>
        <v/>
      </c>
      <c r="Z57" s="75"/>
    </row>
    <row r="58" ht="15.75" customHeight="1">
      <c r="E58" s="73"/>
      <c r="F58" s="73"/>
      <c r="H58" s="73"/>
      <c r="N58" s="74"/>
      <c r="Q58" s="73"/>
      <c r="R58" s="75"/>
      <c r="S58" s="76"/>
      <c r="T58" s="76"/>
      <c r="U58" s="70" t="str">
        <f t="shared" si="1"/>
        <v/>
      </c>
      <c r="V58" s="71" t="str">
        <f t="shared" si="2"/>
        <v/>
      </c>
      <c r="W58" s="76"/>
      <c r="X58" s="15" t="str">
        <f t="shared" si="3"/>
        <v/>
      </c>
      <c r="Y58" s="72" t="str">
        <f t="shared" si="4"/>
        <v/>
      </c>
      <c r="Z58" s="75"/>
    </row>
    <row r="59" ht="15.75" customHeight="1">
      <c r="E59" s="73"/>
      <c r="F59" s="73"/>
      <c r="H59" s="73"/>
      <c r="N59" s="74"/>
      <c r="Q59" s="73"/>
      <c r="R59" s="75"/>
      <c r="S59" s="76"/>
      <c r="T59" s="76"/>
      <c r="U59" s="70" t="str">
        <f t="shared" si="1"/>
        <v/>
      </c>
      <c r="V59" s="71" t="str">
        <f t="shared" si="2"/>
        <v/>
      </c>
      <c r="W59" s="76"/>
      <c r="X59" s="15" t="str">
        <f t="shared" si="3"/>
        <v/>
      </c>
      <c r="Y59" s="72" t="str">
        <f t="shared" si="4"/>
        <v/>
      </c>
      <c r="Z59" s="75"/>
    </row>
    <row r="60" ht="15.75" customHeight="1">
      <c r="E60" s="73"/>
      <c r="F60" s="73"/>
      <c r="H60" s="73"/>
      <c r="N60" s="74"/>
      <c r="Q60" s="73"/>
      <c r="R60" s="75"/>
      <c r="S60" s="76"/>
      <c r="T60" s="76"/>
      <c r="U60" s="70" t="str">
        <f t="shared" si="1"/>
        <v/>
      </c>
      <c r="V60" s="71" t="str">
        <f t="shared" si="2"/>
        <v/>
      </c>
      <c r="W60" s="76"/>
      <c r="X60" s="15" t="str">
        <f t="shared" si="3"/>
        <v/>
      </c>
      <c r="Y60" s="72" t="str">
        <f t="shared" si="4"/>
        <v/>
      </c>
      <c r="Z60" s="75"/>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60"/>
  <dataValidations>
    <dataValidation type="list" allowBlank="1" sqref="E5:E60">
      <formula1>"Meta,TikTok"</formula1>
    </dataValidation>
    <dataValidation type="list" allowBlank="1" sqref="Q5:Q60">
      <formula1>"Draft,Pending approval,Live,Paused,Complete"</formula1>
    </dataValidation>
    <dataValidation type="list" allowBlank="1" sqref="F5:F60">
      <formula1>"IG Reels,IG Stories,FB Feed,TikTok In-Feed,Advantage+"</formula1>
    </dataValidation>
    <dataValidation type="list" allowBlank="1" sqref="H5:H60">
      <formula1>"Over 40,High Performer,Over 40 / High Performer,Broad/Lookalike"</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3" width="34.0"/>
    <col customWidth="1" min="4" max="4" width="46.0"/>
    <col customWidth="1" min="5" max="5" width="11.0"/>
    <col customWidth="1" min="6" max="6" width="17.0"/>
    <col customWidth="1" min="7" max="7" width="24.0"/>
    <col customWidth="1" min="8" max="8" width="22.0"/>
    <col customWidth="1" min="9" max="9" width="32.0"/>
    <col customWidth="1" min="10" max="10" width="12.0"/>
    <col customWidth="1" min="11" max="11" width="14.0"/>
    <col customWidth="1" min="12" max="12" width="15.0"/>
    <col customWidth="1" min="13" max="13" width="34.0"/>
    <col customWidth="1" min="14" max="14" width="22.0"/>
    <col customWidth="1" min="15" max="15" width="16.0"/>
    <col customWidth="1" min="16" max="16" width="18.0"/>
    <col customWidth="1" min="17" max="17" width="12.0"/>
    <col customWidth="1" min="18" max="18" width="11.0"/>
    <col customWidth="1" min="19" max="19" width="12.0"/>
    <col customWidth="1" min="20" max="22" width="10.0"/>
    <col customWidth="1" min="23" max="23" width="12.0"/>
    <col customWidth="1" min="24" max="25" width="10.0"/>
    <col customWidth="1" min="26" max="26" width="12.0"/>
  </cols>
  <sheetData>
    <row r="1" ht="33.75" customHeight="1">
      <c r="A1" s="23" t="s">
        <v>335</v>
      </c>
      <c r="B1" s="23" t="s">
        <v>336</v>
      </c>
      <c r="C1" s="23" t="s">
        <v>339</v>
      </c>
      <c r="D1" s="23" t="s">
        <v>340</v>
      </c>
      <c r="E1" s="23" t="s">
        <v>308</v>
      </c>
      <c r="F1" s="23" t="s">
        <v>341</v>
      </c>
      <c r="G1" s="23" t="s">
        <v>342</v>
      </c>
      <c r="H1" s="23" t="s">
        <v>343</v>
      </c>
      <c r="I1" s="23" t="s">
        <v>344</v>
      </c>
      <c r="J1" s="23" t="s">
        <v>345</v>
      </c>
      <c r="K1" s="23" t="s">
        <v>346</v>
      </c>
      <c r="L1" s="23" t="s">
        <v>347</v>
      </c>
      <c r="M1" s="23" t="s">
        <v>348</v>
      </c>
      <c r="N1" s="23" t="s">
        <v>349</v>
      </c>
      <c r="O1" s="23" t="s">
        <v>350</v>
      </c>
      <c r="P1" s="23" t="s">
        <v>352</v>
      </c>
      <c r="Q1" s="23" t="s">
        <v>353</v>
      </c>
      <c r="R1" s="23" t="s">
        <v>354</v>
      </c>
      <c r="S1" s="23" t="s">
        <v>355</v>
      </c>
      <c r="T1" s="23" t="s">
        <v>356</v>
      </c>
      <c r="U1" s="23" t="s">
        <v>357</v>
      </c>
      <c r="V1" s="23" t="s">
        <v>358</v>
      </c>
      <c r="W1" s="23" t="s">
        <v>17</v>
      </c>
      <c r="X1" s="23" t="s">
        <v>359</v>
      </c>
      <c r="Y1" s="23" t="s">
        <v>360</v>
      </c>
      <c r="Z1" s="23" t="s">
        <v>18</v>
      </c>
    </row>
    <row r="2" ht="30.0" customHeight="1">
      <c r="A2" s="60" t="s">
        <v>363</v>
      </c>
      <c r="B2" s="60" t="s">
        <v>365</v>
      </c>
      <c r="C2" s="60" t="s">
        <v>365</v>
      </c>
      <c r="D2" s="60" t="s">
        <v>365</v>
      </c>
      <c r="E2" s="60" t="s">
        <v>363</v>
      </c>
      <c r="F2" s="60" t="s">
        <v>363</v>
      </c>
      <c r="G2" s="60" t="s">
        <v>363</v>
      </c>
      <c r="H2" s="60" t="s">
        <v>363</v>
      </c>
      <c r="I2" s="60" t="s">
        <v>363</v>
      </c>
      <c r="J2" s="60" t="s">
        <v>363</v>
      </c>
      <c r="K2" s="60" t="s">
        <v>363</v>
      </c>
      <c r="L2" s="60" t="s">
        <v>369</v>
      </c>
      <c r="M2" s="60" t="s">
        <v>451</v>
      </c>
      <c r="N2" s="60" t="s">
        <v>371</v>
      </c>
      <c r="O2" s="60" t="s">
        <v>371</v>
      </c>
      <c r="P2" s="60" t="s">
        <v>371</v>
      </c>
      <c r="Q2" s="60" t="s">
        <v>371</v>
      </c>
      <c r="R2" s="60" t="s">
        <v>375</v>
      </c>
      <c r="S2" s="60" t="s">
        <v>375</v>
      </c>
      <c r="T2" s="60" t="s">
        <v>375</v>
      </c>
      <c r="U2" s="60" t="s">
        <v>376</v>
      </c>
      <c r="V2" s="60" t="s">
        <v>376</v>
      </c>
      <c r="W2" s="60" t="s">
        <v>375</v>
      </c>
      <c r="X2" s="60" t="s">
        <v>376</v>
      </c>
      <c r="Y2" s="60" t="s">
        <v>376</v>
      </c>
      <c r="Z2" s="60" t="s">
        <v>375</v>
      </c>
    </row>
    <row r="3">
      <c r="A3" s="66" t="s">
        <v>380</v>
      </c>
      <c r="B3" s="66" t="s">
        <v>278</v>
      </c>
      <c r="C3" s="66" t="s">
        <v>279</v>
      </c>
      <c r="D3" s="66" t="s">
        <v>280</v>
      </c>
      <c r="E3" s="66" t="s">
        <v>138</v>
      </c>
      <c r="F3" s="66" t="s">
        <v>464</v>
      </c>
      <c r="G3" s="66" t="s">
        <v>465</v>
      </c>
      <c r="H3" s="66" t="s">
        <v>466</v>
      </c>
      <c r="I3" s="66" t="s">
        <v>467</v>
      </c>
      <c r="J3" s="66" t="s">
        <v>455</v>
      </c>
      <c r="K3" s="66" t="s">
        <v>456</v>
      </c>
      <c r="L3" s="66" t="s">
        <v>393</v>
      </c>
      <c r="M3" s="67" t="s">
        <v>468</v>
      </c>
      <c r="N3" s="66" t="s">
        <v>395</v>
      </c>
      <c r="O3" s="66" t="s">
        <v>396</v>
      </c>
      <c r="P3" s="66" t="s">
        <v>397</v>
      </c>
      <c r="Q3" s="66" t="s">
        <v>398</v>
      </c>
      <c r="R3" s="66" t="s">
        <v>399</v>
      </c>
      <c r="S3" s="66" t="s">
        <v>399</v>
      </c>
      <c r="T3" s="66" t="s">
        <v>399</v>
      </c>
      <c r="U3" s="66" t="s">
        <v>399</v>
      </c>
      <c r="V3" s="66" t="s">
        <v>399</v>
      </c>
      <c r="W3" s="66" t="s">
        <v>399</v>
      </c>
      <c r="X3" s="66" t="s">
        <v>399</v>
      </c>
      <c r="Y3" s="66" t="s">
        <v>399</v>
      </c>
      <c r="Z3" s="66" t="s">
        <v>399</v>
      </c>
    </row>
    <row r="4">
      <c r="A4" s="10" t="s">
        <v>403</v>
      </c>
      <c r="B4" s="10" t="s">
        <v>404</v>
      </c>
      <c r="C4" s="10" t="s">
        <v>404</v>
      </c>
      <c r="D4" s="10" t="s">
        <v>404</v>
      </c>
      <c r="E4" s="10" t="s">
        <v>405</v>
      </c>
      <c r="F4" s="10" t="s">
        <v>405</v>
      </c>
      <c r="G4" s="10" t="s">
        <v>405</v>
      </c>
      <c r="H4" s="10" t="s">
        <v>405</v>
      </c>
      <c r="I4" s="10" t="s">
        <v>404</v>
      </c>
      <c r="J4" s="10" t="s">
        <v>405</v>
      </c>
      <c r="K4" s="10" t="s">
        <v>405</v>
      </c>
      <c r="L4" s="10" t="s">
        <v>405</v>
      </c>
      <c r="M4" s="10" t="s">
        <v>408</v>
      </c>
      <c r="N4" s="69" t="s">
        <v>404</v>
      </c>
      <c r="O4" s="10" t="s">
        <v>404</v>
      </c>
      <c r="P4" s="10" t="s">
        <v>404</v>
      </c>
      <c r="Q4" s="10" t="s">
        <v>404</v>
      </c>
      <c r="R4" s="15"/>
      <c r="S4" s="13"/>
      <c r="T4" s="13"/>
      <c r="U4" s="70" t="str">
        <f t="shared" ref="U4:U60" si="1">IFERROR(T4/S4,"")</f>
        <v/>
      </c>
      <c r="V4" s="71" t="str">
        <f t="shared" ref="V4:V60" si="2">IFERROR(R4/T4,"")</f>
        <v/>
      </c>
      <c r="W4" s="13"/>
      <c r="X4" s="15" t="str">
        <f t="shared" ref="X4:X60" si="3">IFERROR(R4/W4,"")</f>
        <v/>
      </c>
      <c r="Y4" s="72" t="str">
        <f t="shared" ref="Y4:Y60" si="4">IFERROR(Z4/R4,"")</f>
        <v/>
      </c>
      <c r="Z4" s="15"/>
    </row>
    <row r="5">
      <c r="E5" s="73"/>
      <c r="F5" s="73"/>
      <c r="H5" s="73"/>
      <c r="N5" s="74"/>
      <c r="Q5" s="73"/>
      <c r="R5" s="75"/>
      <c r="S5" s="76"/>
      <c r="T5" s="76"/>
      <c r="U5" s="70" t="str">
        <f t="shared" si="1"/>
        <v/>
      </c>
      <c r="V5" s="71" t="str">
        <f t="shared" si="2"/>
        <v/>
      </c>
      <c r="W5" s="76"/>
      <c r="X5" s="15" t="str">
        <f t="shared" si="3"/>
        <v/>
      </c>
      <c r="Y5" s="72" t="str">
        <f t="shared" si="4"/>
        <v/>
      </c>
      <c r="Z5" s="75"/>
    </row>
    <row r="6">
      <c r="E6" s="73"/>
      <c r="F6" s="73"/>
      <c r="H6" s="73"/>
      <c r="N6" s="74"/>
      <c r="Q6" s="73"/>
      <c r="R6" s="75"/>
      <c r="S6" s="76"/>
      <c r="T6" s="76"/>
      <c r="U6" s="70" t="str">
        <f t="shared" si="1"/>
        <v/>
      </c>
      <c r="V6" s="71" t="str">
        <f t="shared" si="2"/>
        <v/>
      </c>
      <c r="W6" s="76"/>
      <c r="X6" s="15" t="str">
        <f t="shared" si="3"/>
        <v/>
      </c>
      <c r="Y6" s="72" t="str">
        <f t="shared" si="4"/>
        <v/>
      </c>
      <c r="Z6" s="75"/>
    </row>
    <row r="7">
      <c r="E7" s="73"/>
      <c r="F7" s="73"/>
      <c r="H7" s="73"/>
      <c r="N7" s="74"/>
      <c r="Q7" s="73"/>
      <c r="R7" s="75"/>
      <c r="S7" s="76"/>
      <c r="T7" s="76"/>
      <c r="U7" s="70" t="str">
        <f t="shared" si="1"/>
        <v/>
      </c>
      <c r="V7" s="71" t="str">
        <f t="shared" si="2"/>
        <v/>
      </c>
      <c r="W7" s="76"/>
      <c r="X7" s="15" t="str">
        <f t="shared" si="3"/>
        <v/>
      </c>
      <c r="Y7" s="72" t="str">
        <f t="shared" si="4"/>
        <v/>
      </c>
      <c r="Z7" s="75"/>
    </row>
    <row r="8">
      <c r="E8" s="73"/>
      <c r="F8" s="73"/>
      <c r="H8" s="73"/>
      <c r="N8" s="74"/>
      <c r="Q8" s="73"/>
      <c r="R8" s="75"/>
      <c r="S8" s="76"/>
      <c r="T8" s="76"/>
      <c r="U8" s="70" t="str">
        <f t="shared" si="1"/>
        <v/>
      </c>
      <c r="V8" s="71" t="str">
        <f t="shared" si="2"/>
        <v/>
      </c>
      <c r="W8" s="76"/>
      <c r="X8" s="15" t="str">
        <f t="shared" si="3"/>
        <v/>
      </c>
      <c r="Y8" s="72" t="str">
        <f t="shared" si="4"/>
        <v/>
      </c>
      <c r="Z8" s="75"/>
    </row>
    <row r="9">
      <c r="E9" s="73"/>
      <c r="F9" s="73"/>
      <c r="H9" s="73"/>
      <c r="N9" s="74"/>
      <c r="Q9" s="73"/>
      <c r="R9" s="75"/>
      <c r="S9" s="76"/>
      <c r="T9" s="76"/>
      <c r="U9" s="70" t="str">
        <f t="shared" si="1"/>
        <v/>
      </c>
      <c r="V9" s="71" t="str">
        <f t="shared" si="2"/>
        <v/>
      </c>
      <c r="W9" s="76"/>
      <c r="X9" s="15" t="str">
        <f t="shared" si="3"/>
        <v/>
      </c>
      <c r="Y9" s="72" t="str">
        <f t="shared" si="4"/>
        <v/>
      </c>
      <c r="Z9" s="75"/>
    </row>
    <row r="10">
      <c r="E10" s="73"/>
      <c r="F10" s="73"/>
      <c r="H10" s="73"/>
      <c r="N10" s="74"/>
      <c r="Q10" s="73"/>
      <c r="R10" s="75"/>
      <c r="S10" s="76"/>
      <c r="T10" s="76"/>
      <c r="U10" s="70" t="str">
        <f t="shared" si="1"/>
        <v/>
      </c>
      <c r="V10" s="71" t="str">
        <f t="shared" si="2"/>
        <v/>
      </c>
      <c r="W10" s="76"/>
      <c r="X10" s="15" t="str">
        <f t="shared" si="3"/>
        <v/>
      </c>
      <c r="Y10" s="72" t="str">
        <f t="shared" si="4"/>
        <v/>
      </c>
      <c r="Z10" s="75"/>
    </row>
    <row r="11">
      <c r="E11" s="73"/>
      <c r="F11" s="73"/>
      <c r="H11" s="73"/>
      <c r="N11" s="74"/>
      <c r="Q11" s="73"/>
      <c r="R11" s="75"/>
      <c r="S11" s="76"/>
      <c r="T11" s="76"/>
      <c r="U11" s="70" t="str">
        <f t="shared" si="1"/>
        <v/>
      </c>
      <c r="V11" s="71" t="str">
        <f t="shared" si="2"/>
        <v/>
      </c>
      <c r="W11" s="76"/>
      <c r="X11" s="15" t="str">
        <f t="shared" si="3"/>
        <v/>
      </c>
      <c r="Y11" s="72" t="str">
        <f t="shared" si="4"/>
        <v/>
      </c>
      <c r="Z11" s="75"/>
    </row>
    <row r="12">
      <c r="E12" s="73"/>
      <c r="F12" s="73"/>
      <c r="H12" s="73"/>
      <c r="N12" s="74"/>
      <c r="Q12" s="73"/>
      <c r="R12" s="75"/>
      <c r="S12" s="76"/>
      <c r="T12" s="76"/>
      <c r="U12" s="70" t="str">
        <f t="shared" si="1"/>
        <v/>
      </c>
      <c r="V12" s="71" t="str">
        <f t="shared" si="2"/>
        <v/>
      </c>
      <c r="W12" s="76"/>
      <c r="X12" s="15" t="str">
        <f t="shared" si="3"/>
        <v/>
      </c>
      <c r="Y12" s="72" t="str">
        <f t="shared" si="4"/>
        <v/>
      </c>
      <c r="Z12" s="75"/>
    </row>
    <row r="13">
      <c r="E13" s="73"/>
      <c r="F13" s="73"/>
      <c r="H13" s="73"/>
      <c r="N13" s="74"/>
      <c r="Q13" s="73"/>
      <c r="R13" s="75"/>
      <c r="S13" s="76"/>
      <c r="T13" s="76"/>
      <c r="U13" s="70" t="str">
        <f t="shared" si="1"/>
        <v/>
      </c>
      <c r="V13" s="71" t="str">
        <f t="shared" si="2"/>
        <v/>
      </c>
      <c r="W13" s="76"/>
      <c r="X13" s="15" t="str">
        <f t="shared" si="3"/>
        <v/>
      </c>
      <c r="Y13" s="72" t="str">
        <f t="shared" si="4"/>
        <v/>
      </c>
      <c r="Z13" s="75"/>
    </row>
    <row r="14">
      <c r="E14" s="73"/>
      <c r="F14" s="73"/>
      <c r="H14" s="73"/>
      <c r="N14" s="74"/>
      <c r="Q14" s="73"/>
      <c r="R14" s="75"/>
      <c r="S14" s="76"/>
      <c r="T14" s="76"/>
      <c r="U14" s="70" t="str">
        <f t="shared" si="1"/>
        <v/>
      </c>
      <c r="V14" s="71" t="str">
        <f t="shared" si="2"/>
        <v/>
      </c>
      <c r="W14" s="76"/>
      <c r="X14" s="15" t="str">
        <f t="shared" si="3"/>
        <v/>
      </c>
      <c r="Y14" s="72" t="str">
        <f t="shared" si="4"/>
        <v/>
      </c>
      <c r="Z14" s="75"/>
    </row>
    <row r="15">
      <c r="E15" s="73"/>
      <c r="F15" s="73"/>
      <c r="H15" s="73"/>
      <c r="N15" s="74"/>
      <c r="Q15" s="73"/>
      <c r="R15" s="75"/>
      <c r="S15" s="76"/>
      <c r="T15" s="76"/>
      <c r="U15" s="70" t="str">
        <f t="shared" si="1"/>
        <v/>
      </c>
      <c r="V15" s="71" t="str">
        <f t="shared" si="2"/>
        <v/>
      </c>
      <c r="W15" s="76"/>
      <c r="X15" s="15" t="str">
        <f t="shared" si="3"/>
        <v/>
      </c>
      <c r="Y15" s="72" t="str">
        <f t="shared" si="4"/>
        <v/>
      </c>
      <c r="Z15" s="75"/>
    </row>
    <row r="16">
      <c r="E16" s="73"/>
      <c r="F16" s="73"/>
      <c r="H16" s="73"/>
      <c r="N16" s="74"/>
      <c r="Q16" s="73"/>
      <c r="R16" s="75"/>
      <c r="S16" s="76"/>
      <c r="T16" s="76"/>
      <c r="U16" s="70" t="str">
        <f t="shared" si="1"/>
        <v/>
      </c>
      <c r="V16" s="71" t="str">
        <f t="shared" si="2"/>
        <v/>
      </c>
      <c r="W16" s="76"/>
      <c r="X16" s="15" t="str">
        <f t="shared" si="3"/>
        <v/>
      </c>
      <c r="Y16" s="72" t="str">
        <f t="shared" si="4"/>
        <v/>
      </c>
      <c r="Z16" s="75"/>
    </row>
    <row r="17">
      <c r="E17" s="73"/>
      <c r="F17" s="73"/>
      <c r="H17" s="73"/>
      <c r="N17" s="74"/>
      <c r="Q17" s="73"/>
      <c r="R17" s="75"/>
      <c r="S17" s="76"/>
      <c r="T17" s="76"/>
      <c r="U17" s="70" t="str">
        <f t="shared" si="1"/>
        <v/>
      </c>
      <c r="V17" s="71" t="str">
        <f t="shared" si="2"/>
        <v/>
      </c>
      <c r="W17" s="76"/>
      <c r="X17" s="15" t="str">
        <f t="shared" si="3"/>
        <v/>
      </c>
      <c r="Y17" s="72" t="str">
        <f t="shared" si="4"/>
        <v/>
      </c>
      <c r="Z17" s="75"/>
    </row>
    <row r="18">
      <c r="E18" s="73"/>
      <c r="F18" s="73"/>
      <c r="H18" s="73"/>
      <c r="N18" s="74"/>
      <c r="Q18" s="73"/>
      <c r="R18" s="75"/>
      <c r="S18" s="76"/>
      <c r="T18" s="76"/>
      <c r="U18" s="70" t="str">
        <f t="shared" si="1"/>
        <v/>
      </c>
      <c r="V18" s="71" t="str">
        <f t="shared" si="2"/>
        <v/>
      </c>
      <c r="W18" s="76"/>
      <c r="X18" s="15" t="str">
        <f t="shared" si="3"/>
        <v/>
      </c>
      <c r="Y18" s="72" t="str">
        <f t="shared" si="4"/>
        <v/>
      </c>
      <c r="Z18" s="75"/>
    </row>
    <row r="19">
      <c r="E19" s="73"/>
      <c r="F19" s="73"/>
      <c r="H19" s="73"/>
      <c r="N19" s="74"/>
      <c r="Q19" s="73"/>
      <c r="R19" s="75"/>
      <c r="S19" s="76"/>
      <c r="T19" s="76"/>
      <c r="U19" s="70" t="str">
        <f t="shared" si="1"/>
        <v/>
      </c>
      <c r="V19" s="71" t="str">
        <f t="shared" si="2"/>
        <v/>
      </c>
      <c r="W19" s="76"/>
      <c r="X19" s="15" t="str">
        <f t="shared" si="3"/>
        <v/>
      </c>
      <c r="Y19" s="72" t="str">
        <f t="shared" si="4"/>
        <v/>
      </c>
      <c r="Z19" s="75"/>
    </row>
    <row r="20">
      <c r="E20" s="73"/>
      <c r="F20" s="73"/>
      <c r="H20" s="73"/>
      <c r="N20" s="74"/>
      <c r="Q20" s="73"/>
      <c r="R20" s="75"/>
      <c r="S20" s="76"/>
      <c r="T20" s="76"/>
      <c r="U20" s="70" t="str">
        <f t="shared" si="1"/>
        <v/>
      </c>
      <c r="V20" s="71" t="str">
        <f t="shared" si="2"/>
        <v/>
      </c>
      <c r="W20" s="76"/>
      <c r="X20" s="15" t="str">
        <f t="shared" si="3"/>
        <v/>
      </c>
      <c r="Y20" s="72" t="str">
        <f t="shared" si="4"/>
        <v/>
      </c>
      <c r="Z20" s="75"/>
    </row>
    <row r="21" ht="15.75" customHeight="1">
      <c r="E21" s="73"/>
      <c r="F21" s="73"/>
      <c r="H21" s="73"/>
      <c r="N21" s="74"/>
      <c r="Q21" s="73"/>
      <c r="R21" s="75"/>
      <c r="S21" s="76"/>
      <c r="T21" s="76"/>
      <c r="U21" s="70" t="str">
        <f t="shared" si="1"/>
        <v/>
      </c>
      <c r="V21" s="71" t="str">
        <f t="shared" si="2"/>
        <v/>
      </c>
      <c r="W21" s="76"/>
      <c r="X21" s="15" t="str">
        <f t="shared" si="3"/>
        <v/>
      </c>
      <c r="Y21" s="72" t="str">
        <f t="shared" si="4"/>
        <v/>
      </c>
      <c r="Z21" s="75"/>
    </row>
    <row r="22" ht="15.75" customHeight="1">
      <c r="E22" s="73"/>
      <c r="F22" s="73"/>
      <c r="H22" s="73"/>
      <c r="N22" s="74"/>
      <c r="Q22" s="73"/>
      <c r="R22" s="75"/>
      <c r="S22" s="76"/>
      <c r="T22" s="76"/>
      <c r="U22" s="70" t="str">
        <f t="shared" si="1"/>
        <v/>
      </c>
      <c r="V22" s="71" t="str">
        <f t="shared" si="2"/>
        <v/>
      </c>
      <c r="W22" s="76"/>
      <c r="X22" s="15" t="str">
        <f t="shared" si="3"/>
        <v/>
      </c>
      <c r="Y22" s="72" t="str">
        <f t="shared" si="4"/>
        <v/>
      </c>
      <c r="Z22" s="75"/>
    </row>
    <row r="23" ht="15.75" customHeight="1">
      <c r="E23" s="73"/>
      <c r="F23" s="73"/>
      <c r="H23" s="73"/>
      <c r="N23" s="74"/>
      <c r="Q23" s="73"/>
      <c r="R23" s="75"/>
      <c r="S23" s="76"/>
      <c r="T23" s="76"/>
      <c r="U23" s="70" t="str">
        <f t="shared" si="1"/>
        <v/>
      </c>
      <c r="V23" s="71" t="str">
        <f t="shared" si="2"/>
        <v/>
      </c>
      <c r="W23" s="76"/>
      <c r="X23" s="15" t="str">
        <f t="shared" si="3"/>
        <v/>
      </c>
      <c r="Y23" s="72" t="str">
        <f t="shared" si="4"/>
        <v/>
      </c>
      <c r="Z23" s="75"/>
    </row>
    <row r="24" ht="15.75" customHeight="1">
      <c r="E24" s="73"/>
      <c r="F24" s="73"/>
      <c r="H24" s="73"/>
      <c r="N24" s="74"/>
      <c r="Q24" s="73"/>
      <c r="R24" s="75"/>
      <c r="S24" s="76"/>
      <c r="T24" s="76"/>
      <c r="U24" s="70" t="str">
        <f t="shared" si="1"/>
        <v/>
      </c>
      <c r="V24" s="71" t="str">
        <f t="shared" si="2"/>
        <v/>
      </c>
      <c r="W24" s="76"/>
      <c r="X24" s="15" t="str">
        <f t="shared" si="3"/>
        <v/>
      </c>
      <c r="Y24" s="72" t="str">
        <f t="shared" si="4"/>
        <v/>
      </c>
      <c r="Z24" s="75"/>
    </row>
    <row r="25" ht="15.75" customHeight="1">
      <c r="E25" s="73"/>
      <c r="F25" s="73"/>
      <c r="H25" s="73"/>
      <c r="N25" s="74"/>
      <c r="Q25" s="73"/>
      <c r="R25" s="75"/>
      <c r="S25" s="76"/>
      <c r="T25" s="76"/>
      <c r="U25" s="70" t="str">
        <f t="shared" si="1"/>
        <v/>
      </c>
      <c r="V25" s="71" t="str">
        <f t="shared" si="2"/>
        <v/>
      </c>
      <c r="W25" s="76"/>
      <c r="X25" s="15" t="str">
        <f t="shared" si="3"/>
        <v/>
      </c>
      <c r="Y25" s="72" t="str">
        <f t="shared" si="4"/>
        <v/>
      </c>
      <c r="Z25" s="75"/>
    </row>
    <row r="26" ht="15.75" customHeight="1">
      <c r="E26" s="73"/>
      <c r="F26" s="73"/>
      <c r="H26" s="73"/>
      <c r="N26" s="74"/>
      <c r="Q26" s="73"/>
      <c r="R26" s="75"/>
      <c r="S26" s="76"/>
      <c r="T26" s="76"/>
      <c r="U26" s="70" t="str">
        <f t="shared" si="1"/>
        <v/>
      </c>
      <c r="V26" s="71" t="str">
        <f t="shared" si="2"/>
        <v/>
      </c>
      <c r="W26" s="76"/>
      <c r="X26" s="15" t="str">
        <f t="shared" si="3"/>
        <v/>
      </c>
      <c r="Y26" s="72" t="str">
        <f t="shared" si="4"/>
        <v/>
      </c>
      <c r="Z26" s="75"/>
    </row>
    <row r="27" ht="15.75" customHeight="1">
      <c r="E27" s="73"/>
      <c r="F27" s="73"/>
      <c r="H27" s="73"/>
      <c r="N27" s="74"/>
      <c r="Q27" s="73"/>
      <c r="R27" s="75"/>
      <c r="S27" s="76"/>
      <c r="T27" s="76"/>
      <c r="U27" s="70" t="str">
        <f t="shared" si="1"/>
        <v/>
      </c>
      <c r="V27" s="71" t="str">
        <f t="shared" si="2"/>
        <v/>
      </c>
      <c r="W27" s="76"/>
      <c r="X27" s="15" t="str">
        <f t="shared" si="3"/>
        <v/>
      </c>
      <c r="Y27" s="72" t="str">
        <f t="shared" si="4"/>
        <v/>
      </c>
      <c r="Z27" s="75"/>
    </row>
    <row r="28" ht="15.75" customHeight="1">
      <c r="E28" s="73"/>
      <c r="F28" s="73"/>
      <c r="H28" s="73"/>
      <c r="N28" s="74"/>
      <c r="Q28" s="73"/>
      <c r="R28" s="75"/>
      <c r="S28" s="76"/>
      <c r="T28" s="76"/>
      <c r="U28" s="70" t="str">
        <f t="shared" si="1"/>
        <v/>
      </c>
      <c r="V28" s="71" t="str">
        <f t="shared" si="2"/>
        <v/>
      </c>
      <c r="W28" s="76"/>
      <c r="X28" s="15" t="str">
        <f t="shared" si="3"/>
        <v/>
      </c>
      <c r="Y28" s="72" t="str">
        <f t="shared" si="4"/>
        <v/>
      </c>
      <c r="Z28" s="75"/>
    </row>
    <row r="29" ht="15.75" customHeight="1">
      <c r="E29" s="73"/>
      <c r="F29" s="73"/>
      <c r="H29" s="73"/>
      <c r="N29" s="74"/>
      <c r="Q29" s="73"/>
      <c r="R29" s="75"/>
      <c r="S29" s="76"/>
      <c r="T29" s="76"/>
      <c r="U29" s="70" t="str">
        <f t="shared" si="1"/>
        <v/>
      </c>
      <c r="V29" s="71" t="str">
        <f t="shared" si="2"/>
        <v/>
      </c>
      <c r="W29" s="76"/>
      <c r="X29" s="15" t="str">
        <f t="shared" si="3"/>
        <v/>
      </c>
      <c r="Y29" s="72" t="str">
        <f t="shared" si="4"/>
        <v/>
      </c>
      <c r="Z29" s="75"/>
    </row>
    <row r="30" ht="15.75" customHeight="1">
      <c r="E30" s="73"/>
      <c r="F30" s="73"/>
      <c r="H30" s="73"/>
      <c r="N30" s="74"/>
      <c r="Q30" s="73"/>
      <c r="R30" s="75"/>
      <c r="S30" s="76"/>
      <c r="T30" s="76"/>
      <c r="U30" s="70" t="str">
        <f t="shared" si="1"/>
        <v/>
      </c>
      <c r="V30" s="71" t="str">
        <f t="shared" si="2"/>
        <v/>
      </c>
      <c r="W30" s="76"/>
      <c r="X30" s="15" t="str">
        <f t="shared" si="3"/>
        <v/>
      </c>
      <c r="Y30" s="72" t="str">
        <f t="shared" si="4"/>
        <v/>
      </c>
      <c r="Z30" s="75"/>
    </row>
    <row r="31" ht="15.75" customHeight="1">
      <c r="E31" s="73"/>
      <c r="F31" s="73"/>
      <c r="H31" s="73"/>
      <c r="N31" s="74"/>
      <c r="Q31" s="73"/>
      <c r="R31" s="75"/>
      <c r="S31" s="76"/>
      <c r="T31" s="76"/>
      <c r="U31" s="70" t="str">
        <f t="shared" si="1"/>
        <v/>
      </c>
      <c r="V31" s="71" t="str">
        <f t="shared" si="2"/>
        <v/>
      </c>
      <c r="W31" s="76"/>
      <c r="X31" s="15" t="str">
        <f t="shared" si="3"/>
        <v/>
      </c>
      <c r="Y31" s="72" t="str">
        <f t="shared" si="4"/>
        <v/>
      </c>
      <c r="Z31" s="75"/>
    </row>
    <row r="32" ht="15.75" customHeight="1">
      <c r="E32" s="73"/>
      <c r="F32" s="73"/>
      <c r="H32" s="73"/>
      <c r="N32" s="74"/>
      <c r="Q32" s="73"/>
      <c r="R32" s="75"/>
      <c r="S32" s="76"/>
      <c r="T32" s="76"/>
      <c r="U32" s="70" t="str">
        <f t="shared" si="1"/>
        <v/>
      </c>
      <c r="V32" s="71" t="str">
        <f t="shared" si="2"/>
        <v/>
      </c>
      <c r="W32" s="76"/>
      <c r="X32" s="15" t="str">
        <f t="shared" si="3"/>
        <v/>
      </c>
      <c r="Y32" s="72" t="str">
        <f t="shared" si="4"/>
        <v/>
      </c>
      <c r="Z32" s="75"/>
    </row>
    <row r="33" ht="15.75" customHeight="1">
      <c r="E33" s="73"/>
      <c r="F33" s="73"/>
      <c r="H33" s="73"/>
      <c r="N33" s="74"/>
      <c r="Q33" s="73"/>
      <c r="R33" s="75"/>
      <c r="S33" s="76"/>
      <c r="T33" s="76"/>
      <c r="U33" s="70" t="str">
        <f t="shared" si="1"/>
        <v/>
      </c>
      <c r="V33" s="71" t="str">
        <f t="shared" si="2"/>
        <v/>
      </c>
      <c r="W33" s="76"/>
      <c r="X33" s="15" t="str">
        <f t="shared" si="3"/>
        <v/>
      </c>
      <c r="Y33" s="72" t="str">
        <f t="shared" si="4"/>
        <v/>
      </c>
      <c r="Z33" s="75"/>
    </row>
    <row r="34" ht="15.75" customHeight="1">
      <c r="E34" s="73"/>
      <c r="F34" s="73"/>
      <c r="H34" s="73"/>
      <c r="N34" s="74"/>
      <c r="Q34" s="73"/>
      <c r="R34" s="75"/>
      <c r="S34" s="76"/>
      <c r="T34" s="76"/>
      <c r="U34" s="70" t="str">
        <f t="shared" si="1"/>
        <v/>
      </c>
      <c r="V34" s="71" t="str">
        <f t="shared" si="2"/>
        <v/>
      </c>
      <c r="W34" s="76"/>
      <c r="X34" s="15" t="str">
        <f t="shared" si="3"/>
        <v/>
      </c>
      <c r="Y34" s="72" t="str">
        <f t="shared" si="4"/>
        <v/>
      </c>
      <c r="Z34" s="75"/>
    </row>
    <row r="35" ht="15.75" customHeight="1">
      <c r="E35" s="73"/>
      <c r="F35" s="73"/>
      <c r="H35" s="73"/>
      <c r="N35" s="74"/>
      <c r="Q35" s="73"/>
      <c r="R35" s="75"/>
      <c r="S35" s="76"/>
      <c r="T35" s="76"/>
      <c r="U35" s="70" t="str">
        <f t="shared" si="1"/>
        <v/>
      </c>
      <c r="V35" s="71" t="str">
        <f t="shared" si="2"/>
        <v/>
      </c>
      <c r="W35" s="76"/>
      <c r="X35" s="15" t="str">
        <f t="shared" si="3"/>
        <v/>
      </c>
      <c r="Y35" s="72" t="str">
        <f t="shared" si="4"/>
        <v/>
      </c>
      <c r="Z35" s="75"/>
    </row>
    <row r="36" ht="15.75" customHeight="1">
      <c r="E36" s="73"/>
      <c r="F36" s="73"/>
      <c r="H36" s="73"/>
      <c r="N36" s="74"/>
      <c r="Q36" s="73"/>
      <c r="R36" s="75"/>
      <c r="S36" s="76"/>
      <c r="T36" s="76"/>
      <c r="U36" s="70" t="str">
        <f t="shared" si="1"/>
        <v/>
      </c>
      <c r="V36" s="71" t="str">
        <f t="shared" si="2"/>
        <v/>
      </c>
      <c r="W36" s="76"/>
      <c r="X36" s="15" t="str">
        <f t="shared" si="3"/>
        <v/>
      </c>
      <c r="Y36" s="72" t="str">
        <f t="shared" si="4"/>
        <v/>
      </c>
      <c r="Z36" s="75"/>
    </row>
    <row r="37" ht="15.75" customHeight="1">
      <c r="E37" s="73"/>
      <c r="F37" s="73"/>
      <c r="H37" s="73"/>
      <c r="N37" s="74"/>
      <c r="Q37" s="73"/>
      <c r="R37" s="75"/>
      <c r="S37" s="76"/>
      <c r="T37" s="76"/>
      <c r="U37" s="70" t="str">
        <f t="shared" si="1"/>
        <v/>
      </c>
      <c r="V37" s="71" t="str">
        <f t="shared" si="2"/>
        <v/>
      </c>
      <c r="W37" s="76"/>
      <c r="X37" s="15" t="str">
        <f t="shared" si="3"/>
        <v/>
      </c>
      <c r="Y37" s="72" t="str">
        <f t="shared" si="4"/>
        <v/>
      </c>
      <c r="Z37" s="75"/>
    </row>
    <row r="38" ht="15.75" customHeight="1">
      <c r="E38" s="73"/>
      <c r="F38" s="73"/>
      <c r="H38" s="73"/>
      <c r="N38" s="74"/>
      <c r="Q38" s="73"/>
      <c r="R38" s="75"/>
      <c r="S38" s="76"/>
      <c r="T38" s="76"/>
      <c r="U38" s="70" t="str">
        <f t="shared" si="1"/>
        <v/>
      </c>
      <c r="V38" s="71" t="str">
        <f t="shared" si="2"/>
        <v/>
      </c>
      <c r="W38" s="76"/>
      <c r="X38" s="15" t="str">
        <f t="shared" si="3"/>
        <v/>
      </c>
      <c r="Y38" s="72" t="str">
        <f t="shared" si="4"/>
        <v/>
      </c>
      <c r="Z38" s="75"/>
    </row>
    <row r="39" ht="15.75" customHeight="1">
      <c r="E39" s="73"/>
      <c r="F39" s="73"/>
      <c r="H39" s="73"/>
      <c r="N39" s="74"/>
      <c r="Q39" s="73"/>
      <c r="R39" s="75"/>
      <c r="S39" s="76"/>
      <c r="T39" s="76"/>
      <c r="U39" s="70" t="str">
        <f t="shared" si="1"/>
        <v/>
      </c>
      <c r="V39" s="71" t="str">
        <f t="shared" si="2"/>
        <v/>
      </c>
      <c r="W39" s="76"/>
      <c r="X39" s="15" t="str">
        <f t="shared" si="3"/>
        <v/>
      </c>
      <c r="Y39" s="72" t="str">
        <f t="shared" si="4"/>
        <v/>
      </c>
      <c r="Z39" s="75"/>
    </row>
    <row r="40" ht="15.75" customHeight="1">
      <c r="E40" s="73"/>
      <c r="F40" s="73"/>
      <c r="H40" s="73"/>
      <c r="N40" s="74"/>
      <c r="Q40" s="73"/>
      <c r="R40" s="75"/>
      <c r="S40" s="76"/>
      <c r="T40" s="76"/>
      <c r="U40" s="70" t="str">
        <f t="shared" si="1"/>
        <v/>
      </c>
      <c r="V40" s="71" t="str">
        <f t="shared" si="2"/>
        <v/>
      </c>
      <c r="W40" s="76"/>
      <c r="X40" s="15" t="str">
        <f t="shared" si="3"/>
        <v/>
      </c>
      <c r="Y40" s="72" t="str">
        <f t="shared" si="4"/>
        <v/>
      </c>
      <c r="Z40" s="75"/>
    </row>
    <row r="41" ht="15.75" customHeight="1">
      <c r="E41" s="73"/>
      <c r="F41" s="73"/>
      <c r="H41" s="73"/>
      <c r="N41" s="74"/>
      <c r="Q41" s="73"/>
      <c r="R41" s="75"/>
      <c r="S41" s="76"/>
      <c r="T41" s="76"/>
      <c r="U41" s="70" t="str">
        <f t="shared" si="1"/>
        <v/>
      </c>
      <c r="V41" s="71" t="str">
        <f t="shared" si="2"/>
        <v/>
      </c>
      <c r="W41" s="76"/>
      <c r="X41" s="15" t="str">
        <f t="shared" si="3"/>
        <v/>
      </c>
      <c r="Y41" s="72" t="str">
        <f t="shared" si="4"/>
        <v/>
      </c>
      <c r="Z41" s="75"/>
    </row>
    <row r="42" ht="15.75" customHeight="1">
      <c r="E42" s="73"/>
      <c r="F42" s="73"/>
      <c r="H42" s="73"/>
      <c r="N42" s="74"/>
      <c r="Q42" s="73"/>
      <c r="R42" s="75"/>
      <c r="S42" s="76"/>
      <c r="T42" s="76"/>
      <c r="U42" s="70" t="str">
        <f t="shared" si="1"/>
        <v/>
      </c>
      <c r="V42" s="71" t="str">
        <f t="shared" si="2"/>
        <v/>
      </c>
      <c r="W42" s="76"/>
      <c r="X42" s="15" t="str">
        <f t="shared" si="3"/>
        <v/>
      </c>
      <c r="Y42" s="72" t="str">
        <f t="shared" si="4"/>
        <v/>
      </c>
      <c r="Z42" s="75"/>
    </row>
    <row r="43" ht="15.75" customHeight="1">
      <c r="E43" s="73"/>
      <c r="F43" s="73"/>
      <c r="H43" s="73"/>
      <c r="N43" s="74"/>
      <c r="Q43" s="73"/>
      <c r="R43" s="75"/>
      <c r="S43" s="76"/>
      <c r="T43" s="76"/>
      <c r="U43" s="70" t="str">
        <f t="shared" si="1"/>
        <v/>
      </c>
      <c r="V43" s="71" t="str">
        <f t="shared" si="2"/>
        <v/>
      </c>
      <c r="W43" s="76"/>
      <c r="X43" s="15" t="str">
        <f t="shared" si="3"/>
        <v/>
      </c>
      <c r="Y43" s="72" t="str">
        <f t="shared" si="4"/>
        <v/>
      </c>
      <c r="Z43" s="75"/>
    </row>
    <row r="44" ht="15.75" customHeight="1">
      <c r="E44" s="73"/>
      <c r="F44" s="73"/>
      <c r="H44" s="73"/>
      <c r="N44" s="74"/>
      <c r="Q44" s="73"/>
      <c r="R44" s="75"/>
      <c r="S44" s="76"/>
      <c r="T44" s="76"/>
      <c r="U44" s="70" t="str">
        <f t="shared" si="1"/>
        <v/>
      </c>
      <c r="V44" s="71" t="str">
        <f t="shared" si="2"/>
        <v/>
      </c>
      <c r="W44" s="76"/>
      <c r="X44" s="15" t="str">
        <f t="shared" si="3"/>
        <v/>
      </c>
      <c r="Y44" s="72" t="str">
        <f t="shared" si="4"/>
        <v/>
      </c>
      <c r="Z44" s="75"/>
    </row>
    <row r="45" ht="15.75" customHeight="1">
      <c r="E45" s="73"/>
      <c r="F45" s="73"/>
      <c r="H45" s="73"/>
      <c r="N45" s="74"/>
      <c r="Q45" s="73"/>
      <c r="R45" s="75"/>
      <c r="S45" s="76"/>
      <c r="T45" s="76"/>
      <c r="U45" s="70" t="str">
        <f t="shared" si="1"/>
        <v/>
      </c>
      <c r="V45" s="71" t="str">
        <f t="shared" si="2"/>
        <v/>
      </c>
      <c r="W45" s="76"/>
      <c r="X45" s="15" t="str">
        <f t="shared" si="3"/>
        <v/>
      </c>
      <c r="Y45" s="72" t="str">
        <f t="shared" si="4"/>
        <v/>
      </c>
      <c r="Z45" s="75"/>
    </row>
    <row r="46" ht="15.75" customHeight="1">
      <c r="E46" s="73"/>
      <c r="F46" s="73"/>
      <c r="H46" s="73"/>
      <c r="N46" s="74"/>
      <c r="Q46" s="73"/>
      <c r="R46" s="75"/>
      <c r="S46" s="76"/>
      <c r="T46" s="76"/>
      <c r="U46" s="70" t="str">
        <f t="shared" si="1"/>
        <v/>
      </c>
      <c r="V46" s="71" t="str">
        <f t="shared" si="2"/>
        <v/>
      </c>
      <c r="W46" s="76"/>
      <c r="X46" s="15" t="str">
        <f t="shared" si="3"/>
        <v/>
      </c>
      <c r="Y46" s="72" t="str">
        <f t="shared" si="4"/>
        <v/>
      </c>
      <c r="Z46" s="75"/>
    </row>
    <row r="47" ht="15.75" customHeight="1">
      <c r="E47" s="73"/>
      <c r="F47" s="73"/>
      <c r="H47" s="73"/>
      <c r="N47" s="74"/>
      <c r="Q47" s="73"/>
      <c r="R47" s="75"/>
      <c r="S47" s="76"/>
      <c r="T47" s="76"/>
      <c r="U47" s="70" t="str">
        <f t="shared" si="1"/>
        <v/>
      </c>
      <c r="V47" s="71" t="str">
        <f t="shared" si="2"/>
        <v/>
      </c>
      <c r="W47" s="76"/>
      <c r="X47" s="15" t="str">
        <f t="shared" si="3"/>
        <v/>
      </c>
      <c r="Y47" s="72" t="str">
        <f t="shared" si="4"/>
        <v/>
      </c>
      <c r="Z47" s="75"/>
    </row>
    <row r="48" ht="15.75" customHeight="1">
      <c r="E48" s="73"/>
      <c r="F48" s="73"/>
      <c r="H48" s="73"/>
      <c r="N48" s="74"/>
      <c r="Q48" s="73"/>
      <c r="R48" s="75"/>
      <c r="S48" s="76"/>
      <c r="T48" s="76"/>
      <c r="U48" s="70" t="str">
        <f t="shared" si="1"/>
        <v/>
      </c>
      <c r="V48" s="71" t="str">
        <f t="shared" si="2"/>
        <v/>
      </c>
      <c r="W48" s="76"/>
      <c r="X48" s="15" t="str">
        <f t="shared" si="3"/>
        <v/>
      </c>
      <c r="Y48" s="72" t="str">
        <f t="shared" si="4"/>
        <v/>
      </c>
      <c r="Z48" s="75"/>
    </row>
    <row r="49" ht="15.75" customHeight="1">
      <c r="E49" s="73"/>
      <c r="F49" s="73"/>
      <c r="H49" s="73"/>
      <c r="N49" s="74"/>
      <c r="Q49" s="73"/>
      <c r="R49" s="75"/>
      <c r="S49" s="76"/>
      <c r="T49" s="76"/>
      <c r="U49" s="70" t="str">
        <f t="shared" si="1"/>
        <v/>
      </c>
      <c r="V49" s="71" t="str">
        <f t="shared" si="2"/>
        <v/>
      </c>
      <c r="W49" s="76"/>
      <c r="X49" s="15" t="str">
        <f t="shared" si="3"/>
        <v/>
      </c>
      <c r="Y49" s="72" t="str">
        <f t="shared" si="4"/>
        <v/>
      </c>
      <c r="Z49" s="75"/>
    </row>
    <row r="50" ht="15.75" customHeight="1">
      <c r="E50" s="73"/>
      <c r="F50" s="73"/>
      <c r="H50" s="73"/>
      <c r="N50" s="74"/>
      <c r="Q50" s="73"/>
      <c r="R50" s="75"/>
      <c r="S50" s="76"/>
      <c r="T50" s="76"/>
      <c r="U50" s="70" t="str">
        <f t="shared" si="1"/>
        <v/>
      </c>
      <c r="V50" s="71" t="str">
        <f t="shared" si="2"/>
        <v/>
      </c>
      <c r="W50" s="76"/>
      <c r="X50" s="15" t="str">
        <f t="shared" si="3"/>
        <v/>
      </c>
      <c r="Y50" s="72" t="str">
        <f t="shared" si="4"/>
        <v/>
      </c>
      <c r="Z50" s="75"/>
    </row>
    <row r="51" ht="15.75" customHeight="1">
      <c r="E51" s="73"/>
      <c r="F51" s="73"/>
      <c r="H51" s="73"/>
      <c r="N51" s="74"/>
      <c r="Q51" s="73"/>
      <c r="R51" s="75"/>
      <c r="S51" s="76"/>
      <c r="T51" s="76"/>
      <c r="U51" s="70" t="str">
        <f t="shared" si="1"/>
        <v/>
      </c>
      <c r="V51" s="71" t="str">
        <f t="shared" si="2"/>
        <v/>
      </c>
      <c r="W51" s="76"/>
      <c r="X51" s="15" t="str">
        <f t="shared" si="3"/>
        <v/>
      </c>
      <c r="Y51" s="72" t="str">
        <f t="shared" si="4"/>
        <v/>
      </c>
      <c r="Z51" s="75"/>
    </row>
    <row r="52" ht="15.75" customHeight="1">
      <c r="E52" s="73"/>
      <c r="F52" s="73"/>
      <c r="H52" s="73"/>
      <c r="N52" s="74"/>
      <c r="Q52" s="73"/>
      <c r="R52" s="75"/>
      <c r="S52" s="76"/>
      <c r="T52" s="76"/>
      <c r="U52" s="70" t="str">
        <f t="shared" si="1"/>
        <v/>
      </c>
      <c r="V52" s="71" t="str">
        <f t="shared" si="2"/>
        <v/>
      </c>
      <c r="W52" s="76"/>
      <c r="X52" s="15" t="str">
        <f t="shared" si="3"/>
        <v/>
      </c>
      <c r="Y52" s="72" t="str">
        <f t="shared" si="4"/>
        <v/>
      </c>
      <c r="Z52" s="75"/>
    </row>
    <row r="53" ht="15.75" customHeight="1">
      <c r="E53" s="73"/>
      <c r="F53" s="73"/>
      <c r="H53" s="73"/>
      <c r="N53" s="74"/>
      <c r="Q53" s="73"/>
      <c r="R53" s="75"/>
      <c r="S53" s="76"/>
      <c r="T53" s="76"/>
      <c r="U53" s="70" t="str">
        <f t="shared" si="1"/>
        <v/>
      </c>
      <c r="V53" s="71" t="str">
        <f t="shared" si="2"/>
        <v/>
      </c>
      <c r="W53" s="76"/>
      <c r="X53" s="15" t="str">
        <f t="shared" si="3"/>
        <v/>
      </c>
      <c r="Y53" s="72" t="str">
        <f t="shared" si="4"/>
        <v/>
      </c>
      <c r="Z53" s="75"/>
    </row>
    <row r="54" ht="15.75" customHeight="1">
      <c r="E54" s="73"/>
      <c r="F54" s="73"/>
      <c r="H54" s="73"/>
      <c r="N54" s="74"/>
      <c r="Q54" s="73"/>
      <c r="R54" s="75"/>
      <c r="S54" s="76"/>
      <c r="T54" s="76"/>
      <c r="U54" s="70" t="str">
        <f t="shared" si="1"/>
        <v/>
      </c>
      <c r="V54" s="71" t="str">
        <f t="shared" si="2"/>
        <v/>
      </c>
      <c r="W54" s="76"/>
      <c r="X54" s="15" t="str">
        <f t="shared" si="3"/>
        <v/>
      </c>
      <c r="Y54" s="72" t="str">
        <f t="shared" si="4"/>
        <v/>
      </c>
      <c r="Z54" s="75"/>
    </row>
    <row r="55" ht="15.75" customHeight="1">
      <c r="E55" s="73"/>
      <c r="F55" s="73"/>
      <c r="H55" s="73"/>
      <c r="N55" s="74"/>
      <c r="Q55" s="73"/>
      <c r="R55" s="75"/>
      <c r="S55" s="76"/>
      <c r="T55" s="76"/>
      <c r="U55" s="70" t="str">
        <f t="shared" si="1"/>
        <v/>
      </c>
      <c r="V55" s="71" t="str">
        <f t="shared" si="2"/>
        <v/>
      </c>
      <c r="W55" s="76"/>
      <c r="X55" s="15" t="str">
        <f t="shared" si="3"/>
        <v/>
      </c>
      <c r="Y55" s="72" t="str">
        <f t="shared" si="4"/>
        <v/>
      </c>
      <c r="Z55" s="75"/>
    </row>
    <row r="56" ht="15.75" customHeight="1">
      <c r="E56" s="73"/>
      <c r="F56" s="73"/>
      <c r="H56" s="73"/>
      <c r="N56" s="74"/>
      <c r="Q56" s="73"/>
      <c r="R56" s="75"/>
      <c r="S56" s="76"/>
      <c r="T56" s="76"/>
      <c r="U56" s="70" t="str">
        <f t="shared" si="1"/>
        <v/>
      </c>
      <c r="V56" s="71" t="str">
        <f t="shared" si="2"/>
        <v/>
      </c>
      <c r="W56" s="76"/>
      <c r="X56" s="15" t="str">
        <f t="shared" si="3"/>
        <v/>
      </c>
      <c r="Y56" s="72" t="str">
        <f t="shared" si="4"/>
        <v/>
      </c>
      <c r="Z56" s="75"/>
    </row>
    <row r="57" ht="15.75" customHeight="1">
      <c r="E57" s="73"/>
      <c r="F57" s="73"/>
      <c r="H57" s="73"/>
      <c r="N57" s="74"/>
      <c r="Q57" s="73"/>
      <c r="R57" s="75"/>
      <c r="S57" s="76"/>
      <c r="T57" s="76"/>
      <c r="U57" s="70" t="str">
        <f t="shared" si="1"/>
        <v/>
      </c>
      <c r="V57" s="71" t="str">
        <f t="shared" si="2"/>
        <v/>
      </c>
      <c r="W57" s="76"/>
      <c r="X57" s="15" t="str">
        <f t="shared" si="3"/>
        <v/>
      </c>
      <c r="Y57" s="72" t="str">
        <f t="shared" si="4"/>
        <v/>
      </c>
      <c r="Z57" s="75"/>
    </row>
    <row r="58" ht="15.75" customHeight="1">
      <c r="E58" s="73"/>
      <c r="F58" s="73"/>
      <c r="H58" s="73"/>
      <c r="N58" s="74"/>
      <c r="Q58" s="73"/>
      <c r="R58" s="75"/>
      <c r="S58" s="76"/>
      <c r="T58" s="76"/>
      <c r="U58" s="70" t="str">
        <f t="shared" si="1"/>
        <v/>
      </c>
      <c r="V58" s="71" t="str">
        <f t="shared" si="2"/>
        <v/>
      </c>
      <c r="W58" s="76"/>
      <c r="X58" s="15" t="str">
        <f t="shared" si="3"/>
        <v/>
      </c>
      <c r="Y58" s="72" t="str">
        <f t="shared" si="4"/>
        <v/>
      </c>
      <c r="Z58" s="75"/>
    </row>
    <row r="59" ht="15.75" customHeight="1">
      <c r="E59" s="73"/>
      <c r="F59" s="73"/>
      <c r="H59" s="73"/>
      <c r="N59" s="74"/>
      <c r="Q59" s="73"/>
      <c r="R59" s="75"/>
      <c r="S59" s="76"/>
      <c r="T59" s="76"/>
      <c r="U59" s="70" t="str">
        <f t="shared" si="1"/>
        <v/>
      </c>
      <c r="V59" s="71" t="str">
        <f t="shared" si="2"/>
        <v/>
      </c>
      <c r="W59" s="76"/>
      <c r="X59" s="15" t="str">
        <f t="shared" si="3"/>
        <v/>
      </c>
      <c r="Y59" s="72" t="str">
        <f t="shared" si="4"/>
        <v/>
      </c>
      <c r="Z59" s="75"/>
    </row>
    <row r="60" ht="15.75" customHeight="1">
      <c r="E60" s="73"/>
      <c r="F60" s="73"/>
      <c r="H60" s="73"/>
      <c r="N60" s="74"/>
      <c r="Q60" s="73"/>
      <c r="R60" s="75"/>
      <c r="S60" s="76"/>
      <c r="T60" s="76"/>
      <c r="U60" s="70" t="str">
        <f t="shared" si="1"/>
        <v/>
      </c>
      <c r="V60" s="71" t="str">
        <f t="shared" si="2"/>
        <v/>
      </c>
      <c r="W60" s="76"/>
      <c r="X60" s="15" t="str">
        <f t="shared" si="3"/>
        <v/>
      </c>
      <c r="Y60" s="72" t="str">
        <f t="shared" si="4"/>
        <v/>
      </c>
      <c r="Z60" s="75"/>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60"/>
  <dataValidations>
    <dataValidation type="list" allowBlank="1" sqref="E5:E60">
      <formula1>"Meta,TikTok"</formula1>
    </dataValidation>
    <dataValidation type="list" allowBlank="1" sqref="Q5:Q60">
      <formula1>"Draft,Pending approval,Live,Paused,Complete"</formula1>
    </dataValidation>
    <dataValidation type="list" allowBlank="1" sqref="F5:F60">
      <formula1>"IG Reels,IG Stories,FB Feed,TikTok In-Feed,Advantage+"</formula1>
    </dataValidation>
    <dataValidation type="list" allowBlank="1" sqref="H5:H60">
      <formula1>"Over 40,High Performer,Over 40 / High Performer,Broad/Lookalike"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0.0"/>
    <col customWidth="1" min="2" max="3" width="34.0"/>
    <col customWidth="1" min="4" max="4" width="46.0"/>
    <col customWidth="1" min="5" max="5" width="11.0"/>
    <col customWidth="1" min="6" max="6" width="17.0"/>
    <col customWidth="1" min="7" max="7" width="24.0"/>
    <col customWidth="1" min="8" max="8" width="22.0"/>
    <col customWidth="1" min="9" max="9" width="32.0"/>
    <col customWidth="1" min="10" max="10" width="12.0"/>
    <col customWidth="1" min="11" max="11" width="14.0"/>
    <col customWidth="1" min="12" max="12" width="15.0"/>
    <col customWidth="1" min="13" max="13" width="34.0"/>
    <col customWidth="1" min="14" max="14" width="22.0"/>
    <col customWidth="1" min="15" max="15" width="16.0"/>
    <col customWidth="1" min="16" max="16" width="18.0"/>
    <col customWidth="1" min="17" max="17" width="12.0"/>
    <col customWidth="1" min="18" max="18" width="11.0"/>
    <col customWidth="1" min="19" max="19" width="12.0"/>
    <col customWidth="1" min="20" max="22" width="10.0"/>
    <col customWidth="1" min="23" max="23" width="12.0"/>
    <col customWidth="1" min="24" max="25" width="10.0"/>
    <col customWidth="1" min="26" max="26" width="12.0"/>
  </cols>
  <sheetData>
    <row r="1" ht="33.75" customHeight="1">
      <c r="A1" s="23" t="s">
        <v>335</v>
      </c>
      <c r="B1" s="23" t="s">
        <v>336</v>
      </c>
      <c r="C1" s="23" t="s">
        <v>339</v>
      </c>
      <c r="D1" s="23" t="s">
        <v>340</v>
      </c>
      <c r="E1" s="23" t="s">
        <v>308</v>
      </c>
      <c r="F1" s="23" t="s">
        <v>341</v>
      </c>
      <c r="G1" s="23" t="s">
        <v>342</v>
      </c>
      <c r="H1" s="23" t="s">
        <v>343</v>
      </c>
      <c r="I1" s="23" t="s">
        <v>344</v>
      </c>
      <c r="J1" s="23" t="s">
        <v>345</v>
      </c>
      <c r="K1" s="23" t="s">
        <v>346</v>
      </c>
      <c r="L1" s="23" t="s">
        <v>347</v>
      </c>
      <c r="M1" s="23" t="s">
        <v>348</v>
      </c>
      <c r="N1" s="23" t="s">
        <v>349</v>
      </c>
      <c r="O1" s="23" t="s">
        <v>350</v>
      </c>
      <c r="P1" s="23" t="s">
        <v>352</v>
      </c>
      <c r="Q1" s="23" t="s">
        <v>353</v>
      </c>
      <c r="R1" s="23" t="s">
        <v>354</v>
      </c>
      <c r="S1" s="23" t="s">
        <v>355</v>
      </c>
      <c r="T1" s="23" t="s">
        <v>356</v>
      </c>
      <c r="U1" s="23" t="s">
        <v>357</v>
      </c>
      <c r="V1" s="23" t="s">
        <v>358</v>
      </c>
      <c r="W1" s="23" t="s">
        <v>17</v>
      </c>
      <c r="X1" s="23" t="s">
        <v>359</v>
      </c>
      <c r="Y1" s="23" t="s">
        <v>360</v>
      </c>
      <c r="Z1" s="23" t="s">
        <v>18</v>
      </c>
    </row>
    <row r="2" ht="30.0" customHeight="1">
      <c r="A2" s="60" t="s">
        <v>451</v>
      </c>
      <c r="B2" s="60" t="s">
        <v>365</v>
      </c>
      <c r="C2" s="60" t="s">
        <v>365</v>
      </c>
      <c r="D2" s="60" t="s">
        <v>365</v>
      </c>
      <c r="E2" s="60" t="s">
        <v>451</v>
      </c>
      <c r="F2" s="60" t="s">
        <v>451</v>
      </c>
      <c r="G2" s="60" t="s">
        <v>451</v>
      </c>
      <c r="H2" s="60" t="s">
        <v>451</v>
      </c>
      <c r="I2" s="60" t="s">
        <v>451</v>
      </c>
      <c r="J2" s="60" t="s">
        <v>451</v>
      </c>
      <c r="K2" s="60" t="s">
        <v>451</v>
      </c>
      <c r="L2" s="60" t="s">
        <v>369</v>
      </c>
      <c r="M2" s="60" t="s">
        <v>451</v>
      </c>
      <c r="N2" s="60" t="s">
        <v>371</v>
      </c>
      <c r="O2" s="60" t="s">
        <v>371</v>
      </c>
      <c r="P2" s="60" t="s">
        <v>371</v>
      </c>
      <c r="Q2" s="60" t="s">
        <v>371</v>
      </c>
      <c r="R2" s="60" t="s">
        <v>375</v>
      </c>
      <c r="S2" s="60" t="s">
        <v>375</v>
      </c>
      <c r="T2" s="60" t="s">
        <v>375</v>
      </c>
      <c r="U2" s="60" t="s">
        <v>376</v>
      </c>
      <c r="V2" s="60" t="s">
        <v>376</v>
      </c>
      <c r="W2" s="60" t="s">
        <v>375</v>
      </c>
      <c r="X2" s="60" t="s">
        <v>376</v>
      </c>
      <c r="Y2" s="60" t="s">
        <v>376</v>
      </c>
      <c r="Z2" s="60" t="s">
        <v>375</v>
      </c>
    </row>
    <row r="3">
      <c r="A3" s="66" t="s">
        <v>380</v>
      </c>
      <c r="B3" s="66" t="s">
        <v>287</v>
      </c>
      <c r="C3" s="66" t="s">
        <v>289</v>
      </c>
      <c r="D3" s="66" t="s">
        <v>291</v>
      </c>
      <c r="E3" s="66" t="s">
        <v>382</v>
      </c>
      <c r="F3" s="66" t="s">
        <v>469</v>
      </c>
      <c r="G3" s="66" t="s">
        <v>385</v>
      </c>
      <c r="H3" s="66" t="s">
        <v>470</v>
      </c>
      <c r="I3" s="66" t="s">
        <v>471</v>
      </c>
      <c r="J3" s="66" t="s">
        <v>472</v>
      </c>
      <c r="K3" s="66" t="s">
        <v>473</v>
      </c>
      <c r="L3" s="66" t="s">
        <v>393</v>
      </c>
      <c r="M3" s="67" t="s">
        <v>329</v>
      </c>
      <c r="N3" s="66" t="s">
        <v>395</v>
      </c>
      <c r="O3" s="66" t="s">
        <v>396</v>
      </c>
      <c r="P3" s="66" t="s">
        <v>397</v>
      </c>
      <c r="Q3" s="66" t="s">
        <v>398</v>
      </c>
      <c r="R3" s="66" t="s">
        <v>399</v>
      </c>
      <c r="S3" s="66" t="s">
        <v>399</v>
      </c>
      <c r="T3" s="66" t="s">
        <v>399</v>
      </c>
      <c r="U3" s="66" t="s">
        <v>399</v>
      </c>
      <c r="V3" s="66" t="s">
        <v>399</v>
      </c>
      <c r="W3" s="66" t="s">
        <v>399</v>
      </c>
      <c r="X3" s="66" t="s">
        <v>399</v>
      </c>
      <c r="Y3" s="66" t="s">
        <v>399</v>
      </c>
      <c r="Z3" s="66" t="s">
        <v>399</v>
      </c>
    </row>
    <row r="4">
      <c r="A4" s="10" t="s">
        <v>403</v>
      </c>
      <c r="B4" s="10" t="s">
        <v>404</v>
      </c>
      <c r="C4" s="10" t="s">
        <v>404</v>
      </c>
      <c r="D4" s="10" t="s">
        <v>404</v>
      </c>
      <c r="E4" s="10" t="s">
        <v>405</v>
      </c>
      <c r="F4" s="10" t="s">
        <v>405</v>
      </c>
      <c r="G4" s="10" t="s">
        <v>405</v>
      </c>
      <c r="H4" s="10" t="s">
        <v>405</v>
      </c>
      <c r="I4" s="10" t="s">
        <v>404</v>
      </c>
      <c r="J4" s="10" t="s">
        <v>405</v>
      </c>
      <c r="K4" s="10" t="s">
        <v>405</v>
      </c>
      <c r="L4" s="10" t="s">
        <v>405</v>
      </c>
      <c r="M4" s="10" t="s">
        <v>408</v>
      </c>
      <c r="N4" s="69" t="s">
        <v>404</v>
      </c>
      <c r="O4" s="10" t="s">
        <v>404</v>
      </c>
      <c r="P4" s="10" t="s">
        <v>404</v>
      </c>
      <c r="Q4" s="10" t="s">
        <v>404</v>
      </c>
      <c r="R4" s="15"/>
      <c r="S4" s="13"/>
      <c r="T4" s="13"/>
      <c r="U4" s="70" t="str">
        <f t="shared" ref="U4:U60" si="1">IFERROR(T4/S4,"")</f>
        <v/>
      </c>
      <c r="V4" s="71" t="str">
        <f t="shared" ref="V4:V60" si="2">IFERROR(R4/T4,"")</f>
        <v/>
      </c>
      <c r="W4" s="13"/>
      <c r="X4" s="15" t="str">
        <f t="shared" ref="X4:X60" si="3">IFERROR(R4/W4,"")</f>
        <v/>
      </c>
      <c r="Y4" s="72" t="str">
        <f t="shared" ref="Y4:Y60" si="4">IFERROR(Z4/R4,"")</f>
        <v/>
      </c>
      <c r="Z4" s="15"/>
    </row>
    <row r="5">
      <c r="E5" s="73"/>
      <c r="F5" s="73"/>
      <c r="H5" s="73"/>
      <c r="N5" s="74"/>
      <c r="Q5" s="73"/>
      <c r="R5" s="75"/>
      <c r="S5" s="76"/>
      <c r="T5" s="76"/>
      <c r="U5" s="70" t="str">
        <f t="shared" si="1"/>
        <v/>
      </c>
      <c r="V5" s="71" t="str">
        <f t="shared" si="2"/>
        <v/>
      </c>
      <c r="W5" s="76"/>
      <c r="X5" s="15" t="str">
        <f t="shared" si="3"/>
        <v/>
      </c>
      <c r="Y5" s="72" t="str">
        <f t="shared" si="4"/>
        <v/>
      </c>
      <c r="Z5" s="75"/>
    </row>
    <row r="6">
      <c r="E6" s="73"/>
      <c r="F6" s="73"/>
      <c r="H6" s="73"/>
      <c r="N6" s="74"/>
      <c r="Q6" s="73"/>
      <c r="R6" s="75"/>
      <c r="S6" s="76"/>
      <c r="T6" s="76"/>
      <c r="U6" s="70" t="str">
        <f t="shared" si="1"/>
        <v/>
      </c>
      <c r="V6" s="71" t="str">
        <f t="shared" si="2"/>
        <v/>
      </c>
      <c r="W6" s="76"/>
      <c r="X6" s="15" t="str">
        <f t="shared" si="3"/>
        <v/>
      </c>
      <c r="Y6" s="72" t="str">
        <f t="shared" si="4"/>
        <v/>
      </c>
      <c r="Z6" s="75"/>
    </row>
    <row r="7">
      <c r="E7" s="73"/>
      <c r="F7" s="73"/>
      <c r="H7" s="73"/>
      <c r="N7" s="74"/>
      <c r="Q7" s="73"/>
      <c r="R7" s="75"/>
      <c r="S7" s="76"/>
      <c r="T7" s="76"/>
      <c r="U7" s="70" t="str">
        <f t="shared" si="1"/>
        <v/>
      </c>
      <c r="V7" s="71" t="str">
        <f t="shared" si="2"/>
        <v/>
      </c>
      <c r="W7" s="76"/>
      <c r="X7" s="15" t="str">
        <f t="shared" si="3"/>
        <v/>
      </c>
      <c r="Y7" s="72" t="str">
        <f t="shared" si="4"/>
        <v/>
      </c>
      <c r="Z7" s="75"/>
    </row>
    <row r="8">
      <c r="E8" s="73"/>
      <c r="F8" s="73"/>
      <c r="H8" s="73"/>
      <c r="N8" s="74"/>
      <c r="Q8" s="73"/>
      <c r="R8" s="75"/>
      <c r="S8" s="76"/>
      <c r="T8" s="76"/>
      <c r="U8" s="70" t="str">
        <f t="shared" si="1"/>
        <v/>
      </c>
      <c r="V8" s="71" t="str">
        <f t="shared" si="2"/>
        <v/>
      </c>
      <c r="W8" s="76"/>
      <c r="X8" s="15" t="str">
        <f t="shared" si="3"/>
        <v/>
      </c>
      <c r="Y8" s="72" t="str">
        <f t="shared" si="4"/>
        <v/>
      </c>
      <c r="Z8" s="75"/>
    </row>
    <row r="9">
      <c r="E9" s="73"/>
      <c r="F9" s="73"/>
      <c r="H9" s="73"/>
      <c r="N9" s="74"/>
      <c r="Q9" s="73"/>
      <c r="R9" s="75"/>
      <c r="S9" s="76"/>
      <c r="T9" s="76"/>
      <c r="U9" s="70" t="str">
        <f t="shared" si="1"/>
        <v/>
      </c>
      <c r="V9" s="71" t="str">
        <f t="shared" si="2"/>
        <v/>
      </c>
      <c r="W9" s="76"/>
      <c r="X9" s="15" t="str">
        <f t="shared" si="3"/>
        <v/>
      </c>
      <c r="Y9" s="72" t="str">
        <f t="shared" si="4"/>
        <v/>
      </c>
      <c r="Z9" s="75"/>
    </row>
    <row r="10">
      <c r="E10" s="73"/>
      <c r="F10" s="73"/>
      <c r="H10" s="73"/>
      <c r="N10" s="74"/>
      <c r="Q10" s="73"/>
      <c r="R10" s="75"/>
      <c r="S10" s="76"/>
      <c r="T10" s="76"/>
      <c r="U10" s="70" t="str">
        <f t="shared" si="1"/>
        <v/>
      </c>
      <c r="V10" s="71" t="str">
        <f t="shared" si="2"/>
        <v/>
      </c>
      <c r="W10" s="76"/>
      <c r="X10" s="15" t="str">
        <f t="shared" si="3"/>
        <v/>
      </c>
      <c r="Y10" s="72" t="str">
        <f t="shared" si="4"/>
        <v/>
      </c>
      <c r="Z10" s="75"/>
    </row>
    <row r="11">
      <c r="E11" s="73"/>
      <c r="F11" s="73"/>
      <c r="H11" s="73"/>
      <c r="N11" s="74"/>
      <c r="Q11" s="73"/>
      <c r="R11" s="75"/>
      <c r="S11" s="76"/>
      <c r="T11" s="76"/>
      <c r="U11" s="70" t="str">
        <f t="shared" si="1"/>
        <v/>
      </c>
      <c r="V11" s="71" t="str">
        <f t="shared" si="2"/>
        <v/>
      </c>
      <c r="W11" s="76"/>
      <c r="X11" s="15" t="str">
        <f t="shared" si="3"/>
        <v/>
      </c>
      <c r="Y11" s="72" t="str">
        <f t="shared" si="4"/>
        <v/>
      </c>
      <c r="Z11" s="75"/>
    </row>
    <row r="12">
      <c r="E12" s="73"/>
      <c r="F12" s="73"/>
      <c r="H12" s="73"/>
      <c r="N12" s="74"/>
      <c r="Q12" s="73"/>
      <c r="R12" s="75"/>
      <c r="S12" s="76"/>
      <c r="T12" s="76"/>
      <c r="U12" s="70" t="str">
        <f t="shared" si="1"/>
        <v/>
      </c>
      <c r="V12" s="71" t="str">
        <f t="shared" si="2"/>
        <v/>
      </c>
      <c r="W12" s="76"/>
      <c r="X12" s="15" t="str">
        <f t="shared" si="3"/>
        <v/>
      </c>
      <c r="Y12" s="72" t="str">
        <f t="shared" si="4"/>
        <v/>
      </c>
      <c r="Z12" s="75"/>
    </row>
    <row r="13">
      <c r="E13" s="73"/>
      <c r="F13" s="73"/>
      <c r="H13" s="73"/>
      <c r="N13" s="74"/>
      <c r="Q13" s="73"/>
      <c r="R13" s="75"/>
      <c r="S13" s="76"/>
      <c r="T13" s="76"/>
      <c r="U13" s="70" t="str">
        <f t="shared" si="1"/>
        <v/>
      </c>
      <c r="V13" s="71" t="str">
        <f t="shared" si="2"/>
        <v/>
      </c>
      <c r="W13" s="76"/>
      <c r="X13" s="15" t="str">
        <f t="shared" si="3"/>
        <v/>
      </c>
      <c r="Y13" s="72" t="str">
        <f t="shared" si="4"/>
        <v/>
      </c>
      <c r="Z13" s="75"/>
    </row>
    <row r="14">
      <c r="E14" s="73"/>
      <c r="F14" s="73"/>
      <c r="H14" s="73"/>
      <c r="N14" s="74"/>
      <c r="Q14" s="73"/>
      <c r="R14" s="75"/>
      <c r="S14" s="76"/>
      <c r="T14" s="76"/>
      <c r="U14" s="70" t="str">
        <f t="shared" si="1"/>
        <v/>
      </c>
      <c r="V14" s="71" t="str">
        <f t="shared" si="2"/>
        <v/>
      </c>
      <c r="W14" s="76"/>
      <c r="X14" s="15" t="str">
        <f t="shared" si="3"/>
        <v/>
      </c>
      <c r="Y14" s="72" t="str">
        <f t="shared" si="4"/>
        <v/>
      </c>
      <c r="Z14" s="75"/>
    </row>
    <row r="15">
      <c r="E15" s="73"/>
      <c r="F15" s="73"/>
      <c r="H15" s="73"/>
      <c r="N15" s="74"/>
      <c r="Q15" s="73"/>
      <c r="R15" s="75"/>
      <c r="S15" s="76"/>
      <c r="T15" s="76"/>
      <c r="U15" s="70" t="str">
        <f t="shared" si="1"/>
        <v/>
      </c>
      <c r="V15" s="71" t="str">
        <f t="shared" si="2"/>
        <v/>
      </c>
      <c r="W15" s="76"/>
      <c r="X15" s="15" t="str">
        <f t="shared" si="3"/>
        <v/>
      </c>
      <c r="Y15" s="72" t="str">
        <f t="shared" si="4"/>
        <v/>
      </c>
      <c r="Z15" s="75"/>
    </row>
    <row r="16">
      <c r="E16" s="73"/>
      <c r="F16" s="73"/>
      <c r="H16" s="73"/>
      <c r="N16" s="74"/>
      <c r="Q16" s="73"/>
      <c r="R16" s="75"/>
      <c r="S16" s="76"/>
      <c r="T16" s="76"/>
      <c r="U16" s="70" t="str">
        <f t="shared" si="1"/>
        <v/>
      </c>
      <c r="V16" s="71" t="str">
        <f t="shared" si="2"/>
        <v/>
      </c>
      <c r="W16" s="76"/>
      <c r="X16" s="15" t="str">
        <f t="shared" si="3"/>
        <v/>
      </c>
      <c r="Y16" s="72" t="str">
        <f t="shared" si="4"/>
        <v/>
      </c>
      <c r="Z16" s="75"/>
    </row>
    <row r="17">
      <c r="E17" s="73"/>
      <c r="F17" s="73"/>
      <c r="H17" s="73"/>
      <c r="N17" s="74"/>
      <c r="Q17" s="73"/>
      <c r="R17" s="75"/>
      <c r="S17" s="76"/>
      <c r="T17" s="76"/>
      <c r="U17" s="70" t="str">
        <f t="shared" si="1"/>
        <v/>
      </c>
      <c r="V17" s="71" t="str">
        <f t="shared" si="2"/>
        <v/>
      </c>
      <c r="W17" s="76"/>
      <c r="X17" s="15" t="str">
        <f t="shared" si="3"/>
        <v/>
      </c>
      <c r="Y17" s="72" t="str">
        <f t="shared" si="4"/>
        <v/>
      </c>
      <c r="Z17" s="75"/>
    </row>
    <row r="18">
      <c r="E18" s="73"/>
      <c r="F18" s="73"/>
      <c r="H18" s="73"/>
      <c r="N18" s="74"/>
      <c r="Q18" s="73"/>
      <c r="R18" s="75"/>
      <c r="S18" s="76"/>
      <c r="T18" s="76"/>
      <c r="U18" s="70" t="str">
        <f t="shared" si="1"/>
        <v/>
      </c>
      <c r="V18" s="71" t="str">
        <f t="shared" si="2"/>
        <v/>
      </c>
      <c r="W18" s="76"/>
      <c r="X18" s="15" t="str">
        <f t="shared" si="3"/>
        <v/>
      </c>
      <c r="Y18" s="72" t="str">
        <f t="shared" si="4"/>
        <v/>
      </c>
      <c r="Z18" s="75"/>
    </row>
    <row r="19">
      <c r="E19" s="73"/>
      <c r="F19" s="73"/>
      <c r="H19" s="73"/>
      <c r="N19" s="74"/>
      <c r="Q19" s="73"/>
      <c r="R19" s="75"/>
      <c r="S19" s="76"/>
      <c r="T19" s="76"/>
      <c r="U19" s="70" t="str">
        <f t="shared" si="1"/>
        <v/>
      </c>
      <c r="V19" s="71" t="str">
        <f t="shared" si="2"/>
        <v/>
      </c>
      <c r="W19" s="76"/>
      <c r="X19" s="15" t="str">
        <f t="shared" si="3"/>
        <v/>
      </c>
      <c r="Y19" s="72" t="str">
        <f t="shared" si="4"/>
        <v/>
      </c>
      <c r="Z19" s="75"/>
    </row>
    <row r="20">
      <c r="E20" s="73"/>
      <c r="F20" s="73"/>
      <c r="H20" s="73"/>
      <c r="N20" s="74"/>
      <c r="Q20" s="73"/>
      <c r="R20" s="75"/>
      <c r="S20" s="76"/>
      <c r="T20" s="76"/>
      <c r="U20" s="70" t="str">
        <f t="shared" si="1"/>
        <v/>
      </c>
      <c r="V20" s="71" t="str">
        <f t="shared" si="2"/>
        <v/>
      </c>
      <c r="W20" s="76"/>
      <c r="X20" s="15" t="str">
        <f t="shared" si="3"/>
        <v/>
      </c>
      <c r="Y20" s="72" t="str">
        <f t="shared" si="4"/>
        <v/>
      </c>
      <c r="Z20" s="75"/>
    </row>
    <row r="21" ht="15.75" customHeight="1">
      <c r="E21" s="73"/>
      <c r="F21" s="73"/>
      <c r="H21" s="73"/>
      <c r="N21" s="74"/>
      <c r="Q21" s="73"/>
      <c r="R21" s="75"/>
      <c r="S21" s="76"/>
      <c r="T21" s="76"/>
      <c r="U21" s="70" t="str">
        <f t="shared" si="1"/>
        <v/>
      </c>
      <c r="V21" s="71" t="str">
        <f t="shared" si="2"/>
        <v/>
      </c>
      <c r="W21" s="76"/>
      <c r="X21" s="15" t="str">
        <f t="shared" si="3"/>
        <v/>
      </c>
      <c r="Y21" s="72" t="str">
        <f t="shared" si="4"/>
        <v/>
      </c>
      <c r="Z21" s="75"/>
    </row>
    <row r="22" ht="15.75" customHeight="1">
      <c r="E22" s="73"/>
      <c r="F22" s="73"/>
      <c r="H22" s="73"/>
      <c r="N22" s="74"/>
      <c r="Q22" s="73"/>
      <c r="R22" s="75"/>
      <c r="S22" s="76"/>
      <c r="T22" s="76"/>
      <c r="U22" s="70" t="str">
        <f t="shared" si="1"/>
        <v/>
      </c>
      <c r="V22" s="71" t="str">
        <f t="shared" si="2"/>
        <v/>
      </c>
      <c r="W22" s="76"/>
      <c r="X22" s="15" t="str">
        <f t="shared" si="3"/>
        <v/>
      </c>
      <c r="Y22" s="72" t="str">
        <f t="shared" si="4"/>
        <v/>
      </c>
      <c r="Z22" s="75"/>
    </row>
    <row r="23" ht="15.75" customHeight="1">
      <c r="E23" s="73"/>
      <c r="F23" s="73"/>
      <c r="H23" s="73"/>
      <c r="N23" s="74"/>
      <c r="Q23" s="73"/>
      <c r="R23" s="75"/>
      <c r="S23" s="76"/>
      <c r="T23" s="76"/>
      <c r="U23" s="70" t="str">
        <f t="shared" si="1"/>
        <v/>
      </c>
      <c r="V23" s="71" t="str">
        <f t="shared" si="2"/>
        <v/>
      </c>
      <c r="W23" s="76"/>
      <c r="X23" s="15" t="str">
        <f t="shared" si="3"/>
        <v/>
      </c>
      <c r="Y23" s="72" t="str">
        <f t="shared" si="4"/>
        <v/>
      </c>
      <c r="Z23" s="75"/>
    </row>
    <row r="24" ht="15.75" customHeight="1">
      <c r="E24" s="73"/>
      <c r="F24" s="73"/>
      <c r="H24" s="73"/>
      <c r="N24" s="74"/>
      <c r="Q24" s="73"/>
      <c r="R24" s="75"/>
      <c r="S24" s="76"/>
      <c r="T24" s="76"/>
      <c r="U24" s="70" t="str">
        <f t="shared" si="1"/>
        <v/>
      </c>
      <c r="V24" s="71" t="str">
        <f t="shared" si="2"/>
        <v/>
      </c>
      <c r="W24" s="76"/>
      <c r="X24" s="15" t="str">
        <f t="shared" si="3"/>
        <v/>
      </c>
      <c r="Y24" s="72" t="str">
        <f t="shared" si="4"/>
        <v/>
      </c>
      <c r="Z24" s="75"/>
    </row>
    <row r="25" ht="15.75" customHeight="1">
      <c r="E25" s="73"/>
      <c r="F25" s="73"/>
      <c r="H25" s="73"/>
      <c r="N25" s="74"/>
      <c r="Q25" s="73"/>
      <c r="R25" s="75"/>
      <c r="S25" s="76"/>
      <c r="T25" s="76"/>
      <c r="U25" s="70" t="str">
        <f t="shared" si="1"/>
        <v/>
      </c>
      <c r="V25" s="71" t="str">
        <f t="shared" si="2"/>
        <v/>
      </c>
      <c r="W25" s="76"/>
      <c r="X25" s="15" t="str">
        <f t="shared" si="3"/>
        <v/>
      </c>
      <c r="Y25" s="72" t="str">
        <f t="shared" si="4"/>
        <v/>
      </c>
      <c r="Z25" s="75"/>
    </row>
    <row r="26" ht="15.75" customHeight="1">
      <c r="E26" s="73"/>
      <c r="F26" s="73"/>
      <c r="H26" s="73"/>
      <c r="N26" s="74"/>
      <c r="Q26" s="73"/>
      <c r="R26" s="75"/>
      <c r="S26" s="76"/>
      <c r="T26" s="76"/>
      <c r="U26" s="70" t="str">
        <f t="shared" si="1"/>
        <v/>
      </c>
      <c r="V26" s="71" t="str">
        <f t="shared" si="2"/>
        <v/>
      </c>
      <c r="W26" s="76"/>
      <c r="X26" s="15" t="str">
        <f t="shared" si="3"/>
        <v/>
      </c>
      <c r="Y26" s="72" t="str">
        <f t="shared" si="4"/>
        <v/>
      </c>
      <c r="Z26" s="75"/>
    </row>
    <row r="27" ht="15.75" customHeight="1">
      <c r="E27" s="73"/>
      <c r="F27" s="73"/>
      <c r="H27" s="73"/>
      <c r="N27" s="74"/>
      <c r="Q27" s="73"/>
      <c r="R27" s="75"/>
      <c r="S27" s="76"/>
      <c r="T27" s="76"/>
      <c r="U27" s="70" t="str">
        <f t="shared" si="1"/>
        <v/>
      </c>
      <c r="V27" s="71" t="str">
        <f t="shared" si="2"/>
        <v/>
      </c>
      <c r="W27" s="76"/>
      <c r="X27" s="15" t="str">
        <f t="shared" si="3"/>
        <v/>
      </c>
      <c r="Y27" s="72" t="str">
        <f t="shared" si="4"/>
        <v/>
      </c>
      <c r="Z27" s="75"/>
    </row>
    <row r="28" ht="15.75" customHeight="1">
      <c r="E28" s="73"/>
      <c r="F28" s="73"/>
      <c r="H28" s="73"/>
      <c r="N28" s="74"/>
      <c r="Q28" s="73"/>
      <c r="R28" s="75"/>
      <c r="S28" s="76"/>
      <c r="T28" s="76"/>
      <c r="U28" s="70" t="str">
        <f t="shared" si="1"/>
        <v/>
      </c>
      <c r="V28" s="71" t="str">
        <f t="shared" si="2"/>
        <v/>
      </c>
      <c r="W28" s="76"/>
      <c r="X28" s="15" t="str">
        <f t="shared" si="3"/>
        <v/>
      </c>
      <c r="Y28" s="72" t="str">
        <f t="shared" si="4"/>
        <v/>
      </c>
      <c r="Z28" s="75"/>
    </row>
    <row r="29" ht="15.75" customHeight="1">
      <c r="E29" s="73"/>
      <c r="F29" s="73"/>
      <c r="H29" s="73"/>
      <c r="N29" s="74"/>
      <c r="Q29" s="73"/>
      <c r="R29" s="75"/>
      <c r="S29" s="76"/>
      <c r="T29" s="76"/>
      <c r="U29" s="70" t="str">
        <f t="shared" si="1"/>
        <v/>
      </c>
      <c r="V29" s="71" t="str">
        <f t="shared" si="2"/>
        <v/>
      </c>
      <c r="W29" s="76"/>
      <c r="X29" s="15" t="str">
        <f t="shared" si="3"/>
        <v/>
      </c>
      <c r="Y29" s="72" t="str">
        <f t="shared" si="4"/>
        <v/>
      </c>
      <c r="Z29" s="75"/>
    </row>
    <row r="30" ht="15.75" customHeight="1">
      <c r="E30" s="73"/>
      <c r="F30" s="73"/>
      <c r="H30" s="73"/>
      <c r="N30" s="74"/>
      <c r="Q30" s="73"/>
      <c r="R30" s="75"/>
      <c r="S30" s="76"/>
      <c r="T30" s="76"/>
      <c r="U30" s="70" t="str">
        <f t="shared" si="1"/>
        <v/>
      </c>
      <c r="V30" s="71" t="str">
        <f t="shared" si="2"/>
        <v/>
      </c>
      <c r="W30" s="76"/>
      <c r="X30" s="15" t="str">
        <f t="shared" si="3"/>
        <v/>
      </c>
      <c r="Y30" s="72" t="str">
        <f t="shared" si="4"/>
        <v/>
      </c>
      <c r="Z30" s="75"/>
    </row>
    <row r="31" ht="15.75" customHeight="1">
      <c r="E31" s="73"/>
      <c r="F31" s="73"/>
      <c r="H31" s="73"/>
      <c r="N31" s="74"/>
      <c r="Q31" s="73"/>
      <c r="R31" s="75"/>
      <c r="S31" s="76"/>
      <c r="T31" s="76"/>
      <c r="U31" s="70" t="str">
        <f t="shared" si="1"/>
        <v/>
      </c>
      <c r="V31" s="71" t="str">
        <f t="shared" si="2"/>
        <v/>
      </c>
      <c r="W31" s="76"/>
      <c r="X31" s="15" t="str">
        <f t="shared" si="3"/>
        <v/>
      </c>
      <c r="Y31" s="72" t="str">
        <f t="shared" si="4"/>
        <v/>
      </c>
      <c r="Z31" s="75"/>
    </row>
    <row r="32" ht="15.75" customHeight="1">
      <c r="E32" s="73"/>
      <c r="F32" s="73"/>
      <c r="H32" s="73"/>
      <c r="N32" s="74"/>
      <c r="Q32" s="73"/>
      <c r="R32" s="75"/>
      <c r="S32" s="76"/>
      <c r="T32" s="76"/>
      <c r="U32" s="70" t="str">
        <f t="shared" si="1"/>
        <v/>
      </c>
      <c r="V32" s="71" t="str">
        <f t="shared" si="2"/>
        <v/>
      </c>
      <c r="W32" s="76"/>
      <c r="X32" s="15" t="str">
        <f t="shared" si="3"/>
        <v/>
      </c>
      <c r="Y32" s="72" t="str">
        <f t="shared" si="4"/>
        <v/>
      </c>
      <c r="Z32" s="75"/>
    </row>
    <row r="33" ht="15.75" customHeight="1">
      <c r="E33" s="73"/>
      <c r="F33" s="73"/>
      <c r="H33" s="73"/>
      <c r="N33" s="74"/>
      <c r="Q33" s="73"/>
      <c r="R33" s="75"/>
      <c r="S33" s="76"/>
      <c r="T33" s="76"/>
      <c r="U33" s="70" t="str">
        <f t="shared" si="1"/>
        <v/>
      </c>
      <c r="V33" s="71" t="str">
        <f t="shared" si="2"/>
        <v/>
      </c>
      <c r="W33" s="76"/>
      <c r="X33" s="15" t="str">
        <f t="shared" si="3"/>
        <v/>
      </c>
      <c r="Y33" s="72" t="str">
        <f t="shared" si="4"/>
        <v/>
      </c>
      <c r="Z33" s="75"/>
    </row>
    <row r="34" ht="15.75" customHeight="1">
      <c r="E34" s="73"/>
      <c r="F34" s="73"/>
      <c r="H34" s="73"/>
      <c r="N34" s="74"/>
      <c r="Q34" s="73"/>
      <c r="R34" s="75"/>
      <c r="S34" s="76"/>
      <c r="T34" s="76"/>
      <c r="U34" s="70" t="str">
        <f t="shared" si="1"/>
        <v/>
      </c>
      <c r="V34" s="71" t="str">
        <f t="shared" si="2"/>
        <v/>
      </c>
      <c r="W34" s="76"/>
      <c r="X34" s="15" t="str">
        <f t="shared" si="3"/>
        <v/>
      </c>
      <c r="Y34" s="72" t="str">
        <f t="shared" si="4"/>
        <v/>
      </c>
      <c r="Z34" s="75"/>
    </row>
    <row r="35" ht="15.75" customHeight="1">
      <c r="E35" s="73"/>
      <c r="F35" s="73"/>
      <c r="H35" s="73"/>
      <c r="N35" s="74"/>
      <c r="Q35" s="73"/>
      <c r="R35" s="75"/>
      <c r="S35" s="76"/>
      <c r="T35" s="76"/>
      <c r="U35" s="70" t="str">
        <f t="shared" si="1"/>
        <v/>
      </c>
      <c r="V35" s="71" t="str">
        <f t="shared" si="2"/>
        <v/>
      </c>
      <c r="W35" s="76"/>
      <c r="X35" s="15" t="str">
        <f t="shared" si="3"/>
        <v/>
      </c>
      <c r="Y35" s="72" t="str">
        <f t="shared" si="4"/>
        <v/>
      </c>
      <c r="Z35" s="75"/>
    </row>
    <row r="36" ht="15.75" customHeight="1">
      <c r="E36" s="73"/>
      <c r="F36" s="73"/>
      <c r="H36" s="73"/>
      <c r="N36" s="74"/>
      <c r="Q36" s="73"/>
      <c r="R36" s="75"/>
      <c r="S36" s="76"/>
      <c r="T36" s="76"/>
      <c r="U36" s="70" t="str">
        <f t="shared" si="1"/>
        <v/>
      </c>
      <c r="V36" s="71" t="str">
        <f t="shared" si="2"/>
        <v/>
      </c>
      <c r="W36" s="76"/>
      <c r="X36" s="15" t="str">
        <f t="shared" si="3"/>
        <v/>
      </c>
      <c r="Y36" s="72" t="str">
        <f t="shared" si="4"/>
        <v/>
      </c>
      <c r="Z36" s="75"/>
    </row>
    <row r="37" ht="15.75" customHeight="1">
      <c r="E37" s="73"/>
      <c r="F37" s="73"/>
      <c r="H37" s="73"/>
      <c r="N37" s="74"/>
      <c r="Q37" s="73"/>
      <c r="R37" s="75"/>
      <c r="S37" s="76"/>
      <c r="T37" s="76"/>
      <c r="U37" s="70" t="str">
        <f t="shared" si="1"/>
        <v/>
      </c>
      <c r="V37" s="71" t="str">
        <f t="shared" si="2"/>
        <v/>
      </c>
      <c r="W37" s="76"/>
      <c r="X37" s="15" t="str">
        <f t="shared" si="3"/>
        <v/>
      </c>
      <c r="Y37" s="72" t="str">
        <f t="shared" si="4"/>
        <v/>
      </c>
      <c r="Z37" s="75"/>
    </row>
    <row r="38" ht="15.75" customHeight="1">
      <c r="E38" s="73"/>
      <c r="F38" s="73"/>
      <c r="H38" s="73"/>
      <c r="N38" s="74"/>
      <c r="Q38" s="73"/>
      <c r="R38" s="75"/>
      <c r="S38" s="76"/>
      <c r="T38" s="76"/>
      <c r="U38" s="70" t="str">
        <f t="shared" si="1"/>
        <v/>
      </c>
      <c r="V38" s="71" t="str">
        <f t="shared" si="2"/>
        <v/>
      </c>
      <c r="W38" s="76"/>
      <c r="X38" s="15" t="str">
        <f t="shared" si="3"/>
        <v/>
      </c>
      <c r="Y38" s="72" t="str">
        <f t="shared" si="4"/>
        <v/>
      </c>
      <c r="Z38" s="75"/>
    </row>
    <row r="39" ht="15.75" customHeight="1">
      <c r="E39" s="73"/>
      <c r="F39" s="73"/>
      <c r="H39" s="73"/>
      <c r="N39" s="74"/>
      <c r="Q39" s="73"/>
      <c r="R39" s="75"/>
      <c r="S39" s="76"/>
      <c r="T39" s="76"/>
      <c r="U39" s="70" t="str">
        <f t="shared" si="1"/>
        <v/>
      </c>
      <c r="V39" s="71" t="str">
        <f t="shared" si="2"/>
        <v/>
      </c>
      <c r="W39" s="76"/>
      <c r="X39" s="15" t="str">
        <f t="shared" si="3"/>
        <v/>
      </c>
      <c r="Y39" s="72" t="str">
        <f t="shared" si="4"/>
        <v/>
      </c>
      <c r="Z39" s="75"/>
    </row>
    <row r="40" ht="15.75" customHeight="1">
      <c r="E40" s="73"/>
      <c r="F40" s="73"/>
      <c r="H40" s="73"/>
      <c r="N40" s="74"/>
      <c r="Q40" s="73"/>
      <c r="R40" s="75"/>
      <c r="S40" s="76"/>
      <c r="T40" s="76"/>
      <c r="U40" s="70" t="str">
        <f t="shared" si="1"/>
        <v/>
      </c>
      <c r="V40" s="71" t="str">
        <f t="shared" si="2"/>
        <v/>
      </c>
      <c r="W40" s="76"/>
      <c r="X40" s="15" t="str">
        <f t="shared" si="3"/>
        <v/>
      </c>
      <c r="Y40" s="72" t="str">
        <f t="shared" si="4"/>
        <v/>
      </c>
      <c r="Z40" s="75"/>
    </row>
    <row r="41" ht="15.75" customHeight="1">
      <c r="E41" s="73"/>
      <c r="F41" s="73"/>
      <c r="H41" s="73"/>
      <c r="N41" s="74"/>
      <c r="Q41" s="73"/>
      <c r="R41" s="75"/>
      <c r="S41" s="76"/>
      <c r="T41" s="76"/>
      <c r="U41" s="70" t="str">
        <f t="shared" si="1"/>
        <v/>
      </c>
      <c r="V41" s="71" t="str">
        <f t="shared" si="2"/>
        <v/>
      </c>
      <c r="W41" s="76"/>
      <c r="X41" s="15" t="str">
        <f t="shared" si="3"/>
        <v/>
      </c>
      <c r="Y41" s="72" t="str">
        <f t="shared" si="4"/>
        <v/>
      </c>
      <c r="Z41" s="75"/>
    </row>
    <row r="42" ht="15.75" customHeight="1">
      <c r="E42" s="73"/>
      <c r="F42" s="73"/>
      <c r="H42" s="73"/>
      <c r="N42" s="74"/>
      <c r="Q42" s="73"/>
      <c r="R42" s="75"/>
      <c r="S42" s="76"/>
      <c r="T42" s="76"/>
      <c r="U42" s="70" t="str">
        <f t="shared" si="1"/>
        <v/>
      </c>
      <c r="V42" s="71" t="str">
        <f t="shared" si="2"/>
        <v/>
      </c>
      <c r="W42" s="76"/>
      <c r="X42" s="15" t="str">
        <f t="shared" si="3"/>
        <v/>
      </c>
      <c r="Y42" s="72" t="str">
        <f t="shared" si="4"/>
        <v/>
      </c>
      <c r="Z42" s="75"/>
    </row>
    <row r="43" ht="15.75" customHeight="1">
      <c r="E43" s="73"/>
      <c r="F43" s="73"/>
      <c r="H43" s="73"/>
      <c r="N43" s="74"/>
      <c r="Q43" s="73"/>
      <c r="R43" s="75"/>
      <c r="S43" s="76"/>
      <c r="T43" s="76"/>
      <c r="U43" s="70" t="str">
        <f t="shared" si="1"/>
        <v/>
      </c>
      <c r="V43" s="71" t="str">
        <f t="shared" si="2"/>
        <v/>
      </c>
      <c r="W43" s="76"/>
      <c r="X43" s="15" t="str">
        <f t="shared" si="3"/>
        <v/>
      </c>
      <c r="Y43" s="72" t="str">
        <f t="shared" si="4"/>
        <v/>
      </c>
      <c r="Z43" s="75"/>
    </row>
    <row r="44" ht="15.75" customHeight="1">
      <c r="E44" s="73"/>
      <c r="F44" s="73"/>
      <c r="H44" s="73"/>
      <c r="N44" s="74"/>
      <c r="Q44" s="73"/>
      <c r="R44" s="75"/>
      <c r="S44" s="76"/>
      <c r="T44" s="76"/>
      <c r="U44" s="70" t="str">
        <f t="shared" si="1"/>
        <v/>
      </c>
      <c r="V44" s="71" t="str">
        <f t="shared" si="2"/>
        <v/>
      </c>
      <c r="W44" s="76"/>
      <c r="X44" s="15" t="str">
        <f t="shared" si="3"/>
        <v/>
      </c>
      <c r="Y44" s="72" t="str">
        <f t="shared" si="4"/>
        <v/>
      </c>
      <c r="Z44" s="75"/>
    </row>
    <row r="45" ht="15.75" customHeight="1">
      <c r="E45" s="73"/>
      <c r="F45" s="73"/>
      <c r="H45" s="73"/>
      <c r="N45" s="74"/>
      <c r="Q45" s="73"/>
      <c r="R45" s="75"/>
      <c r="S45" s="76"/>
      <c r="T45" s="76"/>
      <c r="U45" s="70" t="str">
        <f t="shared" si="1"/>
        <v/>
      </c>
      <c r="V45" s="71" t="str">
        <f t="shared" si="2"/>
        <v/>
      </c>
      <c r="W45" s="76"/>
      <c r="X45" s="15" t="str">
        <f t="shared" si="3"/>
        <v/>
      </c>
      <c r="Y45" s="72" t="str">
        <f t="shared" si="4"/>
        <v/>
      </c>
      <c r="Z45" s="75"/>
    </row>
    <row r="46" ht="15.75" customHeight="1">
      <c r="E46" s="73"/>
      <c r="F46" s="73"/>
      <c r="H46" s="73"/>
      <c r="N46" s="74"/>
      <c r="Q46" s="73"/>
      <c r="R46" s="75"/>
      <c r="S46" s="76"/>
      <c r="T46" s="76"/>
      <c r="U46" s="70" t="str">
        <f t="shared" si="1"/>
        <v/>
      </c>
      <c r="V46" s="71" t="str">
        <f t="shared" si="2"/>
        <v/>
      </c>
      <c r="W46" s="76"/>
      <c r="X46" s="15" t="str">
        <f t="shared" si="3"/>
        <v/>
      </c>
      <c r="Y46" s="72" t="str">
        <f t="shared" si="4"/>
        <v/>
      </c>
      <c r="Z46" s="75"/>
    </row>
    <row r="47" ht="15.75" customHeight="1">
      <c r="E47" s="73"/>
      <c r="F47" s="73"/>
      <c r="H47" s="73"/>
      <c r="N47" s="74"/>
      <c r="Q47" s="73"/>
      <c r="R47" s="75"/>
      <c r="S47" s="76"/>
      <c r="T47" s="76"/>
      <c r="U47" s="70" t="str">
        <f t="shared" si="1"/>
        <v/>
      </c>
      <c r="V47" s="71" t="str">
        <f t="shared" si="2"/>
        <v/>
      </c>
      <c r="W47" s="76"/>
      <c r="X47" s="15" t="str">
        <f t="shared" si="3"/>
        <v/>
      </c>
      <c r="Y47" s="72" t="str">
        <f t="shared" si="4"/>
        <v/>
      </c>
      <c r="Z47" s="75"/>
    </row>
    <row r="48" ht="15.75" customHeight="1">
      <c r="E48" s="73"/>
      <c r="F48" s="73"/>
      <c r="H48" s="73"/>
      <c r="N48" s="74"/>
      <c r="Q48" s="73"/>
      <c r="R48" s="75"/>
      <c r="S48" s="76"/>
      <c r="T48" s="76"/>
      <c r="U48" s="70" t="str">
        <f t="shared" si="1"/>
        <v/>
      </c>
      <c r="V48" s="71" t="str">
        <f t="shared" si="2"/>
        <v/>
      </c>
      <c r="W48" s="76"/>
      <c r="X48" s="15" t="str">
        <f t="shared" si="3"/>
        <v/>
      </c>
      <c r="Y48" s="72" t="str">
        <f t="shared" si="4"/>
        <v/>
      </c>
      <c r="Z48" s="75"/>
    </row>
    <row r="49" ht="15.75" customHeight="1">
      <c r="E49" s="73"/>
      <c r="F49" s="73"/>
      <c r="H49" s="73"/>
      <c r="N49" s="74"/>
      <c r="Q49" s="73"/>
      <c r="R49" s="75"/>
      <c r="S49" s="76"/>
      <c r="T49" s="76"/>
      <c r="U49" s="70" t="str">
        <f t="shared" si="1"/>
        <v/>
      </c>
      <c r="V49" s="71" t="str">
        <f t="shared" si="2"/>
        <v/>
      </c>
      <c r="W49" s="76"/>
      <c r="X49" s="15" t="str">
        <f t="shared" si="3"/>
        <v/>
      </c>
      <c r="Y49" s="72" t="str">
        <f t="shared" si="4"/>
        <v/>
      </c>
      <c r="Z49" s="75"/>
    </row>
    <row r="50" ht="15.75" customHeight="1">
      <c r="E50" s="73"/>
      <c r="F50" s="73"/>
      <c r="H50" s="73"/>
      <c r="N50" s="74"/>
      <c r="Q50" s="73"/>
      <c r="R50" s="75"/>
      <c r="S50" s="76"/>
      <c r="T50" s="76"/>
      <c r="U50" s="70" t="str">
        <f t="shared" si="1"/>
        <v/>
      </c>
      <c r="V50" s="71" t="str">
        <f t="shared" si="2"/>
        <v/>
      </c>
      <c r="W50" s="76"/>
      <c r="X50" s="15" t="str">
        <f t="shared" si="3"/>
        <v/>
      </c>
      <c r="Y50" s="72" t="str">
        <f t="shared" si="4"/>
        <v/>
      </c>
      <c r="Z50" s="75"/>
    </row>
    <row r="51" ht="15.75" customHeight="1">
      <c r="E51" s="73"/>
      <c r="F51" s="73"/>
      <c r="H51" s="73"/>
      <c r="N51" s="74"/>
      <c r="Q51" s="73"/>
      <c r="R51" s="75"/>
      <c r="S51" s="76"/>
      <c r="T51" s="76"/>
      <c r="U51" s="70" t="str">
        <f t="shared" si="1"/>
        <v/>
      </c>
      <c r="V51" s="71" t="str">
        <f t="shared" si="2"/>
        <v/>
      </c>
      <c r="W51" s="76"/>
      <c r="X51" s="15" t="str">
        <f t="shared" si="3"/>
        <v/>
      </c>
      <c r="Y51" s="72" t="str">
        <f t="shared" si="4"/>
        <v/>
      </c>
      <c r="Z51" s="75"/>
    </row>
    <row r="52" ht="15.75" customHeight="1">
      <c r="E52" s="73"/>
      <c r="F52" s="73"/>
      <c r="H52" s="73"/>
      <c r="N52" s="74"/>
      <c r="Q52" s="73"/>
      <c r="R52" s="75"/>
      <c r="S52" s="76"/>
      <c r="T52" s="76"/>
      <c r="U52" s="70" t="str">
        <f t="shared" si="1"/>
        <v/>
      </c>
      <c r="V52" s="71" t="str">
        <f t="shared" si="2"/>
        <v/>
      </c>
      <c r="W52" s="76"/>
      <c r="X52" s="15" t="str">
        <f t="shared" si="3"/>
        <v/>
      </c>
      <c r="Y52" s="72" t="str">
        <f t="shared" si="4"/>
        <v/>
      </c>
      <c r="Z52" s="75"/>
    </row>
    <row r="53" ht="15.75" customHeight="1">
      <c r="E53" s="73"/>
      <c r="F53" s="73"/>
      <c r="H53" s="73"/>
      <c r="N53" s="74"/>
      <c r="Q53" s="73"/>
      <c r="R53" s="75"/>
      <c r="S53" s="76"/>
      <c r="T53" s="76"/>
      <c r="U53" s="70" t="str">
        <f t="shared" si="1"/>
        <v/>
      </c>
      <c r="V53" s="71" t="str">
        <f t="shared" si="2"/>
        <v/>
      </c>
      <c r="W53" s="76"/>
      <c r="X53" s="15" t="str">
        <f t="shared" si="3"/>
        <v/>
      </c>
      <c r="Y53" s="72" t="str">
        <f t="shared" si="4"/>
        <v/>
      </c>
      <c r="Z53" s="75"/>
    </row>
    <row r="54" ht="15.75" customHeight="1">
      <c r="E54" s="73"/>
      <c r="F54" s="73"/>
      <c r="H54" s="73"/>
      <c r="N54" s="74"/>
      <c r="Q54" s="73"/>
      <c r="R54" s="75"/>
      <c r="S54" s="76"/>
      <c r="T54" s="76"/>
      <c r="U54" s="70" t="str">
        <f t="shared" si="1"/>
        <v/>
      </c>
      <c r="V54" s="71" t="str">
        <f t="shared" si="2"/>
        <v/>
      </c>
      <c r="W54" s="76"/>
      <c r="X54" s="15" t="str">
        <f t="shared" si="3"/>
        <v/>
      </c>
      <c r="Y54" s="72" t="str">
        <f t="shared" si="4"/>
        <v/>
      </c>
      <c r="Z54" s="75"/>
    </row>
    <row r="55" ht="15.75" customHeight="1">
      <c r="E55" s="73"/>
      <c r="F55" s="73"/>
      <c r="H55" s="73"/>
      <c r="N55" s="74"/>
      <c r="Q55" s="73"/>
      <c r="R55" s="75"/>
      <c r="S55" s="76"/>
      <c r="T55" s="76"/>
      <c r="U55" s="70" t="str">
        <f t="shared" si="1"/>
        <v/>
      </c>
      <c r="V55" s="71" t="str">
        <f t="shared" si="2"/>
        <v/>
      </c>
      <c r="W55" s="76"/>
      <c r="X55" s="15" t="str">
        <f t="shared" si="3"/>
        <v/>
      </c>
      <c r="Y55" s="72" t="str">
        <f t="shared" si="4"/>
        <v/>
      </c>
      <c r="Z55" s="75"/>
    </row>
    <row r="56" ht="15.75" customHeight="1">
      <c r="E56" s="73"/>
      <c r="F56" s="73"/>
      <c r="H56" s="73"/>
      <c r="N56" s="74"/>
      <c r="Q56" s="73"/>
      <c r="R56" s="75"/>
      <c r="S56" s="76"/>
      <c r="T56" s="76"/>
      <c r="U56" s="70" t="str">
        <f t="shared" si="1"/>
        <v/>
      </c>
      <c r="V56" s="71" t="str">
        <f t="shared" si="2"/>
        <v/>
      </c>
      <c r="W56" s="76"/>
      <c r="X56" s="15" t="str">
        <f t="shared" si="3"/>
        <v/>
      </c>
      <c r="Y56" s="72" t="str">
        <f t="shared" si="4"/>
        <v/>
      </c>
      <c r="Z56" s="75"/>
    </row>
    <row r="57" ht="15.75" customHeight="1">
      <c r="E57" s="73"/>
      <c r="F57" s="73"/>
      <c r="H57" s="73"/>
      <c r="N57" s="74"/>
      <c r="Q57" s="73"/>
      <c r="R57" s="75"/>
      <c r="S57" s="76"/>
      <c r="T57" s="76"/>
      <c r="U57" s="70" t="str">
        <f t="shared" si="1"/>
        <v/>
      </c>
      <c r="V57" s="71" t="str">
        <f t="shared" si="2"/>
        <v/>
      </c>
      <c r="W57" s="76"/>
      <c r="X57" s="15" t="str">
        <f t="shared" si="3"/>
        <v/>
      </c>
      <c r="Y57" s="72" t="str">
        <f t="shared" si="4"/>
        <v/>
      </c>
      <c r="Z57" s="75"/>
    </row>
    <row r="58" ht="15.75" customHeight="1">
      <c r="E58" s="73"/>
      <c r="F58" s="73"/>
      <c r="H58" s="73"/>
      <c r="N58" s="74"/>
      <c r="Q58" s="73"/>
      <c r="R58" s="75"/>
      <c r="S58" s="76"/>
      <c r="T58" s="76"/>
      <c r="U58" s="70" t="str">
        <f t="shared" si="1"/>
        <v/>
      </c>
      <c r="V58" s="71" t="str">
        <f t="shared" si="2"/>
        <v/>
      </c>
      <c r="W58" s="76"/>
      <c r="X58" s="15" t="str">
        <f t="shared" si="3"/>
        <v/>
      </c>
      <c r="Y58" s="72" t="str">
        <f t="shared" si="4"/>
        <v/>
      </c>
      <c r="Z58" s="75"/>
    </row>
    <row r="59" ht="15.75" customHeight="1">
      <c r="E59" s="73"/>
      <c r="F59" s="73"/>
      <c r="H59" s="73"/>
      <c r="N59" s="74"/>
      <c r="Q59" s="73"/>
      <c r="R59" s="75"/>
      <c r="S59" s="76"/>
      <c r="T59" s="76"/>
      <c r="U59" s="70" t="str">
        <f t="shared" si="1"/>
        <v/>
      </c>
      <c r="V59" s="71" t="str">
        <f t="shared" si="2"/>
        <v/>
      </c>
      <c r="W59" s="76"/>
      <c r="X59" s="15" t="str">
        <f t="shared" si="3"/>
        <v/>
      </c>
      <c r="Y59" s="72" t="str">
        <f t="shared" si="4"/>
        <v/>
      </c>
      <c r="Z59" s="75"/>
    </row>
    <row r="60" ht="15.75" customHeight="1">
      <c r="E60" s="73"/>
      <c r="F60" s="73"/>
      <c r="H60" s="73"/>
      <c r="N60" s="74"/>
      <c r="Q60" s="73"/>
      <c r="R60" s="75"/>
      <c r="S60" s="76"/>
      <c r="T60" s="76"/>
      <c r="U60" s="70" t="str">
        <f t="shared" si="1"/>
        <v/>
      </c>
      <c r="V60" s="71" t="str">
        <f t="shared" si="2"/>
        <v/>
      </c>
      <c r="W60" s="76"/>
      <c r="X60" s="15" t="str">
        <f t="shared" si="3"/>
        <v/>
      </c>
      <c r="Y60" s="72" t="str">
        <f t="shared" si="4"/>
        <v/>
      </c>
      <c r="Z60" s="75"/>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60"/>
  <dataValidations>
    <dataValidation type="list" allowBlank="1" sqref="E5:E60">
      <formula1>"Meta,TikTok"</formula1>
    </dataValidation>
    <dataValidation type="list" allowBlank="1" sqref="Q5:Q60">
      <formula1>"Draft,Pending approval,Live,Paused,Complete"</formula1>
    </dataValidation>
    <dataValidation type="list" allowBlank="1" sqref="F5:F60">
      <formula1>"IG Reels,IG Stories,FB Feed,TikTok In-Feed,Advantage+"</formula1>
    </dataValidation>
    <dataValidation type="list" allowBlank="1" sqref="H5:H60">
      <formula1>"Over 40,High Performer,Over 40 / High Performer,Broad/Lookalike"</formula1>
    </dataValidation>
  </dataValidations>
  <printOptions/>
  <pageMargins bottom="1.0" footer="0.0" header="0.0" left="0.75" right="0.75" top="1.0"/>
  <pageSetup orientation="landscape"/>
  <drawing r:id="rId1"/>
</worksheet>
</file>